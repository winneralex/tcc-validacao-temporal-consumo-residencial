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c76d6d2a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2d31b8c280c746f1"/>
    <x:sheet xmlns:r="http://schemas.openxmlformats.org/officeDocument/2006/relationships" name="Residencial Brasil" sheetId="2" r:id="R6ecc7428a5c34fd8"/>
    <x:sheet xmlns:r="http://schemas.openxmlformats.org/officeDocument/2006/relationships" name="Detalhe Residencial" sheetId="3" r:id="R883de23c35944c55"/>
    <x:sheet xmlns:r="http://schemas.openxmlformats.org/officeDocument/2006/relationships" name="Qualidade" sheetId="4" r:id="Re7d3c8167cc341f9"/>
    <x:sheet xmlns:r="http://schemas.openxmlformats.org/officeDocument/2006/relationships" name="Dicionario" sheetId="5" r:id="Rbf9b3ecba114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m yyyy"/>
    <x:numFmt numFmtId="202" formatCode="#,##0.000"/>
    <x:numFmt numFmtId="203" formatCode="#,##0"/>
  </x:numFmts>
  <x:fonts count="8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b/>
      <x:sz val="10"/>
      <x:color rgb="FF17365D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top style="thin">
        <x:color rgb="FFC9D2DC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2" fontId="5" fillId="0" borderId="7" xfId="0" applyNumberFormat="1" applyFont="1" applyFill="1" applyBorder="1" applyAlignment="1">
      <x:alignment horizontal="center" vertical="center"/>
    </x:xf>
    <x:xf numFmtId="203" fontId="5" fillId="0" borderId="7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931f083d241b6" /><Relationship Type="http://schemas.openxmlformats.org/officeDocument/2006/relationships/theme" Target="/xl/theme/theme1.xml" Id="R2d0150edb3f94a9d" /><Relationship Type="http://schemas.openxmlformats.org/officeDocument/2006/relationships/sharedStrings" Target="/xl/sharedStrings.xml" Id="Rfd315f14d9384257" /><Relationship Type="http://schemas.openxmlformats.org/officeDocument/2006/relationships/worksheet" Target="/xl/worksheets/sheet1.xml" Id="R2d31b8c280c746f1" /><Relationship Type="http://schemas.openxmlformats.org/officeDocument/2006/relationships/worksheet" Target="/xl/worksheets/sheet2.xml" Id="R6ecc7428a5c34fd8" /><Relationship Type="http://schemas.openxmlformats.org/officeDocument/2006/relationships/worksheet" Target="/xl/worksheets/sheet3.xml" Id="R883de23c35944c55" /><Relationship Type="http://schemas.openxmlformats.org/officeDocument/2006/relationships/worksheet" Target="/xl/worksheets/sheet4.xml" Id="Re7d3c8167cc341f9" /><Relationship Type="http://schemas.openxmlformats.org/officeDocument/2006/relationships/worksheet" Target="/xl/worksheets/sheet5.xml" Id="Rbf9b3ecba11445fd" /></Relationships>
</file>

<file path=xl/tables/table1.xml><?xml version="1.0" encoding="utf-8"?>
<x:table xmlns:x="http://schemas.openxmlformats.org/spreadsheetml/2006/main" id="1" name="ResidencialBrasilTable" displayName="ResidencialBrasilTable" ref="A1:I271" headerRowCount="1" totalsRowCount="0" totalsRowShown="0">
  <x:tableColumns count="9">
    <x:tableColumn id="1" name="Data"/>
    <x:tableColumn id="2" name="Consumo_MWh"/>
    <x:tableColumn id="3" name="Consumo_GWh"/>
    <x:tableColumn id="4" name="Consumidores"/>
    <x:tableColumn id="5" name="Linhas_Fonte"/>
    <x:tableColumn id="6" name="Regioes"/>
    <x:tableColumn id="7" name="Tipos_Consumidor"/>
    <x:tableColumn id="8" name="Componentes_Negativos"/>
    <x:tableColumn id="9" name="Status_Qual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heResidencialTable" displayName="DetalheResidencialTable" ref="A1:H2822" headerRowCount="1" totalsRowCount="0" totalsRowShown="0">
  <x:tableColumns count="8">
    <x:tableColumn id="1" name="Data"/>
    <x:tableColumn id="2" name="Regiao"/>
    <x:tableColumn id="3" name="Sistema"/>
    <x:tableColumn id="4" name="TipoConsumidor"/>
    <x:tableColumn id="5" name="Consumo_MWh"/>
    <x:tableColumn id="6" name="Consumidores"/>
    <x:tableColumn id="7" name="DataVersao"/>
    <x:tableColumn id="8" name="Flag_Qual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ionarioTable" displayName="DicionarioTable" ref="A3:D17" headerRowCount="1" totalsRowCount="0" totalsRowShown="0">
  <x:tableColumns count="4">
    <x:tableColumn id="1" name="Aba"/>
    <x:tableColumn id="2" name="Campo"/>
    <x:tableColumn id="3" name="Descrição"/>
    <x:tableColumn id="4" name="Unidade / forma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189d37b7c9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cdfac6516448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72d53c925b64a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8" hidden="0" customWidth="1"/>
  </x:cols>
  <x:sheetData>
    <x:row r="1" ht="34" customHeight="1">
      <x:c r="A1" s="4" t="str">
        <x:v>Base oficial filtrada — consumo residencial de energia elétrica</x:v>
      </x:c>
      <x:c r="B1" s="4" t="str">
        <x:v>Base oficial filtrada — consumo residencial de energia elétrica</x:v>
      </x:c>
    </x:row>
    <x:row r="2" ht="25" customHeight="1">
      <x:c r="A2" s="8" t="str">
        <x:v>Brasil | série mensal | janeiro de 2004 a junho de 2026</x:v>
      </x:c>
      <x:c r="B2" s="8" t="str">
        <x:v>Brasil | série mensal | janeiro de 2004 a junho de 2026</x:v>
      </x:c>
    </x:row>
    <x:row r="4">
      <x:c r="A4" s="10" t="str">
        <x:v>Definição e rastreabilidade do recorte</x:v>
      </x:c>
      <x:c r="B4" s="10"/>
    </x:row>
    <x:row r="5" ht="15" hidden="0" customHeight="1">
      <x:c r="A5" s="25" t="str">
        <x:v>Fonte oficial</x:v>
      </x:c>
      <x:c r="B5" s="26" t="str">
        <x:v>Empresa de Pesquisa Energética (EPE)</x:v>
      </x:c>
    </x:row>
    <x:row r="6" ht="15" hidden="0" customHeight="1">
      <x:c r="A6" s="27" t="str">
        <x:v>Página da fonte</x:v>
      </x:c>
      <x:c r="B6" s="28" t="str">
        <x:v>https://www.epe.gov.br/pt/publicacoes-dados-abertos/dados-abertos/dados-do-consumo-mensal-de-energia-eletrica</x:v>
      </x:c>
    </x:row>
    <x:row r="7" ht="15" hidden="0" customHeight="1">
      <x:c r="A7" s="27" t="str">
        <x:v>Arquivo oficial</x:v>
      </x:c>
      <x:c r="B7" s="28" t="str">
        <x:v>https://www.epe.gov.br/sites-pt/publicacoes-dados-abertos/dados-abertos/Documents/Dados_abertos_Consumo_Mensal.xlsx</x:v>
      </x:c>
    </x:row>
    <x:row r="8" ht="15" hidden="0" customHeight="1">
      <x:c r="A8" s="27" t="str">
        <x:v>Arquivo preservado</x:v>
      </x:c>
      <x:c r="B8" s="28" t="str">
        <x:v>EPE_Dados_Abertos_Consumo_Mensal_ate_2026-06.xlsx</x:v>
      </x:c>
    </x:row>
    <x:row r="9" ht="15" hidden="0" customHeight="1">
      <x:c r="A9" s="27" t="str">
        <x:v>Aba utilizada</x:v>
      </x:c>
      <x:c r="B9" s="28" t="str">
        <x:v>CONSUMO E NUMCONS SAM</x:v>
      </x:c>
    </x:row>
    <x:row r="10" ht="15" hidden="0" customHeight="1">
      <x:c r="A10" s="27" t="str">
        <x:v>SHA-256</x:v>
      </x:c>
      <x:c r="B10" s="28" t="str">
        <x:v>c5aa22aa5e5bfec5d24be85433ddbd6d038caa0036b3100a5a20d6d9aceadc56</x:v>
      </x:c>
    </x:row>
    <x:row r="11" ht="15" hidden="0" customHeight="1">
      <x:c r="A11" s="27" t="str">
        <x:v>Versão dos dados</x:v>
      </x:c>
      <x:c r="B11" s="29" t="n">
        <x:v>46220</x:v>
      </x:c>
    </x:row>
    <x:row r="12" ht="15" hidden="0" customHeight="1">
      <x:c r="A12" s="27" t="str">
        <x:v>Período</x:v>
      </x:c>
      <x:c r="B12" s="28" t="str">
        <x:v>jan/2004 a jun/2026 — 270 meses completos</x:v>
      </x:c>
    </x:row>
    <x:row r="13" ht="15" hidden="0" customHeight="1">
      <x:c r="A13" s="27" t="str">
        <x:v>Filtro</x:v>
      </x:c>
      <x:c r="B13" s="28" t="str">
        <x:v>Classe = Residencial</x:v>
      </x:c>
    </x:row>
    <x:row r="14" ht="15" hidden="0" customHeight="1">
      <x:c r="A14" s="27" t="str">
        <x:v>Consolidação</x:v>
      </x:c>
      <x:c r="B14" s="28" t="str">
        <x:v>Soma de todas as regiões, sistemas e tipos de consumidor (Cativo/Livre) por mês</x:v>
      </x:c>
    </x:row>
    <x:row r="15" ht="15" hidden="0" customHeight="1">
      <x:c r="A15" s="27" t="str">
        <x:v>Unidade principal</x:v>
      </x:c>
      <x:c r="B15" s="28" t="str">
        <x:v>MWh; a coluna GWh é calculada por fórmula a partir do MWh</x:v>
      </x:c>
    </x:row>
    <x:row r="16" ht="15" hidden="0" customHeight="1">
      <x:c r="A16" s="30"/>
      <x:c r="B16" s="30"/>
    </x:row>
    <x:row r="17" ht="15" hidden="0" customHeight="1">
      <x:c r="A17" s="31" t="str">
        <x:v>Decisões metodológicas e observações</x:v>
      </x:c>
      <x:c r="B17" s="31"/>
    </x:row>
    <x:row r="18" ht="15" hidden="0" customHeight="1">
      <x:c r="A18" s="32" t="str">
        <x:v>Tabela selecionada</x:v>
      </x:c>
      <x:c r="B18" s="28" t="str">
        <x:v>Foi usada a tabela nacional/regional porque alcança junho de 2026; a tabela por UF termina em maio de 2026.</x:v>
      </x:c>
    </x:row>
    <x:row r="19" ht="24" hidden="0" customHeight="1">
      <x:c r="A19" s="32" t="str">
        <x:v>Correções negativas</x:v>
      </x:c>
      <x:c r="B19" s="28" t="str">
        <x:v>Duas linhas componentes negativas, ambas de março de 2024, foram mantidas e sinalizadas. Elas são correções da fonte e não tornam o total nacional negativo.</x:v>
      </x:c>
    </x:row>
    <x:row r="20" ht="15" hidden="0" customHeight="1">
      <x:c r="A20" s="32" t="str">
        <x:v>Integridade</x:v>
      </x:c>
      <x:c r="B20" s="28" t="str">
        <x:v>O arquivo oficial bruto não foi alterado. Esta planilha é uma base processada, com o recorte e as validações documentados.</x:v>
      </x:c>
    </x:row>
    <x:row r="21" ht="15" hidden="0" customHeight="1">
      <x:c r="A21" s="32" t="str">
        <x:v>Uso no TCC</x:v>
      </x:c>
      <x:c r="B21" s="28" t="str">
        <x:v>A aba Residencial Brasil é a série pronta para análise exploratória, divisão treino/teste e modelagem de séries temporais.</x:v>
      </x:c>
    </x:row>
    <x:row r="22" ht="15" hidden="0" customHeight="1">
      <x:c r="A22" s="33" t="str">
        <x:v>Ajuste sazonal</x:v>
      </x:c>
      <x:c r="B22" s="34" t="str">
        <x:v>A série utilizada não possui ajuste sazonal; isso preserva o padrão mensal que será estudado pelos modelos.</x:v>
      </x:c>
    </x:row>
  </x:sheetData>
  <x:mergeCells>
    <x:mergeCell ref="A1:B1"/>
    <x:mergeCell ref="A2:B2"/>
    <x:mergeCell ref="A4:B4"/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9" hidden="0" customWidth="1"/>
  </x:cols>
  <x:sheetData>
    <x:row r="1" ht="28" customHeight="1">
      <x:c r="A1" s="45" t="str">
        <x:v>Data</x:v>
      </x:c>
      <x:c r="B1" s="46" t="str">
        <x:v>Consumo_MWh</x:v>
      </x:c>
      <x:c r="C1" s="46" t="str">
        <x:v>Consumo_GWh</x:v>
      </x:c>
      <x:c r="D1" s="46" t="str">
        <x:v>Consumidores</x:v>
      </x:c>
      <x:c r="E1" s="46" t="str">
        <x:v>Linhas_Fonte</x:v>
      </x:c>
      <x:c r="F1" s="46" t="str">
        <x:v>Regioes</x:v>
      </x:c>
      <x:c r="G1" s="46" t="str">
        <x:v>Tipos_Consumidor</x:v>
      </x:c>
      <x:c r="H1" s="46" t="str">
        <x:v>Componentes_Negativos</x:v>
      </x:c>
      <x:c r="I1" s="47" t="str">
        <x:v>Status_Qualidade</x:v>
      </x:c>
    </x:row>
    <x:row r="2">
      <x:c r="A2" s="51" t="n">
        <x:v>37987</x:v>
      </x:c>
      <x:c r="B2" s="49" t="n">
        <x:v>6780680.373</x:v>
      </x:c>
      <x:c r="C2" s="49" t="n">
        <x:f>B2/1000</x:f>
        <x:v>6780.680372999999</x:v>
      </x:c>
      <x:c r="D2" s="52" t="n">
        <x:v>45430039</x:v>
      </x:c>
      <x:c r="E2" s="52" t="n">
        <x:v>9</x:v>
      </x:c>
      <x:c r="F2" s="52" t="n">
        <x:v>5</x:v>
      </x:c>
      <x:c r="G2" s="52" t="n">
        <x:v>1</x:v>
      </x:c>
      <x:c r="H2" s="52" t="n">
        <x:v>0</x:v>
      </x:c>
      <x:c r="I2" s="53" t="str">
        <x:f>IF(OR(F2&lt;&gt;5,H2&gt;0),"REVISAR","OK")</x:f>
        <x:v>OK</x:v>
      </x:c>
    </x:row>
    <x:row r="3">
      <x:c r="A3" s="51" t="n">
        <x:v>38018</x:v>
      </x:c>
      <x:c r="B3" s="49" t="n">
        <x:v>6429337.18</x:v>
      </x:c>
      <x:c r="C3" s="49" t="n">
        <x:f>B3/1000</x:f>
        <x:v>6429.3371799999995</x:v>
      </x:c>
      <x:c r="D3" s="52" t="n">
        <x:v>45630099</x:v>
      </x:c>
      <x:c r="E3" s="52" t="n">
        <x:v>9</x:v>
      </x:c>
      <x:c r="F3" s="52" t="n">
        <x:v>5</x:v>
      </x:c>
      <x:c r="G3" s="52" t="n">
        <x:v>1</x:v>
      </x:c>
      <x:c r="H3" s="52" t="n">
        <x:v>0</x:v>
      </x:c>
      <x:c r="I3" s="53" t="str">
        <x:f>IF(OR(F3&lt;&gt;5,H3&gt;0),"REVISAR","OK")</x:f>
        <x:v>OK</x:v>
      </x:c>
    </x:row>
    <x:row r="4">
      <x:c r="A4" s="51" t="n">
        <x:v>38047</x:v>
      </x:c>
      <x:c r="B4" s="49" t="n">
        <x:v>6600338.007</x:v>
      </x:c>
      <x:c r="C4" s="49" t="n">
        <x:f>B4/1000</x:f>
        <x:v>6600.338007</x:v>
      </x:c>
      <x:c r="D4" s="52" t="n">
        <x:v>45874005</x:v>
      </x:c>
      <x:c r="E4" s="52" t="n">
        <x:v>9</x:v>
      </x:c>
      <x:c r="F4" s="52" t="n">
        <x:v>5</x:v>
      </x:c>
      <x:c r="G4" s="52" t="n">
        <x:v>1</x:v>
      </x:c>
      <x:c r="H4" s="52" t="n">
        <x:v>0</x:v>
      </x:c>
      <x:c r="I4" s="53" t="str">
        <x:f>IF(OR(F4&lt;&gt;5,H4&gt;0),"REVISAR","OK")</x:f>
        <x:v>OK</x:v>
      </x:c>
    </x:row>
    <x:row r="5">
      <x:c r="A5" s="51" t="n">
        <x:v>38078</x:v>
      </x:c>
      <x:c r="B5" s="49" t="n">
        <x:v>6809006.3610000005</x:v>
      </x:c>
      <x:c r="C5" s="49" t="n">
        <x:f>B5/1000</x:f>
        <x:v>6809.006361000001</x:v>
      </x:c>
      <x:c r="D5" s="52" t="n">
        <x:v>46044908</x:v>
      </x:c>
      <x:c r="E5" s="52" t="n">
        <x:v>9</x:v>
      </x:c>
      <x:c r="F5" s="52" t="n">
        <x:v>5</x:v>
      </x:c>
      <x:c r="G5" s="52" t="n">
        <x:v>1</x:v>
      </x:c>
      <x:c r="H5" s="52" t="n">
        <x:v>0</x:v>
      </x:c>
      <x:c r="I5" s="53" t="str">
        <x:f>IF(OR(F5&lt;&gt;5,H5&gt;0),"REVISAR","OK")</x:f>
        <x:v>OK</x:v>
      </x:c>
    </x:row>
    <x:row r="6">
      <x:c r="A6" s="51" t="n">
        <x:v>38108</x:v>
      </x:c>
      <x:c r="B6" s="49" t="n">
        <x:v>6477341.432</x:v>
      </x:c>
      <x:c r="C6" s="49" t="n">
        <x:f>B6/1000</x:f>
        <x:v>6477.341432</x:v>
      </x:c>
      <x:c r="D6" s="52" t="n">
        <x:v>45965740</x:v>
      </x:c>
      <x:c r="E6" s="52" t="n">
        <x:v>9</x:v>
      </x:c>
      <x:c r="F6" s="52" t="n">
        <x:v>5</x:v>
      </x:c>
      <x:c r="G6" s="52" t="n">
        <x:v>1</x:v>
      </x:c>
      <x:c r="H6" s="52" t="n">
        <x:v>0</x:v>
      </x:c>
      <x:c r="I6" s="53" t="str">
        <x:f>IF(OR(F6&lt;&gt;5,H6&gt;0),"REVISAR","OK")</x:f>
        <x:v>OK</x:v>
      </x:c>
    </x:row>
    <x:row r="7">
      <x:c r="A7" s="51" t="n">
        <x:v>38139</x:v>
      </x:c>
      <x:c r="B7" s="49" t="n">
        <x:v>6291091.533</x:v>
      </x:c>
      <x:c r="C7" s="49" t="n">
        <x:f>B7/1000</x:f>
        <x:v>6291.091533</x:v>
      </x:c>
      <x:c r="D7" s="52" t="n">
        <x:v>46078802</x:v>
      </x:c>
      <x:c r="E7" s="52" t="n">
        <x:v>9</x:v>
      </x:c>
      <x:c r="F7" s="52" t="n">
        <x:v>5</x:v>
      </x:c>
      <x:c r="G7" s="52" t="n">
        <x:v>1</x:v>
      </x:c>
      <x:c r="H7" s="52" t="n">
        <x:v>0</x:v>
      </x:c>
      <x:c r="I7" s="53" t="str">
        <x:f>IF(OR(F7&lt;&gt;5,H7&gt;0),"REVISAR","OK")</x:f>
        <x:v>OK</x:v>
      </x:c>
    </x:row>
    <x:row r="8">
      <x:c r="A8" s="51" t="n">
        <x:v>38169</x:v>
      </x:c>
      <x:c r="B8" s="49" t="n">
        <x:v>6292471.042</x:v>
      </x:c>
      <x:c r="C8" s="49" t="n">
        <x:f>B8/1000</x:f>
        <x:v>6292.471042</x:v>
      </x:c>
      <x:c r="D8" s="52" t="n">
        <x:v>46185866</x:v>
      </x:c>
      <x:c r="E8" s="52" t="n">
        <x:v>9</x:v>
      </x:c>
      <x:c r="F8" s="52" t="n">
        <x:v>5</x:v>
      </x:c>
      <x:c r="G8" s="52" t="n">
        <x:v>1</x:v>
      </x:c>
      <x:c r="H8" s="52" t="n">
        <x:v>0</x:v>
      </x:c>
      <x:c r="I8" s="53" t="str">
        <x:f>IF(OR(F8&lt;&gt;5,H8&gt;0),"REVISAR","OK")</x:f>
        <x:v>OK</x:v>
      </x:c>
    </x:row>
    <x:row r="9">
      <x:c r="A9" s="51" t="n">
        <x:v>38200</x:v>
      </x:c>
      <x:c r="B9" s="49" t="n">
        <x:v>6304477.069</x:v>
      </x:c>
      <x:c r="C9" s="49" t="n">
        <x:f>B9/1000</x:f>
        <x:v>6304.4770690000005</x:v>
      </x:c>
      <x:c r="D9" s="52" t="n">
        <x:v>46379790</x:v>
      </x:c>
      <x:c r="E9" s="52" t="n">
        <x:v>9</x:v>
      </x:c>
      <x:c r="F9" s="52" t="n">
        <x:v>5</x:v>
      </x:c>
      <x:c r="G9" s="52" t="n">
        <x:v>1</x:v>
      </x:c>
      <x:c r="H9" s="52" t="n">
        <x:v>0</x:v>
      </x:c>
      <x:c r="I9" s="53" t="str">
        <x:f>IF(OR(F9&lt;&gt;5,H9&gt;0),"REVISAR","OK")</x:f>
        <x:v>OK</x:v>
      </x:c>
    </x:row>
    <x:row r="10">
      <x:c r="A10" s="51" t="n">
        <x:v>38231</x:v>
      </x:c>
      <x:c r="B10" s="49" t="n">
        <x:v>6604390.033</x:v>
      </x:c>
      <x:c r="C10" s="49" t="n">
        <x:f>B10/1000</x:f>
        <x:v>6604.390033</x:v>
      </x:c>
      <x:c r="D10" s="52" t="n">
        <x:v>46444030</x:v>
      </x:c>
      <x:c r="E10" s="52" t="n">
        <x:v>9</x:v>
      </x:c>
      <x:c r="F10" s="52" t="n">
        <x:v>5</x:v>
      </x:c>
      <x:c r="G10" s="52" t="n">
        <x:v>1</x:v>
      </x:c>
      <x:c r="H10" s="52" t="n">
        <x:v>0</x:v>
      </x:c>
      <x:c r="I10" s="53" t="str">
        <x:f>IF(OR(F10&lt;&gt;5,H10&gt;0),"REVISAR","OK")</x:f>
        <x:v>OK</x:v>
      </x:c>
    </x:row>
    <x:row r="11">
      <x:c r="A11" s="51" t="n">
        <x:v>38261</x:v>
      </x:c>
      <x:c r="B11" s="49" t="n">
        <x:v>6606513.86</x:v>
      </x:c>
      <x:c r="C11" s="49" t="n">
        <x:f>B11/1000</x:f>
        <x:v>6606.51386</x:v>
      </x:c>
      <x:c r="D11" s="52" t="n">
        <x:v>46807640</x:v>
      </x:c>
      <x:c r="E11" s="52" t="n">
        <x:v>9</x:v>
      </x:c>
      <x:c r="F11" s="52" t="n">
        <x:v>5</x:v>
      </x:c>
      <x:c r="G11" s="52" t="n">
        <x:v>1</x:v>
      </x:c>
      <x:c r="H11" s="52" t="n">
        <x:v>0</x:v>
      </x:c>
      <x:c r="I11" s="53" t="str">
        <x:f>IF(OR(F11&lt;&gt;5,H11&gt;0),"REVISAR","OK")</x:f>
        <x:v>OK</x:v>
      </x:c>
    </x:row>
    <x:row r="12">
      <x:c r="A12" s="51" t="n">
        <x:v>38292</x:v>
      </x:c>
      <x:c r="B12" s="49" t="n">
        <x:v>6631190.163000001</x:v>
      </x:c>
      <x:c r="C12" s="49" t="n">
        <x:f>B12/1000</x:f>
        <x:v>6631.190163</x:v>
      </x:c>
      <x:c r="D12" s="52" t="n">
        <x:v>46749980</x:v>
      </x:c>
      <x:c r="E12" s="52" t="n">
        <x:v>9</x:v>
      </x:c>
      <x:c r="F12" s="52" t="n">
        <x:v>5</x:v>
      </x:c>
      <x:c r="G12" s="52" t="n">
        <x:v>1</x:v>
      </x:c>
      <x:c r="H12" s="52" t="n">
        <x:v>0</x:v>
      </x:c>
      <x:c r="I12" s="53" t="str">
        <x:f>IF(OR(F12&lt;&gt;5,H12&gt;0),"REVISAR","OK")</x:f>
        <x:v>OK</x:v>
      </x:c>
    </x:row>
    <x:row r="13">
      <x:c r="A13" s="51" t="n">
        <x:v>38322</x:v>
      </x:c>
      <x:c r="B13" s="49" t="n">
        <x:v>6643371.194999999</x:v>
      </x:c>
      <x:c r="C13" s="49" t="n">
        <x:f>B13/1000</x:f>
        <x:v>6643.371195</x:v>
      </x:c>
      <x:c r="D13" s="52" t="n">
        <x:v>46848803</x:v>
      </x:c>
      <x:c r="E13" s="52" t="n">
        <x:v>9</x:v>
      </x:c>
      <x:c r="F13" s="52" t="n">
        <x:v>5</x:v>
      </x:c>
      <x:c r="G13" s="52" t="n">
        <x:v>1</x:v>
      </x:c>
      <x:c r="H13" s="52" t="n">
        <x:v>0</x:v>
      </x:c>
      <x:c r="I13" s="53" t="str">
        <x:f>IF(OR(F13&lt;&gt;5,H13&gt;0),"REVISAR","OK")</x:f>
        <x:v>OK</x:v>
      </x:c>
    </x:row>
    <x:row r="14">
      <x:c r="A14" s="51" t="n">
        <x:v>38353</x:v>
      </x:c>
      <x:c r="B14" s="49" t="n">
        <x:v>7118537.783</x:v>
      </x:c>
      <x:c r="C14" s="49" t="n">
        <x:f>B14/1000</x:f>
        <x:v>7118.537783</x:v>
      </x:c>
      <x:c r="D14" s="52" t="n">
        <x:v>47310842</x:v>
      </x:c>
      <x:c r="E14" s="52" t="n">
        <x:v>9</x:v>
      </x:c>
      <x:c r="F14" s="52" t="n">
        <x:v>5</x:v>
      </x:c>
      <x:c r="G14" s="52" t="n">
        <x:v>1</x:v>
      </x:c>
      <x:c r="H14" s="52" t="n">
        <x:v>0</x:v>
      </x:c>
      <x:c r="I14" s="53" t="str">
        <x:f>IF(OR(F14&lt;&gt;5,H14&gt;0),"REVISAR","OK")</x:f>
        <x:v>OK</x:v>
      </x:c>
    </x:row>
    <x:row r="15">
      <x:c r="A15" s="51" t="n">
        <x:v>38384</x:v>
      </x:c>
      <x:c r="B15" s="49" t="n">
        <x:v>6758333.1</x:v>
      </x:c>
      <x:c r="C15" s="49" t="n">
        <x:f>B15/1000</x:f>
        <x:v>6758.3331</x:v>
      </x:c>
      <x:c r="D15" s="52" t="n">
        <x:v>47370980</x:v>
      </x:c>
      <x:c r="E15" s="52" t="n">
        <x:v>9</x:v>
      </x:c>
      <x:c r="F15" s="52" t="n">
        <x:v>5</x:v>
      </x:c>
      <x:c r="G15" s="52" t="n">
        <x:v>1</x:v>
      </x:c>
      <x:c r="H15" s="52" t="n">
        <x:v>0</x:v>
      </x:c>
      <x:c r="I15" s="53" t="str">
        <x:f>IF(OR(F15&lt;&gt;5,H15&gt;0),"REVISAR","OK")</x:f>
        <x:v>OK</x:v>
      </x:c>
    </x:row>
    <x:row r="16">
      <x:c r="A16" s="51" t="n">
        <x:v>38412</x:v>
      </x:c>
      <x:c r="B16" s="49" t="n">
        <x:v>6865215.603</x:v>
      </x:c>
      <x:c r="C16" s="49" t="n">
        <x:f>B16/1000</x:f>
        <x:v>6865.215603000001</x:v>
      </x:c>
      <x:c r="D16" s="52" t="n">
        <x:v>47537195</x:v>
      </x:c>
      <x:c r="E16" s="52" t="n">
        <x:v>9</x:v>
      </x:c>
      <x:c r="F16" s="52" t="n">
        <x:v>5</x:v>
      </x:c>
      <x:c r="G16" s="52" t="n">
        <x:v>1</x:v>
      </x:c>
      <x:c r="H16" s="52" t="n">
        <x:v>0</x:v>
      </x:c>
      <x:c r="I16" s="53" t="str">
        <x:f>IF(OR(F16&lt;&gt;5,H16&gt;0),"REVISAR","OK")</x:f>
        <x:v>OK</x:v>
      </x:c>
    </x:row>
    <x:row r="17">
      <x:c r="A17" s="51" t="n">
        <x:v>38443</x:v>
      </x:c>
      <x:c r="B17" s="49" t="n">
        <x:v>7131738.269</x:v>
      </x:c>
      <x:c r="C17" s="49" t="n">
        <x:f>B17/1000</x:f>
        <x:v>7131.738269</x:v>
      </x:c>
      <x:c r="D17" s="52" t="n">
        <x:v>47628550</x:v>
      </x:c>
      <x:c r="E17" s="52" t="n">
        <x:v>9</x:v>
      </x:c>
      <x:c r="F17" s="52" t="n">
        <x:v>5</x:v>
      </x:c>
      <x:c r="G17" s="52" t="n">
        <x:v>1</x:v>
      </x:c>
      <x:c r="H17" s="52" t="n">
        <x:v>0</x:v>
      </x:c>
      <x:c r="I17" s="53" t="str">
        <x:f>IF(OR(F17&lt;&gt;5,H17&gt;0),"REVISAR","OK")</x:f>
        <x:v>OK</x:v>
      </x:c>
    </x:row>
    <x:row r="18">
      <x:c r="A18" s="51" t="n">
        <x:v>38473</x:v>
      </x:c>
      <x:c r="B18" s="49" t="n">
        <x:v>6718147.337</x:v>
      </x:c>
      <x:c r="C18" s="49" t="n">
        <x:f>B18/1000</x:f>
        <x:v>6718.147337</x:v>
      </x:c>
      <x:c r="D18" s="52" t="n">
        <x:v>47646178</x:v>
      </x:c>
      <x:c r="E18" s="52" t="n">
        <x:v>9</x:v>
      </x:c>
      <x:c r="F18" s="52" t="n">
        <x:v>5</x:v>
      </x:c>
      <x:c r="G18" s="52" t="n">
        <x:v>1</x:v>
      </x:c>
      <x:c r="H18" s="52" t="n">
        <x:v>0</x:v>
      </x:c>
      <x:c r="I18" s="53" t="str">
        <x:f>IF(OR(F18&lt;&gt;5,H18&gt;0),"REVISAR","OK")</x:f>
        <x:v>OK</x:v>
      </x:c>
    </x:row>
    <x:row r="19">
      <x:c r="A19" s="51" t="n">
        <x:v>38504</x:v>
      </x:c>
      <x:c r="B19" s="49" t="n">
        <x:v>6776657.851</x:v>
      </x:c>
      <x:c r="C19" s="49" t="n">
        <x:f>B19/1000</x:f>
        <x:v>6776.657851</x:v>
      </x:c>
      <x:c r="D19" s="52" t="n">
        <x:v>47859338</x:v>
      </x:c>
      <x:c r="E19" s="52" t="n">
        <x:v>9</x:v>
      </x:c>
      <x:c r="F19" s="52" t="n">
        <x:v>5</x:v>
      </x:c>
      <x:c r="G19" s="52" t="n">
        <x:v>1</x:v>
      </x:c>
      <x:c r="H19" s="52" t="n">
        <x:v>0</x:v>
      </x:c>
      <x:c r="I19" s="53" t="str">
        <x:f>IF(OR(F19&lt;&gt;5,H19&gt;0),"REVISAR","OK")</x:f>
        <x:v>OK</x:v>
      </x:c>
    </x:row>
    <x:row r="20">
      <x:c r="A20" s="51" t="n">
        <x:v>38534</x:v>
      </x:c>
      <x:c r="B20" s="49" t="n">
        <x:v>6644820.476</x:v>
      </x:c>
      <x:c r="C20" s="49" t="n">
        <x:f>B20/1000</x:f>
        <x:v>6644.820476</x:v>
      </x:c>
      <x:c r="D20" s="52" t="n">
        <x:v>47974144</x:v>
      </x:c>
      <x:c r="E20" s="52" t="n">
        <x:v>9</x:v>
      </x:c>
      <x:c r="F20" s="52" t="n">
        <x:v>5</x:v>
      </x:c>
      <x:c r="G20" s="52" t="n">
        <x:v>1</x:v>
      </x:c>
      <x:c r="H20" s="52" t="n">
        <x:v>0</x:v>
      </x:c>
      <x:c r="I20" s="53" t="str">
        <x:f>IF(OR(F20&lt;&gt;5,H20&gt;0),"REVISAR","OK")</x:f>
        <x:v>OK</x:v>
      </x:c>
    </x:row>
    <x:row r="21">
      <x:c r="A21" s="51" t="n">
        <x:v>38565</x:v>
      </x:c>
      <x:c r="B21" s="49" t="n">
        <x:v>6704784.133</x:v>
      </x:c>
      <x:c r="C21" s="49" t="n">
        <x:f>B21/1000</x:f>
        <x:v>6704.784133</x:v>
      </x:c>
      <x:c r="D21" s="52" t="n">
        <x:v>48113779</x:v>
      </x:c>
      <x:c r="E21" s="52" t="n">
        <x:v>9</x:v>
      </x:c>
      <x:c r="F21" s="52" t="n">
        <x:v>5</x:v>
      </x:c>
      <x:c r="G21" s="52" t="n">
        <x:v>1</x:v>
      </x:c>
      <x:c r="H21" s="52" t="n">
        <x:v>0</x:v>
      </x:c>
      <x:c r="I21" s="53" t="str">
        <x:f>IF(OR(F21&lt;&gt;5,H21&gt;0),"REVISAR","OK")</x:f>
        <x:v>OK</x:v>
      </x:c>
    </x:row>
    <x:row r="22">
      <x:c r="A22" s="51" t="n">
        <x:v>38596</x:v>
      </x:c>
      <x:c r="B22" s="49" t="n">
        <x:v>6949354.550000001</x:v>
      </x:c>
      <x:c r="C22" s="49" t="n">
        <x:f>B22/1000</x:f>
        <x:v>6949.354550000001</x:v>
      </x:c>
      <x:c r="D22" s="52" t="n">
        <x:v>48231324</x:v>
      </x:c>
      <x:c r="E22" s="52" t="n">
        <x:v>9</x:v>
      </x:c>
      <x:c r="F22" s="52" t="n">
        <x:v>5</x:v>
      </x:c>
      <x:c r="G22" s="52" t="n">
        <x:v>1</x:v>
      </x:c>
      <x:c r="H22" s="52" t="n">
        <x:v>0</x:v>
      </x:c>
      <x:c r="I22" s="53" t="str">
        <x:f>IF(OR(F22&lt;&gt;5,H22&gt;0),"REVISAR","OK")</x:f>
        <x:v>OK</x:v>
      </x:c>
    </x:row>
    <x:row r="23">
      <x:c r="A23" s="51" t="n">
        <x:v>38626</x:v>
      </x:c>
      <x:c r="B23" s="49" t="n">
        <x:v>6917987.523</x:v>
      </x:c>
      <x:c r="C23" s="49" t="n">
        <x:f>B23/1000</x:f>
        <x:v>6917.987523</x:v>
      </x:c>
      <x:c r="D23" s="52" t="n">
        <x:v>48364511</x:v>
      </x:c>
      <x:c r="E23" s="52" t="n">
        <x:v>9</x:v>
      </x:c>
      <x:c r="F23" s="52" t="n">
        <x:v>5</x:v>
      </x:c>
      <x:c r="G23" s="52" t="n">
        <x:v>1</x:v>
      </x:c>
      <x:c r="H23" s="52" t="n">
        <x:v>0</x:v>
      </x:c>
      <x:c r="I23" s="53" t="str">
        <x:f>IF(OR(F23&lt;&gt;5,H23&gt;0),"REVISAR","OK")</x:f>
        <x:v>OK</x:v>
      </x:c>
    </x:row>
    <x:row r="24">
      <x:c r="A24" s="51" t="n">
        <x:v>38657</x:v>
      </x:c>
      <x:c r="B24" s="49" t="n">
        <x:v>6976440.904999999</x:v>
      </x:c>
      <x:c r="C24" s="49" t="n">
        <x:f>B24/1000</x:f>
        <x:v>6976.4409049999995</x:v>
      </x:c>
      <x:c r="D24" s="52" t="n">
        <x:v>48477738</x:v>
      </x:c>
      <x:c r="E24" s="52" t="n">
        <x:v>9</x:v>
      </x:c>
      <x:c r="F24" s="52" t="n">
        <x:v>5</x:v>
      </x:c>
      <x:c r="G24" s="52" t="n">
        <x:v>1</x:v>
      </x:c>
      <x:c r="H24" s="52" t="n">
        <x:v>0</x:v>
      </x:c>
      <x:c r="I24" s="53" t="str">
        <x:f>IF(OR(F24&lt;&gt;5,H24&gt;0),"REVISAR","OK")</x:f>
        <x:v>OK</x:v>
      </x:c>
    </x:row>
    <x:row r="25">
      <x:c r="A25" s="51" t="n">
        <x:v>38687</x:v>
      </x:c>
      <x:c r="B25" s="49" t="n">
        <x:v>7077729.55</x:v>
      </x:c>
      <x:c r="C25" s="49" t="n">
        <x:f>B25/1000</x:f>
        <x:v>7077.72955</x:v>
      </x:c>
      <x:c r="D25" s="52" t="n">
        <x:v>48620918</x:v>
      </x:c>
      <x:c r="E25" s="52" t="n">
        <x:v>9</x:v>
      </x:c>
      <x:c r="F25" s="52" t="n">
        <x:v>5</x:v>
      </x:c>
      <x:c r="G25" s="52" t="n">
        <x:v>1</x:v>
      </x:c>
      <x:c r="H25" s="52" t="n">
        <x:v>0</x:v>
      </x:c>
      <x:c r="I25" s="53" t="str">
        <x:f>IF(OR(F25&lt;&gt;5,H25&gt;0),"REVISAR","OK")</x:f>
        <x:v>OK</x:v>
      </x:c>
    </x:row>
    <x:row r="26">
      <x:c r="A26" s="51" t="n">
        <x:v>38718</x:v>
      </x:c>
      <x:c r="B26" s="49" t="n">
        <x:v>7167631.952</x:v>
      </x:c>
      <x:c r="C26" s="49" t="n">
        <x:f>B26/1000</x:f>
        <x:v>7167.631952</x:v>
      </x:c>
      <x:c r="D26" s="52" t="n">
        <x:v>48832682</x:v>
      </x:c>
      <x:c r="E26" s="52" t="n">
        <x:v>9</x:v>
      </x:c>
      <x:c r="F26" s="52" t="n">
        <x:v>5</x:v>
      </x:c>
      <x:c r="G26" s="52" t="n">
        <x:v>1</x:v>
      </x:c>
      <x:c r="H26" s="52" t="n">
        <x:v>0</x:v>
      </x:c>
      <x:c r="I26" s="53" t="str">
        <x:f>IF(OR(F26&lt;&gt;5,H26&gt;0),"REVISAR","OK")</x:f>
        <x:v>OK</x:v>
      </x:c>
    </x:row>
    <x:row r="27">
      <x:c r="A27" s="51" t="n">
        <x:v>38749</x:v>
      </x:c>
      <x:c r="B27" s="49" t="n">
        <x:v>7131815.538000001</x:v>
      </x:c>
      <x:c r="C27" s="49" t="n">
        <x:f>B27/1000</x:f>
        <x:v>7131.815538000001</x:v>
      </x:c>
      <x:c r="D27" s="52" t="n">
        <x:v>48949655</x:v>
      </x:c>
      <x:c r="E27" s="52" t="n">
        <x:v>9</x:v>
      </x:c>
      <x:c r="F27" s="52" t="n">
        <x:v>5</x:v>
      </x:c>
      <x:c r="G27" s="52" t="n">
        <x:v>1</x:v>
      </x:c>
      <x:c r="H27" s="52" t="n">
        <x:v>0</x:v>
      </x:c>
      <x:c r="I27" s="53" t="str">
        <x:f>IF(OR(F27&lt;&gt;5,H27&gt;0),"REVISAR","OK")</x:f>
        <x:v>OK</x:v>
      </x:c>
    </x:row>
    <x:row r="28">
      <x:c r="A28" s="51" t="n">
        <x:v>38777</x:v>
      </x:c>
      <x:c r="B28" s="49" t="n">
        <x:v>7408516.681000001</x:v>
      </x:c>
      <x:c r="C28" s="49" t="n">
        <x:f>B28/1000</x:f>
        <x:v>7408.516681000001</x:v>
      </x:c>
      <x:c r="D28" s="52" t="n">
        <x:v>49142423</x:v>
      </x:c>
      <x:c r="E28" s="52" t="n">
        <x:v>9</x:v>
      </x:c>
      <x:c r="F28" s="52" t="n">
        <x:v>5</x:v>
      </x:c>
      <x:c r="G28" s="52" t="n">
        <x:v>1</x:v>
      </x:c>
      <x:c r="H28" s="52" t="n">
        <x:v>0</x:v>
      </x:c>
      <x:c r="I28" s="53" t="str">
        <x:f>IF(OR(F28&lt;&gt;5,H28&gt;0),"REVISAR","OK")</x:f>
        <x:v>OK</x:v>
      </x:c>
    </x:row>
    <x:row r="29">
      <x:c r="A29" s="51" t="n">
        <x:v>38808</x:v>
      </x:c>
      <x:c r="B29" s="49" t="n">
        <x:v>7229825.818</x:v>
      </x:c>
      <x:c r="C29" s="49" t="n">
        <x:f>B29/1000</x:f>
        <x:v>7229.825818</x:v>
      </x:c>
      <x:c r="D29" s="52" t="n">
        <x:v>49223956</x:v>
      </x:c>
      <x:c r="E29" s="52" t="n">
        <x:v>9</x:v>
      </x:c>
      <x:c r="F29" s="52" t="n">
        <x:v>5</x:v>
      </x:c>
      <x:c r="G29" s="52" t="n">
        <x:v>1</x:v>
      </x:c>
      <x:c r="H29" s="52" t="n">
        <x:v>0</x:v>
      </x:c>
      <x:c r="I29" s="53" t="str">
        <x:f>IF(OR(F29&lt;&gt;5,H29&gt;0),"REVISAR","OK")</x:f>
        <x:v>OK</x:v>
      </x:c>
    </x:row>
    <x:row r="30">
      <x:c r="A30" s="51" t="n">
        <x:v>38838</x:v>
      </x:c>
      <x:c r="B30" s="49" t="n">
        <x:v>6933355.613</x:v>
      </x:c>
      <x:c r="C30" s="49" t="n">
        <x:f>B30/1000</x:f>
        <x:v>6933.355613</x:v>
      </x:c>
      <x:c r="D30" s="52" t="n">
        <x:v>49381893</x:v>
      </x:c>
      <x:c r="E30" s="52" t="n">
        <x:v>9</x:v>
      </x:c>
      <x:c r="F30" s="52" t="n">
        <x:v>5</x:v>
      </x:c>
      <x:c r="G30" s="52" t="n">
        <x:v>1</x:v>
      </x:c>
      <x:c r="H30" s="52" t="n">
        <x:v>0</x:v>
      </x:c>
      <x:c r="I30" s="53" t="str">
        <x:f>IF(OR(F30&lt;&gt;5,H30&gt;0),"REVISAR","OK")</x:f>
        <x:v>OK</x:v>
      </x:c>
    </x:row>
    <x:row r="31">
      <x:c r="A31" s="51" t="n">
        <x:v>38869</x:v>
      </x:c>
      <x:c r="B31" s="49" t="n">
        <x:v>6963614.779</x:v>
      </x:c>
      <x:c r="C31" s="49" t="n">
        <x:f>B31/1000</x:f>
        <x:v>6963.614779</x:v>
      </x:c>
      <x:c r="D31" s="52" t="n">
        <x:v>49488764</x:v>
      </x:c>
      <x:c r="E31" s="52" t="n">
        <x:v>9</x:v>
      </x:c>
      <x:c r="F31" s="52" t="n">
        <x:v>5</x:v>
      </x:c>
      <x:c r="G31" s="52" t="n">
        <x:v>1</x:v>
      </x:c>
      <x:c r="H31" s="52" t="n">
        <x:v>0</x:v>
      </x:c>
      <x:c r="I31" s="53" t="str">
        <x:f>IF(OR(F31&lt;&gt;5,H31&gt;0),"REVISAR","OK")</x:f>
        <x:v>OK</x:v>
      </x:c>
    </x:row>
    <x:row r="32">
      <x:c r="A32" s="51" t="n">
        <x:v>38899</x:v>
      </x:c>
      <x:c r="B32" s="49" t="n">
        <x:v>6892915.367999999</x:v>
      </x:c>
      <x:c r="C32" s="49" t="n">
        <x:f>B32/1000</x:f>
        <x:v>6892.915367999999</x:v>
      </x:c>
      <x:c r="D32" s="52" t="n">
        <x:v>49619532</x:v>
      </x:c>
      <x:c r="E32" s="52" t="n">
        <x:v>9</x:v>
      </x:c>
      <x:c r="F32" s="52" t="n">
        <x:v>5</x:v>
      </x:c>
      <x:c r="G32" s="52" t="n">
        <x:v>1</x:v>
      </x:c>
      <x:c r="H32" s="52" t="n">
        <x:v>0</x:v>
      </x:c>
      <x:c r="I32" s="53" t="str">
        <x:f>IF(OR(F32&lt;&gt;5,H32&gt;0),"REVISAR","OK")</x:f>
        <x:v>OK</x:v>
      </x:c>
    </x:row>
    <x:row r="33">
      <x:c r="A33" s="51" t="n">
        <x:v>38930</x:v>
      </x:c>
      <x:c r="B33" s="49" t="n">
        <x:v>6939971.547</x:v>
      </x:c>
      <x:c r="C33" s="49" t="n">
        <x:f>B33/1000</x:f>
        <x:v>6939.971547</x:v>
      </x:c>
      <x:c r="D33" s="52" t="n">
        <x:v>49775917</x:v>
      </x:c>
      <x:c r="E33" s="52" t="n">
        <x:v>9</x:v>
      </x:c>
      <x:c r="F33" s="52" t="n">
        <x:v>5</x:v>
      </x:c>
      <x:c r="G33" s="52" t="n">
        <x:v>1</x:v>
      </x:c>
      <x:c r="H33" s="52" t="n">
        <x:v>0</x:v>
      </x:c>
      <x:c r="I33" s="53" t="str">
        <x:f>IF(OR(F33&lt;&gt;5,H33&gt;0),"REVISAR","OK")</x:f>
        <x:v>OK</x:v>
      </x:c>
    </x:row>
    <x:row r="34">
      <x:c r="A34" s="51" t="n">
        <x:v>38961</x:v>
      </x:c>
      <x:c r="B34" s="49" t="n">
        <x:v>7128370.581</x:v>
      </x:c>
      <x:c r="C34" s="49" t="n">
        <x:f>B34/1000</x:f>
        <x:v>7128.370581</x:v>
      </x:c>
      <x:c r="D34" s="52" t="n">
        <x:v>49930638</x:v>
      </x:c>
      <x:c r="E34" s="52" t="n">
        <x:v>9</x:v>
      </x:c>
      <x:c r="F34" s="52" t="n">
        <x:v>5</x:v>
      </x:c>
      <x:c r="G34" s="52" t="n">
        <x:v>1</x:v>
      </x:c>
      <x:c r="H34" s="52" t="n">
        <x:v>0</x:v>
      </x:c>
      <x:c r="I34" s="53" t="str">
        <x:f>IF(OR(F34&lt;&gt;5,H34&gt;0),"REVISAR","OK")</x:f>
        <x:v>OK</x:v>
      </x:c>
    </x:row>
    <x:row r="35">
      <x:c r="A35" s="51" t="n">
        <x:v>38991</x:v>
      </x:c>
      <x:c r="B35" s="49" t="n">
        <x:v>7182235.971</x:v>
      </x:c>
      <x:c r="C35" s="49" t="n">
        <x:f>B35/1000</x:f>
        <x:v>7182.235971</x:v>
      </x:c>
      <x:c r="D35" s="52" t="n">
        <x:v>49993268</x:v>
      </x:c>
      <x:c r="E35" s="52" t="n">
        <x:v>9</x:v>
      </x:c>
      <x:c r="F35" s="52" t="n">
        <x:v>5</x:v>
      </x:c>
      <x:c r="G35" s="52" t="n">
        <x:v>1</x:v>
      </x:c>
      <x:c r="H35" s="52" t="n">
        <x:v>0</x:v>
      </x:c>
      <x:c r="I35" s="53" t="str">
        <x:f>IF(OR(F35&lt;&gt;5,H35&gt;0),"REVISAR","OK")</x:f>
        <x:v>OK</x:v>
      </x:c>
    </x:row>
    <x:row r="36">
      <x:c r="A36" s="51" t="n">
        <x:v>39022</x:v>
      </x:c>
      <x:c r="B36" s="49" t="n">
        <x:v>7438708.379</x:v>
      </x:c>
      <x:c r="C36" s="49" t="n">
        <x:f>B36/1000</x:f>
        <x:v>7438.708379</x:v>
      </x:c>
      <x:c r="D36" s="52" t="n">
        <x:v>50264291</x:v>
      </x:c>
      <x:c r="E36" s="52" t="n">
        <x:v>9</x:v>
      </x:c>
      <x:c r="F36" s="52" t="n">
        <x:v>5</x:v>
      </x:c>
      <x:c r="G36" s="52" t="n">
        <x:v>1</x:v>
      </x:c>
      <x:c r="H36" s="52" t="n">
        <x:v>0</x:v>
      </x:c>
      <x:c r="I36" s="53" t="str">
        <x:f>IF(OR(F36&lt;&gt;5,H36&gt;0),"REVISAR","OK")</x:f>
        <x:v>OK</x:v>
      </x:c>
    </x:row>
    <x:row r="37">
      <x:c r="A37" s="51" t="n">
        <x:v>39052</x:v>
      </x:c>
      <x:c r="B37" s="49" t="n">
        <x:v>7366884.597999999</x:v>
      </x:c>
      <x:c r="C37" s="49" t="n">
        <x:f>B37/1000</x:f>
        <x:v>7366.884598</x:v>
      </x:c>
      <x:c r="D37" s="52" t="n">
        <x:v>50318859</x:v>
      </x:c>
      <x:c r="E37" s="52" t="n">
        <x:v>9</x:v>
      </x:c>
      <x:c r="F37" s="52" t="n">
        <x:v>5</x:v>
      </x:c>
      <x:c r="G37" s="52" t="n">
        <x:v>1</x:v>
      </x:c>
      <x:c r="H37" s="52" t="n">
        <x:v>0</x:v>
      </x:c>
      <x:c r="I37" s="53" t="str">
        <x:f>IF(OR(F37&lt;&gt;5,H37&gt;0),"REVISAR","OK")</x:f>
        <x:v>OK</x:v>
      </x:c>
    </x:row>
    <x:row r="38">
      <x:c r="A38" s="51" t="n">
        <x:v>39083</x:v>
      </x:c>
      <x:c r="B38" s="49" t="n">
        <x:v>7710353</x:v>
      </x:c>
      <x:c r="C38" s="49" t="n">
        <x:f>B38/1000</x:f>
        <x:v>7710.353</x:v>
      </x:c>
      <x:c r="D38" s="52" t="n">
        <x:v>50411787</x:v>
      </x:c>
      <x:c r="E38" s="52" t="n">
        <x:v>9</x:v>
      </x:c>
      <x:c r="F38" s="52" t="n">
        <x:v>5</x:v>
      </x:c>
      <x:c r="G38" s="52" t="n">
        <x:v>1</x:v>
      </x:c>
      <x:c r="H38" s="52" t="n">
        <x:v>0</x:v>
      </x:c>
      <x:c r="I38" s="53" t="str">
        <x:f>IF(OR(F38&lt;&gt;5,H38&gt;0),"REVISAR","OK")</x:f>
        <x:v>OK</x:v>
      </x:c>
    </x:row>
    <x:row r="39">
      <x:c r="A39" s="51" t="n">
        <x:v>39114</x:v>
      </x:c>
      <x:c r="B39" s="49" t="n">
        <x:v>7392941</x:v>
      </x:c>
      <x:c r="C39" s="49" t="n">
        <x:f>B39/1000</x:f>
        <x:v>7392.941</x:v>
      </x:c>
      <x:c r="D39" s="52" t="n">
        <x:v>50616909</x:v>
      </x:c>
      <x:c r="E39" s="52" t="n">
        <x:v>9</x:v>
      </x:c>
      <x:c r="F39" s="52" t="n">
        <x:v>5</x:v>
      </x:c>
      <x:c r="G39" s="52" t="n">
        <x:v>1</x:v>
      </x:c>
      <x:c r="H39" s="52" t="n">
        <x:v>0</x:v>
      </x:c>
      <x:c r="I39" s="53" t="str">
        <x:f>IF(OR(F39&lt;&gt;5,H39&gt;0),"REVISAR","OK")</x:f>
        <x:v>OK</x:v>
      </x:c>
    </x:row>
    <x:row r="40">
      <x:c r="A40" s="51" t="n">
        <x:v>39142</x:v>
      </x:c>
      <x:c r="B40" s="49" t="n">
        <x:v>7594317</x:v>
      </x:c>
      <x:c r="C40" s="49" t="n">
        <x:f>B40/1000</x:f>
        <x:v>7594.317</x:v>
      </x:c>
      <x:c r="D40" s="52" t="n">
        <x:v>50794759</x:v>
      </x:c>
      <x:c r="E40" s="52" t="n">
        <x:v>9</x:v>
      </x:c>
      <x:c r="F40" s="52" t="n">
        <x:v>5</x:v>
      </x:c>
      <x:c r="G40" s="52" t="n">
        <x:v>1</x:v>
      </x:c>
      <x:c r="H40" s="52" t="n">
        <x:v>0</x:v>
      </x:c>
      <x:c r="I40" s="53" t="str">
        <x:f>IF(OR(F40&lt;&gt;5,H40&gt;0),"REVISAR","OK")</x:f>
        <x:v>OK</x:v>
      </x:c>
    </x:row>
    <x:row r="41">
      <x:c r="A41" s="51" t="n">
        <x:v>39173</x:v>
      </x:c>
      <x:c r="B41" s="49" t="n">
        <x:v>7728826</x:v>
      </x:c>
      <x:c r="C41" s="49" t="n">
        <x:f>B41/1000</x:f>
        <x:v>7728.826</x:v>
      </x:c>
      <x:c r="D41" s="52" t="n">
        <x:v>50809168</x:v>
      </x:c>
      <x:c r="E41" s="52" t="n">
        <x:v>9</x:v>
      </x:c>
      <x:c r="F41" s="52" t="n">
        <x:v>5</x:v>
      </x:c>
      <x:c r="G41" s="52" t="n">
        <x:v>1</x:v>
      </x:c>
      <x:c r="H41" s="52" t="n">
        <x:v>0</x:v>
      </x:c>
      <x:c r="I41" s="53" t="str">
        <x:f>IF(OR(F41&lt;&gt;5,H41&gt;0),"REVISAR","OK")</x:f>
        <x:v>OK</x:v>
      </x:c>
    </x:row>
    <x:row r="42">
      <x:c r="A42" s="51" t="n">
        <x:v>39203</x:v>
      </x:c>
      <x:c r="B42" s="49" t="n">
        <x:v>7491488</x:v>
      </x:c>
      <x:c r="C42" s="49" t="n">
        <x:f>B42/1000</x:f>
        <x:v>7491.488</x:v>
      </x:c>
      <x:c r="D42" s="52" t="n">
        <x:v>50968860</x:v>
      </x:c>
      <x:c r="E42" s="52" t="n">
        <x:v>9</x:v>
      </x:c>
      <x:c r="F42" s="52" t="n">
        <x:v>5</x:v>
      </x:c>
      <x:c r="G42" s="52" t="n">
        <x:v>1</x:v>
      </x:c>
      <x:c r="H42" s="52" t="n">
        <x:v>0</x:v>
      </x:c>
      <x:c r="I42" s="53" t="str">
        <x:f>IF(OR(F42&lt;&gt;5,H42&gt;0),"REVISAR","OK")</x:f>
        <x:v>OK</x:v>
      </x:c>
    </x:row>
    <x:row r="43">
      <x:c r="A43" s="51" t="n">
        <x:v>39234</x:v>
      </x:c>
      <x:c r="B43" s="49" t="n">
        <x:v>7204161</x:v>
      </x:c>
      <x:c r="C43" s="49" t="n">
        <x:f>B43/1000</x:f>
        <x:v>7204.161</x:v>
      </x:c>
      <x:c r="D43" s="52" t="n">
        <x:v>51120945</x:v>
      </x:c>
      <x:c r="E43" s="52" t="n">
        <x:v>9</x:v>
      </x:c>
      <x:c r="F43" s="52" t="n">
        <x:v>5</x:v>
      </x:c>
      <x:c r="G43" s="52" t="n">
        <x:v>1</x:v>
      </x:c>
      <x:c r="H43" s="52" t="n">
        <x:v>0</x:v>
      </x:c>
      <x:c r="I43" s="53" t="str">
        <x:f>IF(OR(F43&lt;&gt;5,H43&gt;0),"REVISAR","OK")</x:f>
        <x:v>OK</x:v>
      </x:c>
    </x:row>
    <x:row r="44">
      <x:c r="A44" s="51" t="n">
        <x:v>39264</x:v>
      </x:c>
      <x:c r="B44" s="49" t="n">
        <x:v>7071277</x:v>
      </x:c>
      <x:c r="C44" s="49" t="n">
        <x:f>B44/1000</x:f>
        <x:v>7071.277</x:v>
      </x:c>
      <x:c r="D44" s="52" t="n">
        <x:v>51216986</x:v>
      </x:c>
      <x:c r="E44" s="52" t="n">
        <x:v>9</x:v>
      </x:c>
      <x:c r="F44" s="52" t="n">
        <x:v>5</x:v>
      </x:c>
      <x:c r="G44" s="52" t="n">
        <x:v>1</x:v>
      </x:c>
      <x:c r="H44" s="52" t="n">
        <x:v>0</x:v>
      </x:c>
      <x:c r="I44" s="53" t="str">
        <x:f>IF(OR(F44&lt;&gt;5,H44&gt;0),"REVISAR","OK")</x:f>
        <x:v>OK</x:v>
      </x:c>
    </x:row>
    <x:row r="45">
      <x:c r="A45" s="51" t="n">
        <x:v>39295</x:v>
      </x:c>
      <x:c r="B45" s="49" t="n">
        <x:v>7344516</x:v>
      </x:c>
      <x:c r="C45" s="49" t="n">
        <x:f>B45/1000</x:f>
        <x:v>7344.516</x:v>
      </x:c>
      <x:c r="D45" s="52" t="n">
        <x:v>51420926</x:v>
      </x:c>
      <x:c r="E45" s="52" t="n">
        <x:v>9</x:v>
      </x:c>
      <x:c r="F45" s="52" t="n">
        <x:v>5</x:v>
      </x:c>
      <x:c r="G45" s="52" t="n">
        <x:v>1</x:v>
      </x:c>
      <x:c r="H45" s="52" t="n">
        <x:v>0</x:v>
      </x:c>
      <x:c r="I45" s="53" t="str">
        <x:f>IF(OR(F45&lt;&gt;5,H45&gt;0),"REVISAR","OK")</x:f>
        <x:v>OK</x:v>
      </x:c>
    </x:row>
    <x:row r="46">
      <x:c r="A46" s="51" t="n">
        <x:v>39326</x:v>
      </x:c>
      <x:c r="B46" s="49" t="n">
        <x:v>7449312</x:v>
      </x:c>
      <x:c r="C46" s="49" t="n">
        <x:f>B46/1000</x:f>
        <x:v>7449.312</x:v>
      </x:c>
      <x:c r="D46" s="52" t="n">
        <x:v>51518818</x:v>
      </x:c>
      <x:c r="E46" s="52" t="n">
        <x:v>9</x:v>
      </x:c>
      <x:c r="F46" s="52" t="n">
        <x:v>5</x:v>
      </x:c>
      <x:c r="G46" s="52" t="n">
        <x:v>1</x:v>
      </x:c>
      <x:c r="H46" s="52" t="n">
        <x:v>0</x:v>
      </x:c>
      <x:c r="I46" s="53" t="str">
        <x:f>IF(OR(F46&lt;&gt;5,H46&gt;0),"REVISAR","OK")</x:f>
        <x:v>OK</x:v>
      </x:c>
    </x:row>
    <x:row r="47">
      <x:c r="A47" s="51" t="n">
        <x:v>39356</x:v>
      </x:c>
      <x:c r="B47" s="49" t="n">
        <x:v>7511776</x:v>
      </x:c>
      <x:c r="C47" s="49" t="n">
        <x:f>B47/1000</x:f>
        <x:v>7511.776</x:v>
      </x:c>
      <x:c r="D47" s="52" t="n">
        <x:v>51736528</x:v>
      </x:c>
      <x:c r="E47" s="52" t="n">
        <x:v>9</x:v>
      </x:c>
      <x:c r="F47" s="52" t="n">
        <x:v>5</x:v>
      </x:c>
      <x:c r="G47" s="52" t="n">
        <x:v>1</x:v>
      </x:c>
      <x:c r="H47" s="52" t="n">
        <x:v>0</x:v>
      </x:c>
      <x:c r="I47" s="53" t="str">
        <x:f>IF(OR(F47&lt;&gt;5,H47&gt;0),"REVISAR","OK")</x:f>
        <x:v>OK</x:v>
      </x:c>
    </x:row>
    <x:row r="48">
      <x:c r="A48" s="51" t="n">
        <x:v>39387</x:v>
      </x:c>
      <x:c r="B48" s="49" t="n">
        <x:v>7768281</x:v>
      </x:c>
      <x:c r="C48" s="49" t="n">
        <x:f>B48/1000</x:f>
        <x:v>7768.281</x:v>
      </x:c>
      <x:c r="D48" s="52" t="n">
        <x:v>51878451</x:v>
      </x:c>
      <x:c r="E48" s="52" t="n">
        <x:v>9</x:v>
      </x:c>
      <x:c r="F48" s="52" t="n">
        <x:v>5</x:v>
      </x:c>
      <x:c r="G48" s="52" t="n">
        <x:v>1</x:v>
      </x:c>
      <x:c r="H48" s="52" t="n">
        <x:v>0</x:v>
      </x:c>
      <x:c r="I48" s="53" t="str">
        <x:f>IF(OR(F48&lt;&gt;5,H48&gt;0),"REVISAR","OK")</x:f>
        <x:v>OK</x:v>
      </x:c>
    </x:row>
    <x:row r="49">
      <x:c r="A49" s="51" t="n">
        <x:v>39417</x:v>
      </x:c>
      <x:c r="B49" s="49" t="n">
        <x:v>7618124</x:v>
      </x:c>
      <x:c r="C49" s="49" t="n">
        <x:f>B49/1000</x:f>
        <x:v>7618.124</x:v>
      </x:c>
      <x:c r="D49" s="52" t="n">
        <x:v>52057455</x:v>
      </x:c>
      <x:c r="E49" s="52" t="n">
        <x:v>9</x:v>
      </x:c>
      <x:c r="F49" s="52" t="n">
        <x:v>5</x:v>
      </x:c>
      <x:c r="G49" s="52" t="n">
        <x:v>1</x:v>
      </x:c>
      <x:c r="H49" s="52" t="n">
        <x:v>0</x:v>
      </x:c>
      <x:c r="I49" s="53" t="str">
        <x:f>IF(OR(F49&lt;&gt;5,H49&gt;0),"REVISAR","OK")</x:f>
        <x:v>OK</x:v>
      </x:c>
    </x:row>
    <x:row r="50">
      <x:c r="A50" s="51" t="n">
        <x:v>39448</x:v>
      </x:c>
      <x:c r="B50" s="49" t="n">
        <x:v>8134240.673</x:v>
      </x:c>
      <x:c r="C50" s="49" t="n">
        <x:f>B50/1000</x:f>
        <x:v>8134.240673</x:v>
      </x:c>
      <x:c r="D50" s="52" t="n">
        <x:v>52285499</x:v>
      </x:c>
      <x:c r="E50" s="52" t="n">
        <x:v>9</x:v>
      </x:c>
      <x:c r="F50" s="52" t="n">
        <x:v>5</x:v>
      </x:c>
      <x:c r="G50" s="52" t="n">
        <x:v>1</x:v>
      </x:c>
      <x:c r="H50" s="52" t="n">
        <x:v>0</x:v>
      </x:c>
      <x:c r="I50" s="53" t="str">
        <x:f>IF(OR(F50&lt;&gt;5,H50&gt;0),"REVISAR","OK")</x:f>
        <x:v>OK</x:v>
      </x:c>
    </x:row>
    <x:row r="51">
      <x:c r="A51" s="51" t="n">
        <x:v>39479</x:v>
      </x:c>
      <x:c r="B51" s="49" t="n">
        <x:v>7958717.007999999</x:v>
      </x:c>
      <x:c r="C51" s="49" t="n">
        <x:f>B51/1000</x:f>
        <x:v>7958.717008</x:v>
      </x:c>
      <x:c r="D51" s="52" t="n">
        <x:v>52669169</x:v>
      </x:c>
      <x:c r="E51" s="52" t="n">
        <x:v>9</x:v>
      </x:c>
      <x:c r="F51" s="52" t="n">
        <x:v>5</x:v>
      </x:c>
      <x:c r="G51" s="52" t="n">
        <x:v>1</x:v>
      </x:c>
      <x:c r="H51" s="52" t="n">
        <x:v>0</x:v>
      </x:c>
      <x:c r="I51" s="53" t="str">
        <x:f>IF(OR(F51&lt;&gt;5,H51&gt;0),"REVISAR","OK")</x:f>
        <x:v>OK</x:v>
      </x:c>
    </x:row>
    <x:row r="52">
      <x:c r="A52" s="51" t="n">
        <x:v>39508</x:v>
      </x:c>
      <x:c r="B52" s="49" t="n">
        <x:v>7693600.865</x:v>
      </x:c>
      <x:c r="C52" s="49" t="n">
        <x:f>B52/1000</x:f>
        <x:v>7693.600865</x:v>
      </x:c>
      <x:c r="D52" s="52" t="n">
        <x:v>52916044</x:v>
      </x:c>
      <x:c r="E52" s="52" t="n">
        <x:v>9</x:v>
      </x:c>
      <x:c r="F52" s="52" t="n">
        <x:v>5</x:v>
      </x:c>
      <x:c r="G52" s="52" t="n">
        <x:v>1</x:v>
      </x:c>
      <x:c r="H52" s="52" t="n">
        <x:v>0</x:v>
      </x:c>
      <x:c r="I52" s="53" t="str">
        <x:f>IF(OR(F52&lt;&gt;5,H52&gt;0),"REVISAR","OK")</x:f>
        <x:v>OK</x:v>
      </x:c>
    </x:row>
    <x:row r="53">
      <x:c r="A53" s="51" t="n">
        <x:v>39539</x:v>
      </x:c>
      <x:c r="B53" s="49" t="n">
        <x:v>7754681.104</x:v>
      </x:c>
      <x:c r="C53" s="49" t="n">
        <x:f>B53/1000</x:f>
        <x:v>7754.681104</x:v>
      </x:c>
      <x:c r="D53" s="52" t="n">
        <x:v>53037415</x:v>
      </x:c>
      <x:c r="E53" s="52" t="n">
        <x:v>9</x:v>
      </x:c>
      <x:c r="F53" s="52" t="n">
        <x:v>5</x:v>
      </x:c>
      <x:c r="G53" s="52" t="n">
        <x:v>1</x:v>
      </x:c>
      <x:c r="H53" s="52" t="n">
        <x:v>0</x:v>
      </x:c>
      <x:c r="I53" s="53" t="str">
        <x:f>IF(OR(F53&lt;&gt;5,H53&gt;0),"REVISAR","OK")</x:f>
        <x:v>OK</x:v>
      </x:c>
    </x:row>
    <x:row r="54">
      <x:c r="A54" s="51" t="n">
        <x:v>39569</x:v>
      </x:c>
      <x:c r="B54" s="49" t="n">
        <x:v>7933880.683</x:v>
      </x:c>
      <x:c r="C54" s="49" t="n">
        <x:f>B54/1000</x:f>
        <x:v>7933.880683</x:v>
      </x:c>
      <x:c r="D54" s="52" t="n">
        <x:v>53197046</x:v>
      </x:c>
      <x:c r="E54" s="52" t="n">
        <x:v>9</x:v>
      </x:c>
      <x:c r="F54" s="52" t="n">
        <x:v>5</x:v>
      </x:c>
      <x:c r="G54" s="52" t="n">
        <x:v>1</x:v>
      </x:c>
      <x:c r="H54" s="52" t="n">
        <x:v>0</x:v>
      </x:c>
      <x:c r="I54" s="53" t="str">
        <x:f>IF(OR(F54&lt;&gt;5,H54&gt;0),"REVISAR","OK")</x:f>
        <x:v>OK</x:v>
      </x:c>
    </x:row>
    <x:row r="55">
      <x:c r="A55" s="51" t="n">
        <x:v>39600</x:v>
      </x:c>
      <x:c r="B55" s="49" t="n">
        <x:v>7621230.414</x:v>
      </x:c>
      <x:c r="C55" s="49" t="n">
        <x:f>B55/1000</x:f>
        <x:v>7621.230414</x:v>
      </x:c>
      <x:c r="D55" s="52" t="n">
        <x:v>53058089</x:v>
      </x:c>
      <x:c r="E55" s="52" t="n">
        <x:v>9</x:v>
      </x:c>
      <x:c r="F55" s="52" t="n">
        <x:v>5</x:v>
      </x:c>
      <x:c r="G55" s="52" t="n">
        <x:v>1</x:v>
      </x:c>
      <x:c r="H55" s="52" t="n">
        <x:v>0</x:v>
      </x:c>
      <x:c r="I55" s="53" t="str">
        <x:f>IF(OR(F55&lt;&gt;5,H55&gt;0),"REVISAR","OK")</x:f>
        <x:v>OK</x:v>
      </x:c>
    </x:row>
    <x:row r="56">
      <x:c r="A56" s="51" t="n">
        <x:v>39630</x:v>
      </x:c>
      <x:c r="B56" s="49" t="n">
        <x:v>7653505.215</x:v>
      </x:c>
      <x:c r="C56" s="49" t="n">
        <x:f>B56/1000</x:f>
        <x:v>7653.505215</x:v>
      </x:c>
      <x:c r="D56" s="52" t="n">
        <x:v>53202195</x:v>
      </x:c>
      <x:c r="E56" s="52" t="n">
        <x:v>9</x:v>
      </x:c>
      <x:c r="F56" s="52" t="n">
        <x:v>5</x:v>
      </x:c>
      <x:c r="G56" s="52" t="n">
        <x:v>1</x:v>
      </x:c>
      <x:c r="H56" s="52" t="n">
        <x:v>0</x:v>
      </x:c>
      <x:c r="I56" s="53" t="str">
        <x:f>IF(OR(F56&lt;&gt;5,H56&gt;0),"REVISAR","OK")</x:f>
        <x:v>OK</x:v>
      </x:c>
    </x:row>
    <x:row r="57">
      <x:c r="A57" s="51" t="n">
        <x:v>39661</x:v>
      </x:c>
      <x:c r="B57" s="49" t="n">
        <x:v>7880631.602</x:v>
      </x:c>
      <x:c r="C57" s="49" t="n">
        <x:f>B57/1000</x:f>
        <x:v>7880.631602</x:v>
      </x:c>
      <x:c r="D57" s="52" t="n">
        <x:v>53414111</x:v>
      </x:c>
      <x:c r="E57" s="52" t="n">
        <x:v>9</x:v>
      </x:c>
      <x:c r="F57" s="52" t="n">
        <x:v>5</x:v>
      </x:c>
      <x:c r="G57" s="52" t="n">
        <x:v>1</x:v>
      </x:c>
      <x:c r="H57" s="52" t="n">
        <x:v>0</x:v>
      </x:c>
      <x:c r="I57" s="53" t="str">
        <x:f>IF(OR(F57&lt;&gt;5,H57&gt;0),"REVISAR","OK")</x:f>
        <x:v>OK</x:v>
      </x:c>
    </x:row>
    <x:row r="58">
      <x:c r="A58" s="51" t="n">
        <x:v>39692</x:v>
      </x:c>
      <x:c r="B58" s="49" t="n">
        <x:v>7815707.904</x:v>
      </x:c>
      <x:c r="C58" s="49" t="n">
        <x:f>B58/1000</x:f>
        <x:v>7815.707904</x:v>
      </x:c>
      <x:c r="D58" s="52" t="n">
        <x:v>53648913</x:v>
      </x:c>
      <x:c r="E58" s="52" t="n">
        <x:v>9</x:v>
      </x:c>
      <x:c r="F58" s="52" t="n">
        <x:v>5</x:v>
      </x:c>
      <x:c r="G58" s="52" t="n">
        <x:v>1</x:v>
      </x:c>
      <x:c r="H58" s="52" t="n">
        <x:v>0</x:v>
      </x:c>
      <x:c r="I58" s="53" t="str">
        <x:f>IF(OR(F58&lt;&gt;5,H58&gt;0),"REVISAR","OK")</x:f>
        <x:v>OK</x:v>
      </x:c>
    </x:row>
    <x:row r="59">
      <x:c r="A59" s="51" t="n">
        <x:v>39722</x:v>
      </x:c>
      <x:c r="B59" s="49" t="n">
        <x:v>8119784.796</x:v>
      </x:c>
      <x:c r="C59" s="49" t="n">
        <x:f>B59/1000</x:f>
        <x:v>8119.784796</x:v>
      </x:c>
      <x:c r="D59" s="52" t="n">
        <x:v>53862496</x:v>
      </x:c>
      <x:c r="E59" s="52" t="n">
        <x:v>9</x:v>
      </x:c>
      <x:c r="F59" s="52" t="n">
        <x:v>5</x:v>
      </x:c>
      <x:c r="G59" s="52" t="n">
        <x:v>1</x:v>
      </x:c>
      <x:c r="H59" s="52" t="n">
        <x:v>0</x:v>
      </x:c>
      <x:c r="I59" s="53" t="str">
        <x:f>IF(OR(F59&lt;&gt;5,H59&gt;0),"REVISAR","OK")</x:f>
        <x:v>OK</x:v>
      </x:c>
    </x:row>
    <x:row r="60">
      <x:c r="A60" s="51" t="n">
        <x:v>39753</x:v>
      </x:c>
      <x:c r="B60" s="49" t="n">
        <x:v>8237719.125</x:v>
      </x:c>
      <x:c r="C60" s="49" t="n">
        <x:f>B60/1000</x:f>
        <x:v>8237.719125</x:v>
      </x:c>
      <x:c r="D60" s="52" t="n">
        <x:v>53902747</x:v>
      </x:c>
      <x:c r="E60" s="52" t="n">
        <x:v>9</x:v>
      </x:c>
      <x:c r="F60" s="52" t="n">
        <x:v>5</x:v>
      </x:c>
      <x:c r="G60" s="52" t="n">
        <x:v>1</x:v>
      </x:c>
      <x:c r="H60" s="52" t="n">
        <x:v>0</x:v>
      </x:c>
      <x:c r="I60" s="53" t="str">
        <x:f>IF(OR(F60&lt;&gt;5,H60&gt;0),"REVISAR","OK")</x:f>
        <x:v>OK</x:v>
      </x:c>
    </x:row>
    <x:row r="61">
      <x:c r="A61" s="51" t="n">
        <x:v>39783</x:v>
      </x:c>
      <x:c r="B61" s="49" t="n">
        <x:v>7942689.348</x:v>
      </x:c>
      <x:c r="C61" s="49" t="n">
        <x:f>B61/1000</x:f>
        <x:v>7942.689348</x:v>
      </x:c>
      <x:c r="D61" s="52" t="n">
        <x:v>54156879</x:v>
      </x:c>
      <x:c r="E61" s="52" t="n">
        <x:v>9</x:v>
      </x:c>
      <x:c r="F61" s="52" t="n">
        <x:v>5</x:v>
      </x:c>
      <x:c r="G61" s="52" t="n">
        <x:v>1</x:v>
      </x:c>
      <x:c r="H61" s="52" t="n">
        <x:v>0</x:v>
      </x:c>
      <x:c r="I61" s="53" t="str">
        <x:f>IF(OR(F61&lt;&gt;5,H61&gt;0),"REVISAR","OK")</x:f>
        <x:v>OK</x:v>
      </x:c>
    </x:row>
    <x:row r="62">
      <x:c r="A62" s="51" t="n">
        <x:v>39814</x:v>
      </x:c>
      <x:c r="B62" s="49" t="n">
        <x:v>8604549</x:v>
      </x:c>
      <x:c r="C62" s="49" t="n">
        <x:f>B62/1000</x:f>
        <x:v>8604.549</x:v>
      </x:c>
      <x:c r="D62" s="52" t="n">
        <x:v>54258623</x:v>
      </x:c>
      <x:c r="E62" s="52" t="n">
        <x:v>9</x:v>
      </x:c>
      <x:c r="F62" s="52" t="n">
        <x:v>5</x:v>
      </x:c>
      <x:c r="G62" s="52" t="n">
        <x:v>1</x:v>
      </x:c>
      <x:c r="H62" s="52" t="n">
        <x:v>0</x:v>
      </x:c>
      <x:c r="I62" s="53" t="str">
        <x:f>IF(OR(F62&lt;&gt;5,H62&gt;0),"REVISAR","OK")</x:f>
        <x:v>OK</x:v>
      </x:c>
    </x:row>
    <x:row r="63">
      <x:c r="A63" s="51" t="n">
        <x:v>39845</x:v>
      </x:c>
      <x:c r="B63" s="49" t="n">
        <x:v>8149451</x:v>
      </x:c>
      <x:c r="C63" s="49" t="n">
        <x:f>B63/1000</x:f>
        <x:v>8149.451</x:v>
      </x:c>
      <x:c r="D63" s="52" t="n">
        <x:v>54269879</x:v>
      </x:c>
      <x:c r="E63" s="52" t="n">
        <x:v>9</x:v>
      </x:c>
      <x:c r="F63" s="52" t="n">
        <x:v>5</x:v>
      </x:c>
      <x:c r="G63" s="52" t="n">
        <x:v>1</x:v>
      </x:c>
      <x:c r="H63" s="52" t="n">
        <x:v>0</x:v>
      </x:c>
      <x:c r="I63" s="53" t="str">
        <x:f>IF(OR(F63&lt;&gt;5,H63&gt;0),"REVISAR","OK")</x:f>
        <x:v>OK</x:v>
      </x:c>
    </x:row>
    <x:row r="64">
      <x:c r="A64" s="51" t="n">
        <x:v>39873</x:v>
      </x:c>
      <x:c r="B64" s="49" t="n">
        <x:v>8489683</x:v>
      </x:c>
      <x:c r="C64" s="49" t="n">
        <x:f>B64/1000</x:f>
        <x:v>8489.683</x:v>
      </x:c>
      <x:c r="D64" s="52" t="n">
        <x:v>54630946</x:v>
      </x:c>
      <x:c r="E64" s="52" t="n">
        <x:v>9</x:v>
      </x:c>
      <x:c r="F64" s="52" t="n">
        <x:v>5</x:v>
      </x:c>
      <x:c r="G64" s="52" t="n">
        <x:v>1</x:v>
      </x:c>
      <x:c r="H64" s="52" t="n">
        <x:v>0</x:v>
      </x:c>
      <x:c r="I64" s="53" t="str">
        <x:f>IF(OR(F64&lt;&gt;5,H64&gt;0),"REVISAR","OK")</x:f>
        <x:v>OK</x:v>
      </x:c>
    </x:row>
    <x:row r="65">
      <x:c r="A65" s="51" t="n">
        <x:v>39904</x:v>
      </x:c>
      <x:c r="B65" s="49" t="n">
        <x:v>8472103</x:v>
      </x:c>
      <x:c r="C65" s="49" t="n">
        <x:f>B65/1000</x:f>
        <x:v>8472.103</x:v>
      </x:c>
      <x:c r="D65" s="52" t="n">
        <x:v>54711872</x:v>
      </x:c>
      <x:c r="E65" s="52" t="n">
        <x:v>9</x:v>
      </x:c>
      <x:c r="F65" s="52" t="n">
        <x:v>5</x:v>
      </x:c>
      <x:c r="G65" s="52" t="n">
        <x:v>1</x:v>
      </x:c>
      <x:c r="H65" s="52" t="n">
        <x:v>0</x:v>
      </x:c>
      <x:c r="I65" s="53" t="str">
        <x:f>IF(OR(F65&lt;&gt;5,H65&gt;0),"REVISAR","OK")</x:f>
        <x:v>OK</x:v>
      </x:c>
    </x:row>
    <x:row r="66">
      <x:c r="A66" s="51" t="n">
        <x:v>39934</x:v>
      </x:c>
      <x:c r="B66" s="49" t="n">
        <x:v>8188290</x:v>
      </x:c>
      <x:c r="C66" s="49" t="n">
        <x:f>B66/1000</x:f>
        <x:v>8188.29</x:v>
      </x:c>
      <x:c r="D66" s="52" t="n">
        <x:v>54814253</x:v>
      </x:c>
      <x:c r="E66" s="52" t="n">
        <x:v>9</x:v>
      </x:c>
      <x:c r="F66" s="52" t="n">
        <x:v>5</x:v>
      </x:c>
      <x:c r="G66" s="52" t="n">
        <x:v>1</x:v>
      </x:c>
      <x:c r="H66" s="52" t="n">
        <x:v>0</x:v>
      </x:c>
      <x:c r="I66" s="53" t="str">
        <x:f>IF(OR(F66&lt;&gt;5,H66&gt;0),"REVISAR","OK")</x:f>
        <x:v>OK</x:v>
      </x:c>
    </x:row>
    <x:row r="67">
      <x:c r="A67" s="51" t="n">
        <x:v>39965</x:v>
      </x:c>
      <x:c r="B67" s="49" t="n">
        <x:v>7909210</x:v>
      </x:c>
      <x:c r="C67" s="49" t="n">
        <x:f>B67/1000</x:f>
        <x:v>7909.21</x:v>
      </x:c>
      <x:c r="D67" s="52" t="n">
        <x:v>54931592</x:v>
      </x:c>
      <x:c r="E67" s="52" t="n">
        <x:v>9</x:v>
      </x:c>
      <x:c r="F67" s="52" t="n">
        <x:v>5</x:v>
      </x:c>
      <x:c r="G67" s="52" t="n">
        <x:v>1</x:v>
      </x:c>
      <x:c r="H67" s="52" t="n">
        <x:v>0</x:v>
      </x:c>
      <x:c r="I67" s="53" t="str">
        <x:f>IF(OR(F67&lt;&gt;5,H67&gt;0),"REVISAR","OK")</x:f>
        <x:v>OK</x:v>
      </x:c>
    </x:row>
    <x:row r="68">
      <x:c r="A68" s="51" t="n">
        <x:v>39995</x:v>
      </x:c>
      <x:c r="B68" s="49" t="n">
        <x:v>8104995</x:v>
      </x:c>
      <x:c r="C68" s="49" t="n">
        <x:f>B68/1000</x:f>
        <x:v>8104.995</x:v>
      </x:c>
      <x:c r="D68" s="52" t="n">
        <x:v>55159860</x:v>
      </x:c>
      <x:c r="E68" s="52" t="n">
        <x:v>9</x:v>
      </x:c>
      <x:c r="F68" s="52" t="n">
        <x:v>5</x:v>
      </x:c>
      <x:c r="G68" s="52" t="n">
        <x:v>1</x:v>
      </x:c>
      <x:c r="H68" s="52" t="n">
        <x:v>0</x:v>
      </x:c>
      <x:c r="I68" s="53" t="str">
        <x:f>IF(OR(F68&lt;&gt;5,H68&gt;0),"REVISAR","OK")</x:f>
        <x:v>OK</x:v>
      </x:c>
    </x:row>
    <x:row r="69">
      <x:c r="A69" s="51" t="n">
        <x:v>40026</x:v>
      </x:c>
      <x:c r="B69" s="49" t="n">
        <x:v>8402964</x:v>
      </x:c>
      <x:c r="C69" s="49" t="n">
        <x:f>B69/1000</x:f>
        <x:v>8402.964</x:v>
      </x:c>
      <x:c r="D69" s="52" t="n">
        <x:v>55237523</x:v>
      </x:c>
      <x:c r="E69" s="52" t="n">
        <x:v>9</x:v>
      </x:c>
      <x:c r="F69" s="52" t="n">
        <x:v>5</x:v>
      </x:c>
      <x:c r="G69" s="52" t="n">
        <x:v>1</x:v>
      </x:c>
      <x:c r="H69" s="52" t="n">
        <x:v>0</x:v>
      </x:c>
      <x:c r="I69" s="53" t="str">
        <x:f>IF(OR(F69&lt;&gt;5,H69&gt;0),"REVISAR","OK")</x:f>
        <x:v>OK</x:v>
      </x:c>
    </x:row>
    <x:row r="70">
      <x:c r="A70" s="51" t="n">
        <x:v>40057</x:v>
      </x:c>
      <x:c r="B70" s="49" t="n">
        <x:v>8416801</x:v>
      </x:c>
      <x:c r="C70" s="49" t="n">
        <x:f>B70/1000</x:f>
        <x:v>8416.801</x:v>
      </x:c>
      <x:c r="D70" s="52" t="n">
        <x:v>55442504</x:v>
      </x:c>
      <x:c r="E70" s="52" t="n">
        <x:v>9</x:v>
      </x:c>
      <x:c r="F70" s="52" t="n">
        <x:v>5</x:v>
      </x:c>
      <x:c r="G70" s="52" t="n">
        <x:v>1</x:v>
      </x:c>
      <x:c r="H70" s="52" t="n">
        <x:v>0</x:v>
      </x:c>
      <x:c r="I70" s="53" t="str">
        <x:f>IF(OR(F70&lt;&gt;5,H70&gt;0),"REVISAR","OK")</x:f>
        <x:v>OK</x:v>
      </x:c>
    </x:row>
    <x:row r="71">
      <x:c r="A71" s="51" t="n">
        <x:v>40087</x:v>
      </x:c>
      <x:c r="B71" s="49" t="n">
        <x:v>8525741</x:v>
      </x:c>
      <x:c r="C71" s="49" t="n">
        <x:f>B71/1000</x:f>
        <x:v>8525.741</x:v>
      </x:c>
      <x:c r="D71" s="52" t="n">
        <x:v>55597776</x:v>
      </x:c>
      <x:c r="E71" s="52" t="n">
        <x:v>9</x:v>
      </x:c>
      <x:c r="F71" s="52" t="n">
        <x:v>5</x:v>
      </x:c>
      <x:c r="G71" s="52" t="n">
        <x:v>1</x:v>
      </x:c>
      <x:c r="H71" s="52" t="n">
        <x:v>0</x:v>
      </x:c>
      <x:c r="I71" s="53" t="str">
        <x:f>IF(OR(F71&lt;&gt;5,H71&gt;0),"REVISAR","OK")</x:f>
        <x:v>OK</x:v>
      </x:c>
    </x:row>
    <x:row r="72">
      <x:c r="A72" s="51" t="n">
        <x:v>40118</x:v>
      </x:c>
      <x:c r="B72" s="49" t="n">
        <x:v>8635752</x:v>
      </x:c>
      <x:c r="C72" s="49" t="n">
        <x:f>B72/1000</x:f>
        <x:v>8635.752</x:v>
      </x:c>
      <x:c r="D72" s="52" t="n">
        <x:v>55735510</x:v>
      </x:c>
      <x:c r="E72" s="52" t="n">
        <x:v>10</x:v>
      </x:c>
      <x:c r="F72" s="52" t="n">
        <x:v>5</x:v>
      </x:c>
      <x:c r="G72" s="52" t="n">
        <x:v>1</x:v>
      </x:c>
      <x:c r="H72" s="52" t="n">
        <x:v>0</x:v>
      </x:c>
      <x:c r="I72" s="53" t="str">
        <x:f>IF(OR(F72&lt;&gt;5,H72&gt;0),"REVISAR","OK")</x:f>
        <x:v>OK</x:v>
      </x:c>
    </x:row>
    <x:row r="73">
      <x:c r="A73" s="51" t="n">
        <x:v>40148</x:v>
      </x:c>
      <x:c r="B73" s="49" t="n">
        <x:v>8876631</x:v>
      </x:c>
      <x:c r="C73" s="49" t="n">
        <x:f>B73/1000</x:f>
        <x:v>8876.631</x:v>
      </x:c>
      <x:c r="D73" s="52" t="n">
        <x:v>55949403</x:v>
      </x:c>
      <x:c r="E73" s="52" t="n">
        <x:v>10</x:v>
      </x:c>
      <x:c r="F73" s="52" t="n">
        <x:v>5</x:v>
      </x:c>
      <x:c r="G73" s="52" t="n">
        <x:v>1</x:v>
      </x:c>
      <x:c r="H73" s="52" t="n">
        <x:v>0</x:v>
      </x:c>
      <x:c r="I73" s="53" t="str">
        <x:f>IF(OR(F73&lt;&gt;5,H73&gt;0),"REVISAR","OK")</x:f>
        <x:v>OK</x:v>
      </x:c>
    </x:row>
    <x:row r="74">
      <x:c r="A74" s="51" t="n">
        <x:v>40179</x:v>
      </x:c>
      <x:c r="B74" s="49" t="n">
        <x:v>9235076</x:v>
      </x:c>
      <x:c r="C74" s="49" t="n">
        <x:f>B74/1000</x:f>
        <x:v>9235.076</x:v>
      </x:c>
      <x:c r="D74" s="52" t="n">
        <x:v>56111732</x:v>
      </x:c>
      <x:c r="E74" s="52" t="n">
        <x:v>10</x:v>
      </x:c>
      <x:c r="F74" s="52" t="n">
        <x:v>5</x:v>
      </x:c>
      <x:c r="G74" s="52" t="n">
        <x:v>1</x:v>
      </x:c>
      <x:c r="H74" s="52" t="n">
        <x:v>0</x:v>
      </x:c>
      <x:c r="I74" s="53" t="str">
        <x:f>IF(OR(F74&lt;&gt;5,H74&gt;0),"REVISAR","OK")</x:f>
        <x:v>OK</x:v>
      </x:c>
    </x:row>
    <x:row r="75">
      <x:c r="A75" s="51" t="n">
        <x:v>40210</x:v>
      </x:c>
      <x:c r="B75" s="49" t="n">
        <x:v>8912339</x:v>
      </x:c>
      <x:c r="C75" s="49" t="n">
        <x:f>B75/1000</x:f>
        <x:v>8912.339</x:v>
      </x:c>
      <x:c r="D75" s="52" t="n">
        <x:v>56224639</x:v>
      </x:c>
      <x:c r="E75" s="52" t="n">
        <x:v>10</x:v>
      </x:c>
      <x:c r="F75" s="52" t="n">
        <x:v>5</x:v>
      </x:c>
      <x:c r="G75" s="52" t="n">
        <x:v>1</x:v>
      </x:c>
      <x:c r="H75" s="52" t="n">
        <x:v>0</x:v>
      </x:c>
      <x:c r="I75" s="53" t="str">
        <x:f>IF(OR(F75&lt;&gt;5,H75&gt;0),"REVISAR","OK")</x:f>
        <x:v>OK</x:v>
      </x:c>
    </x:row>
    <x:row r="76">
      <x:c r="A76" s="51" t="n">
        <x:v>40238</x:v>
      </x:c>
      <x:c r="B76" s="49" t="n">
        <x:v>9152747</x:v>
      </x:c>
      <x:c r="C76" s="49" t="n">
        <x:f>B76/1000</x:f>
        <x:v>9152.747</x:v>
      </x:c>
      <x:c r="D76" s="52" t="n">
        <x:v>56540077</x:v>
      </x:c>
      <x:c r="E76" s="52" t="n">
        <x:v>10</x:v>
      </x:c>
      <x:c r="F76" s="52" t="n">
        <x:v>5</x:v>
      </x:c>
      <x:c r="G76" s="52" t="n">
        <x:v>1</x:v>
      </x:c>
      <x:c r="H76" s="52" t="n">
        <x:v>0</x:v>
      </x:c>
      <x:c r="I76" s="53" t="str">
        <x:f>IF(OR(F76&lt;&gt;5,H76&gt;0),"REVISAR","OK")</x:f>
        <x:v>OK</x:v>
      </x:c>
    </x:row>
    <x:row r="77">
      <x:c r="A77" s="51" t="n">
        <x:v>40269</x:v>
      </x:c>
      <x:c r="B77" s="49" t="n">
        <x:v>9150250</x:v>
      </x:c>
      <x:c r="C77" s="49" t="n">
        <x:f>B77/1000</x:f>
        <x:v>9150.25</x:v>
      </x:c>
      <x:c r="D77" s="52" t="n">
        <x:v>56638313</x:v>
      </x:c>
      <x:c r="E77" s="52" t="n">
        <x:v>10</x:v>
      </x:c>
      <x:c r="F77" s="52" t="n">
        <x:v>5</x:v>
      </x:c>
      <x:c r="G77" s="52" t="n">
        <x:v>1</x:v>
      </x:c>
      <x:c r="H77" s="52" t="n">
        <x:v>0</x:v>
      </x:c>
      <x:c r="I77" s="53" t="str">
        <x:f>IF(OR(F77&lt;&gt;5,H77&gt;0),"REVISAR","OK")</x:f>
        <x:v>OK</x:v>
      </x:c>
    </x:row>
    <x:row r="78">
      <x:c r="A78" s="51" t="n">
        <x:v>40299</x:v>
      </x:c>
      <x:c r="B78" s="49" t="n">
        <x:v>8708999</x:v>
      </x:c>
      <x:c r="C78" s="49" t="n">
        <x:f>B78/1000</x:f>
        <x:v>8708.999</x:v>
      </x:c>
      <x:c r="D78" s="52" t="n">
        <x:v>56795348</x:v>
      </x:c>
      <x:c r="E78" s="52" t="n">
        <x:v>10</x:v>
      </x:c>
      <x:c r="F78" s="52" t="n">
        <x:v>5</x:v>
      </x:c>
      <x:c r="G78" s="52" t="n">
        <x:v>1</x:v>
      </x:c>
      <x:c r="H78" s="52" t="n">
        <x:v>0</x:v>
      </x:c>
      <x:c r="I78" s="53" t="str">
        <x:f>IF(OR(F78&lt;&gt;5,H78&gt;0),"REVISAR","OK")</x:f>
        <x:v>OK</x:v>
      </x:c>
    </x:row>
    <x:row r="79">
      <x:c r="A79" s="51" t="n">
        <x:v>40330</x:v>
      </x:c>
      <x:c r="B79" s="49" t="n">
        <x:v>8675796</x:v>
      </x:c>
      <x:c r="C79" s="49" t="n">
        <x:f>B79/1000</x:f>
        <x:v>8675.796</x:v>
      </x:c>
      <x:c r="D79" s="52" t="n">
        <x:v>56934054</x:v>
      </x:c>
      <x:c r="E79" s="52" t="n">
        <x:v>10</x:v>
      </x:c>
      <x:c r="F79" s="52" t="n">
        <x:v>5</x:v>
      </x:c>
      <x:c r="G79" s="52" t="n">
        <x:v>1</x:v>
      </x:c>
      <x:c r="H79" s="52" t="n">
        <x:v>0</x:v>
      </x:c>
      <x:c r="I79" s="53" t="str">
        <x:f>IF(OR(F79&lt;&gt;5,H79&gt;0),"REVISAR","OK")</x:f>
        <x:v>OK</x:v>
      </x:c>
    </x:row>
    <x:row r="80">
      <x:c r="A80" s="51" t="n">
        <x:v>40360</x:v>
      </x:c>
      <x:c r="B80" s="49" t="n">
        <x:v>8447539</x:v>
      </x:c>
      <x:c r="C80" s="49" t="n">
        <x:f>B80/1000</x:f>
        <x:v>8447.539</x:v>
      </x:c>
      <x:c r="D80" s="52" t="n">
        <x:v>57126999</x:v>
      </x:c>
      <x:c r="E80" s="52" t="n">
        <x:v>10</x:v>
      </x:c>
      <x:c r="F80" s="52" t="n">
        <x:v>5</x:v>
      </x:c>
      <x:c r="G80" s="52" t="n">
        <x:v>1</x:v>
      </x:c>
      <x:c r="H80" s="52" t="n">
        <x:v>0</x:v>
      </x:c>
      <x:c r="I80" s="53" t="str">
        <x:f>IF(OR(F80&lt;&gt;5,H80&gt;0),"REVISAR","OK")</x:f>
        <x:v>OK</x:v>
      </x:c>
    </x:row>
    <x:row r="81">
      <x:c r="A81" s="51" t="n">
        <x:v>40391</x:v>
      </x:c>
      <x:c r="B81" s="49" t="n">
        <x:v>8812297</x:v>
      </x:c>
      <x:c r="C81" s="49" t="n">
        <x:f>B81/1000</x:f>
        <x:v>8812.297</x:v>
      </x:c>
      <x:c r="D81" s="52" t="n">
        <x:v>57343690</x:v>
      </x:c>
      <x:c r="E81" s="52" t="n">
        <x:v>10</x:v>
      </x:c>
      <x:c r="F81" s="52" t="n">
        <x:v>5</x:v>
      </x:c>
      <x:c r="G81" s="52" t="n">
        <x:v>1</x:v>
      </x:c>
      <x:c r="H81" s="52" t="n">
        <x:v>0</x:v>
      </x:c>
      <x:c r="I81" s="53" t="str">
        <x:f>IF(OR(F81&lt;&gt;5,H81&gt;0),"REVISAR","OK")</x:f>
        <x:v>OK</x:v>
      </x:c>
    </x:row>
    <x:row r="82">
      <x:c r="A82" s="51" t="n">
        <x:v>40422</x:v>
      </x:c>
      <x:c r="B82" s="49" t="n">
        <x:v>8903996</x:v>
      </x:c>
      <x:c r="C82" s="49" t="n">
        <x:f>B82/1000</x:f>
        <x:v>8903.996</x:v>
      </x:c>
      <x:c r="D82" s="52" t="n">
        <x:v>57496824</x:v>
      </x:c>
      <x:c r="E82" s="52" t="n">
        <x:v>10</x:v>
      </x:c>
      <x:c r="F82" s="52" t="n">
        <x:v>5</x:v>
      </x:c>
      <x:c r="G82" s="52" t="n">
        <x:v>1</x:v>
      </x:c>
      <x:c r="H82" s="52" t="n">
        <x:v>0</x:v>
      </x:c>
      <x:c r="I82" s="53" t="str">
        <x:f>IF(OR(F82&lt;&gt;5,H82&gt;0),"REVISAR","OK")</x:f>
        <x:v>OK</x:v>
      </x:c>
    </x:row>
    <x:row r="83">
      <x:c r="A83" s="51" t="n">
        <x:v>40452</x:v>
      </x:c>
      <x:c r="B83" s="49" t="n">
        <x:v>8951048</x:v>
      </x:c>
      <x:c r="C83" s="49" t="n">
        <x:f>B83/1000</x:f>
        <x:v>8951.048</x:v>
      </x:c>
      <x:c r="D83" s="52" t="n">
        <x:v>57565336</x:v>
      </x:c>
      <x:c r="E83" s="52" t="n">
        <x:v>10</x:v>
      </x:c>
      <x:c r="F83" s="52" t="n">
        <x:v>5</x:v>
      </x:c>
      <x:c r="G83" s="52" t="n">
        <x:v>1</x:v>
      </x:c>
      <x:c r="H83" s="52" t="n">
        <x:v>0</x:v>
      </x:c>
      <x:c r="I83" s="53" t="str">
        <x:f>IF(OR(F83&lt;&gt;5,H83&gt;0),"REVISAR","OK")</x:f>
        <x:v>OK</x:v>
      </x:c>
    </x:row>
    <x:row r="84">
      <x:c r="A84" s="51" t="n">
        <x:v>40483</x:v>
      </x:c>
      <x:c r="B84" s="49" t="n">
        <x:v>8962739</x:v>
      </x:c>
      <x:c r="C84" s="49" t="n">
        <x:f>B84/1000</x:f>
        <x:v>8962.739</x:v>
      </x:c>
      <x:c r="D84" s="52" t="n">
        <x:v>57900214</x:v>
      </x:c>
      <x:c r="E84" s="52" t="n">
        <x:v>10</x:v>
      </x:c>
      <x:c r="F84" s="52" t="n">
        <x:v>5</x:v>
      </x:c>
      <x:c r="G84" s="52" t="n">
        <x:v>1</x:v>
      </x:c>
      <x:c r="H84" s="52" t="n">
        <x:v>0</x:v>
      </x:c>
      <x:c r="I84" s="53" t="str">
        <x:f>IF(OR(F84&lt;&gt;5,H84&gt;0),"REVISAR","OK")</x:f>
        <x:v>OK</x:v>
      </x:c>
    </x:row>
    <x:row r="85">
      <x:c r="A85" s="51" t="n">
        <x:v>40513</x:v>
      </x:c>
      <x:c r="B85" s="49" t="n">
        <x:v>9301844</x:v>
      </x:c>
      <x:c r="C85" s="49" t="n">
        <x:f>B85/1000</x:f>
        <x:v>9301.844</x:v>
      </x:c>
      <x:c r="D85" s="52" t="n">
        <x:v>58006079</x:v>
      </x:c>
      <x:c r="E85" s="52" t="n">
        <x:v>10</x:v>
      </x:c>
      <x:c r="F85" s="52" t="n">
        <x:v>5</x:v>
      </x:c>
      <x:c r="G85" s="52" t="n">
        <x:v>1</x:v>
      </x:c>
      <x:c r="H85" s="52" t="n">
        <x:v>0</x:v>
      </x:c>
      <x:c r="I85" s="53" t="str">
        <x:f>IF(OR(F85&lt;&gt;5,H85&gt;0),"REVISAR","OK")</x:f>
        <x:v>OK</x:v>
      </x:c>
    </x:row>
    <x:row r="86">
      <x:c r="A86" s="51" t="n">
        <x:v>40544</x:v>
      </x:c>
      <x:c r="B86" s="49" t="n">
        <x:v>9810199</x:v>
      </x:c>
      <x:c r="C86" s="49" t="n">
        <x:f>B86/1000</x:f>
        <x:v>9810.199</x:v>
      </x:c>
      <x:c r="D86" s="52" t="n">
        <x:v>58183991</x:v>
      </x:c>
      <x:c r="E86" s="52" t="n">
        <x:v>10</x:v>
      </x:c>
      <x:c r="F86" s="52" t="n">
        <x:v>5</x:v>
      </x:c>
      <x:c r="G86" s="52" t="n">
        <x:v>1</x:v>
      </x:c>
      <x:c r="H86" s="52" t="n">
        <x:v>0</x:v>
      </x:c>
      <x:c r="I86" s="53" t="str">
        <x:f>IF(OR(F86&lt;&gt;5,H86&gt;0),"REVISAR","OK")</x:f>
        <x:v>OK</x:v>
      </x:c>
    </x:row>
    <x:row r="87">
      <x:c r="A87" s="51" t="n">
        <x:v>40575</x:v>
      </x:c>
      <x:c r="B87" s="49" t="n">
        <x:v>9405182</x:v>
      </x:c>
      <x:c r="C87" s="49" t="n">
        <x:f>B87/1000</x:f>
        <x:v>9405.182</x:v>
      </x:c>
      <x:c r="D87" s="52" t="n">
        <x:v>58388142</x:v>
      </x:c>
      <x:c r="E87" s="52" t="n">
        <x:v>10</x:v>
      </x:c>
      <x:c r="F87" s="52" t="n">
        <x:v>5</x:v>
      </x:c>
      <x:c r="G87" s="52" t="n">
        <x:v>1</x:v>
      </x:c>
      <x:c r="H87" s="52" t="n">
        <x:v>0</x:v>
      </x:c>
      <x:c r="I87" s="53" t="str">
        <x:f>IF(OR(F87&lt;&gt;5,H87&gt;0),"REVISAR","OK")</x:f>
        <x:v>OK</x:v>
      </x:c>
    </x:row>
    <x:row r="88">
      <x:c r="A88" s="51" t="n">
        <x:v>40603</x:v>
      </x:c>
      <x:c r="B88" s="49" t="n">
        <x:v>9507847</x:v>
      </x:c>
      <x:c r="C88" s="49" t="n">
        <x:f>B88/1000</x:f>
        <x:v>9507.847</x:v>
      </x:c>
      <x:c r="D88" s="52" t="n">
        <x:v>58499774</x:v>
      </x:c>
      <x:c r="E88" s="52" t="n">
        <x:v>10</x:v>
      </x:c>
      <x:c r="F88" s="52" t="n">
        <x:v>5</x:v>
      </x:c>
      <x:c r="G88" s="52" t="n">
        <x:v>1</x:v>
      </x:c>
      <x:c r="H88" s="52" t="n">
        <x:v>0</x:v>
      </x:c>
      <x:c r="I88" s="53" t="str">
        <x:f>IF(OR(F88&lt;&gt;5,H88&gt;0),"REVISAR","OK")</x:f>
        <x:v>OK</x:v>
      </x:c>
    </x:row>
    <x:row r="89">
      <x:c r="A89" s="51" t="n">
        <x:v>40634</x:v>
      </x:c>
      <x:c r="B89" s="49" t="n">
        <x:v>9236686</x:v>
      </x:c>
      <x:c r="C89" s="49" t="n">
        <x:f>B89/1000</x:f>
        <x:v>9236.686</x:v>
      </x:c>
      <x:c r="D89" s="52" t="n">
        <x:v>58641852</x:v>
      </x:c>
      <x:c r="E89" s="52" t="n">
        <x:v>10</x:v>
      </x:c>
      <x:c r="F89" s="52" t="n">
        <x:v>5</x:v>
      </x:c>
      <x:c r="G89" s="52" t="n">
        <x:v>1</x:v>
      </x:c>
      <x:c r="H89" s="52" t="n">
        <x:v>0</x:v>
      </x:c>
      <x:c r="I89" s="53" t="str">
        <x:f>IF(OR(F89&lt;&gt;5,H89&gt;0),"REVISAR","OK")</x:f>
        <x:v>OK</x:v>
      </x:c>
    </x:row>
    <x:row r="90">
      <x:c r="A90" s="51" t="n">
        <x:v>40664</x:v>
      </x:c>
      <x:c r="B90" s="49" t="n">
        <x:v>9137821</x:v>
      </x:c>
      <x:c r="C90" s="49" t="n">
        <x:f>B90/1000</x:f>
        <x:v>9137.821</x:v>
      </x:c>
      <x:c r="D90" s="52" t="n">
        <x:v>58909272</x:v>
      </x:c>
      <x:c r="E90" s="52" t="n">
        <x:v>10</x:v>
      </x:c>
      <x:c r="F90" s="52" t="n">
        <x:v>5</x:v>
      </x:c>
      <x:c r="G90" s="52" t="n">
        <x:v>1</x:v>
      </x:c>
      <x:c r="H90" s="52" t="n">
        <x:v>0</x:v>
      </x:c>
      <x:c r="I90" s="53" t="str">
        <x:f>IF(OR(F90&lt;&gt;5,H90&gt;0),"REVISAR","OK")</x:f>
        <x:v>OK</x:v>
      </x:c>
    </x:row>
    <x:row r="91">
      <x:c r="A91" s="51" t="n">
        <x:v>40695</x:v>
      </x:c>
      <x:c r="B91" s="49" t="n">
        <x:v>8867816</x:v>
      </x:c>
      <x:c r="C91" s="49" t="n">
        <x:f>B91/1000</x:f>
        <x:v>8867.816</x:v>
      </x:c>
      <x:c r="D91" s="52" t="n">
        <x:v>58983656</x:v>
      </x:c>
      <x:c r="E91" s="52" t="n">
        <x:v>10</x:v>
      </x:c>
      <x:c r="F91" s="52" t="n">
        <x:v>5</x:v>
      </x:c>
      <x:c r="G91" s="52" t="n">
        <x:v>1</x:v>
      </x:c>
      <x:c r="H91" s="52" t="n">
        <x:v>0</x:v>
      </x:c>
      <x:c r="I91" s="53" t="str">
        <x:f>IF(OR(F91&lt;&gt;5,H91&gt;0),"REVISAR","OK")</x:f>
        <x:v>OK</x:v>
      </x:c>
    </x:row>
    <x:row r="92">
      <x:c r="A92" s="51" t="n">
        <x:v>40725</x:v>
      </x:c>
      <x:c r="B92" s="49" t="n">
        <x:v>9128445</x:v>
      </x:c>
      <x:c r="C92" s="49" t="n">
        <x:f>B92/1000</x:f>
        <x:v>9128.445</x:v>
      </x:c>
      <x:c r="D92" s="52" t="n">
        <x:v>59247444</x:v>
      </x:c>
      <x:c r="E92" s="52" t="n">
        <x:v>10</x:v>
      </x:c>
      <x:c r="F92" s="52" t="n">
        <x:v>5</x:v>
      </x:c>
      <x:c r="G92" s="52" t="n">
        <x:v>1</x:v>
      </x:c>
      <x:c r="H92" s="52" t="n">
        <x:v>0</x:v>
      </x:c>
      <x:c r="I92" s="53" t="str">
        <x:f>IF(OR(F92&lt;&gt;5,H92&gt;0),"REVISAR","OK")</x:f>
        <x:v>OK</x:v>
      </x:c>
    </x:row>
    <x:row r="93">
      <x:c r="A93" s="51" t="n">
        <x:v>40756</x:v>
      </x:c>
      <x:c r="B93" s="49" t="n">
        <x:v>9201316</x:v>
      </x:c>
      <x:c r="C93" s="49" t="n">
        <x:f>B93/1000</x:f>
        <x:v>9201.316</x:v>
      </x:c>
      <x:c r="D93" s="52" t="n">
        <x:v>59417081</x:v>
      </x:c>
      <x:c r="E93" s="52" t="n">
        <x:v>10</x:v>
      </x:c>
      <x:c r="F93" s="52" t="n">
        <x:v>5</x:v>
      </x:c>
      <x:c r="G93" s="52" t="n">
        <x:v>1</x:v>
      </x:c>
      <x:c r="H93" s="52" t="n">
        <x:v>0</x:v>
      </x:c>
      <x:c r="I93" s="53" t="str">
        <x:f>IF(OR(F93&lt;&gt;5,H93&gt;0),"REVISAR","OK")</x:f>
        <x:v>OK</x:v>
      </x:c>
    </x:row>
    <x:row r="94">
      <x:c r="A94" s="51" t="n">
        <x:v>40787</x:v>
      </x:c>
      <x:c r="B94" s="49" t="n">
        <x:v>9523959</x:v>
      </x:c>
      <x:c r="C94" s="49" t="n">
        <x:f>B94/1000</x:f>
        <x:v>9523.959</x:v>
      </x:c>
      <x:c r="D94" s="52" t="n">
        <x:v>59528802</x:v>
      </x:c>
      <x:c r="E94" s="52" t="n">
        <x:v>10</x:v>
      </x:c>
      <x:c r="F94" s="52" t="n">
        <x:v>5</x:v>
      </x:c>
      <x:c r="G94" s="52" t="n">
        <x:v>1</x:v>
      </x:c>
      <x:c r="H94" s="52" t="n">
        <x:v>0</x:v>
      </x:c>
      <x:c r="I94" s="53" t="str">
        <x:f>IF(OR(F94&lt;&gt;5,H94&gt;0),"REVISAR","OK")</x:f>
        <x:v>OK</x:v>
      </x:c>
    </x:row>
    <x:row r="95">
      <x:c r="A95" s="51" t="n">
        <x:v>40817</x:v>
      </x:c>
      <x:c r="B95" s="49" t="n">
        <x:v>9364967</x:v>
      </x:c>
      <x:c r="C95" s="49" t="n">
        <x:f>B95/1000</x:f>
        <x:v>9364.967</x:v>
      </x:c>
      <x:c r="D95" s="52" t="n">
        <x:v>59597119</x:v>
      </x:c>
      <x:c r="E95" s="52" t="n">
        <x:v>10</x:v>
      </x:c>
      <x:c r="F95" s="52" t="n">
        <x:v>5</x:v>
      </x:c>
      <x:c r="G95" s="52" t="n">
        <x:v>1</x:v>
      </x:c>
      <x:c r="H95" s="52" t="n">
        <x:v>0</x:v>
      </x:c>
      <x:c r="I95" s="53" t="str">
        <x:f>IF(OR(F95&lt;&gt;5,H95&gt;0),"REVISAR","OK")</x:f>
        <x:v>OK</x:v>
      </x:c>
    </x:row>
    <x:row r="96">
      <x:c r="A96" s="51" t="n">
        <x:v>40848</x:v>
      </x:c>
      <x:c r="B96" s="49" t="n">
        <x:v>9303323</x:v>
      </x:c>
      <x:c r="C96" s="49" t="n">
        <x:f>B96/1000</x:f>
        <x:v>9303.323</x:v>
      </x:c>
      <x:c r="D96" s="52" t="n">
        <x:v>59743665</x:v>
      </x:c>
      <x:c r="E96" s="52" t="n">
        <x:v>10</x:v>
      </x:c>
      <x:c r="F96" s="52" t="n">
        <x:v>5</x:v>
      </x:c>
      <x:c r="G96" s="52" t="n">
        <x:v>1</x:v>
      </x:c>
      <x:c r="H96" s="52" t="n">
        <x:v>0</x:v>
      </x:c>
      <x:c r="I96" s="53" t="str">
        <x:f>IF(OR(F96&lt;&gt;5,H96&gt;0),"REVISAR","OK")</x:f>
        <x:v>OK</x:v>
      </x:c>
    </x:row>
    <x:row r="97">
      <x:c r="A97" s="51" t="n">
        <x:v>40878</x:v>
      </x:c>
      <x:c r="B97" s="49" t="n">
        <x:v>9483105</x:v>
      </x:c>
      <x:c r="C97" s="49" t="n">
        <x:f>B97/1000</x:f>
        <x:v>9483.105</x:v>
      </x:c>
      <x:c r="D97" s="52" t="n">
        <x:v>59907083</x:v>
      </x:c>
      <x:c r="E97" s="52" t="n">
        <x:v>10</x:v>
      </x:c>
      <x:c r="F97" s="52" t="n">
        <x:v>5</x:v>
      </x:c>
      <x:c r="G97" s="52" t="n">
        <x:v>1</x:v>
      </x:c>
      <x:c r="H97" s="52" t="n">
        <x:v>0</x:v>
      </x:c>
      <x:c r="I97" s="53" t="str">
        <x:f>IF(OR(F97&lt;&gt;5,H97&gt;0),"REVISAR","OK")</x:f>
        <x:v>OK</x:v>
      </x:c>
    </x:row>
    <x:row r="98">
      <x:c r="A98" s="51" t="n">
        <x:v>40909</x:v>
      </x:c>
      <x:c r="B98" s="49" t="n">
        <x:v>9800235.553</x:v>
      </x:c>
      <x:c r="C98" s="49" t="n">
        <x:f>B98/1000</x:f>
        <x:v>9800.235552999999</x:v>
      </x:c>
      <x:c r="D98" s="52" t="n">
        <x:v>60055340</x:v>
      </x:c>
      <x:c r="E98" s="52" t="n">
        <x:v>10</x:v>
      </x:c>
      <x:c r="F98" s="52" t="n">
        <x:v>5</x:v>
      </x:c>
      <x:c r="G98" s="52" t="n">
        <x:v>1</x:v>
      </x:c>
      <x:c r="H98" s="52" t="n">
        <x:v>0</x:v>
      </x:c>
      <x:c r="I98" s="53" t="str">
        <x:f>IF(OR(F98&lt;&gt;5,H98&gt;0),"REVISAR","OK")</x:f>
        <x:v>OK</x:v>
      </x:c>
    </x:row>
    <x:row r="99">
      <x:c r="A99" s="51" t="n">
        <x:v>40940</x:v>
      </x:c>
      <x:c r="B99" s="49" t="n">
        <x:v>9704924.77</x:v>
      </x:c>
      <x:c r="C99" s="49" t="n">
        <x:f>B99/1000</x:f>
        <x:v>9704.92477</x:v>
      </x:c>
      <x:c r="D99" s="52" t="n">
        <x:v>60183237</x:v>
      </x:c>
      <x:c r="E99" s="52" t="n">
        <x:v>10</x:v>
      </x:c>
      <x:c r="F99" s="52" t="n">
        <x:v>5</x:v>
      </x:c>
      <x:c r="G99" s="52" t="n">
        <x:v>1</x:v>
      </x:c>
      <x:c r="H99" s="52" t="n">
        <x:v>0</x:v>
      </x:c>
      <x:c r="I99" s="53" t="str">
        <x:f>IF(OR(F99&lt;&gt;5,H99&gt;0),"REVISAR","OK")</x:f>
        <x:v>OK</x:v>
      </x:c>
    </x:row>
    <x:row r="100">
      <x:c r="A100" s="51" t="n">
        <x:v>40969</x:v>
      </x:c>
      <x:c r="B100" s="49" t="n">
        <x:v>10270603.424</x:v>
      </x:c>
      <x:c r="C100" s="49" t="n">
        <x:f>B100/1000</x:f>
        <x:v>10270.603424</x:v>
      </x:c>
      <x:c r="D100" s="52" t="n">
        <x:v>60361583</x:v>
      </x:c>
      <x:c r="E100" s="52" t="n">
        <x:v>10</x:v>
      </x:c>
      <x:c r="F100" s="52" t="n">
        <x:v>5</x:v>
      </x:c>
      <x:c r="G100" s="52" t="n">
        <x:v>1</x:v>
      </x:c>
      <x:c r="H100" s="52" t="n">
        <x:v>0</x:v>
      </x:c>
      <x:c r="I100" s="53" t="str">
        <x:f>IF(OR(F100&lt;&gt;5,H100&gt;0),"REVISAR","OK")</x:f>
        <x:v>OK</x:v>
      </x:c>
    </x:row>
    <x:row r="101">
      <x:c r="A101" s="51" t="n">
        <x:v>41000</x:v>
      </x:c>
      <x:c r="B101" s="49" t="n">
        <x:v>9928135.465</x:v>
      </x:c>
      <x:c r="C101" s="49" t="n">
        <x:f>B101/1000</x:f>
        <x:v>9928.135465</x:v>
      </x:c>
      <x:c r="D101" s="52" t="n">
        <x:v>60457849</x:v>
      </x:c>
      <x:c r="E101" s="52" t="n">
        <x:v>10</x:v>
      </x:c>
      <x:c r="F101" s="52" t="n">
        <x:v>5</x:v>
      </x:c>
      <x:c r="G101" s="52" t="n">
        <x:v>1</x:v>
      </x:c>
      <x:c r="H101" s="52" t="n">
        <x:v>0</x:v>
      </x:c>
      <x:c r="I101" s="53" t="str">
        <x:f>IF(OR(F101&lt;&gt;5,H101&gt;0),"REVISAR","OK")</x:f>
        <x:v>OK</x:v>
      </x:c>
    </x:row>
    <x:row r="102">
      <x:c r="A102" s="51" t="n">
        <x:v>41030</x:v>
      </x:c>
      <x:c r="B102" s="49" t="n">
        <x:v>9532019.14</x:v>
      </x:c>
      <x:c r="C102" s="49" t="n">
        <x:f>B102/1000</x:f>
        <x:v>9532.01914</x:v>
      </x:c>
      <x:c r="D102" s="52" t="n">
        <x:v>60512633</x:v>
      </x:c>
      <x:c r="E102" s="52" t="n">
        <x:v>10</x:v>
      </x:c>
      <x:c r="F102" s="52" t="n">
        <x:v>5</x:v>
      </x:c>
      <x:c r="G102" s="52" t="n">
        <x:v>1</x:v>
      </x:c>
      <x:c r="H102" s="52" t="n">
        <x:v>0</x:v>
      </x:c>
      <x:c r="I102" s="53" t="str">
        <x:f>IF(OR(F102&lt;&gt;5,H102&gt;0),"REVISAR","OK")</x:f>
        <x:v>OK</x:v>
      </x:c>
    </x:row>
    <x:row r="103">
      <x:c r="A103" s="51" t="n">
        <x:v>41061</x:v>
      </x:c>
      <x:c r="B103" s="49" t="n">
        <x:v>9604889.498</x:v>
      </x:c>
      <x:c r="C103" s="49" t="n">
        <x:f>B103/1000</x:f>
        <x:v>9604.889498</x:v>
      </x:c>
      <x:c r="D103" s="52" t="n">
        <x:v>60635849</x:v>
      </x:c>
      <x:c r="E103" s="52" t="n">
        <x:v>10</x:v>
      </x:c>
      <x:c r="F103" s="52" t="n">
        <x:v>5</x:v>
      </x:c>
      <x:c r="G103" s="52" t="n">
        <x:v>1</x:v>
      </x:c>
      <x:c r="H103" s="52" t="n">
        <x:v>0</x:v>
      </x:c>
      <x:c r="I103" s="53" t="str">
        <x:f>IF(OR(F103&lt;&gt;5,H103&gt;0),"REVISAR","OK")</x:f>
        <x:v>OK</x:v>
      </x:c>
    </x:row>
    <x:row r="104">
      <x:c r="A104" s="51" t="n">
        <x:v>41091</x:v>
      </x:c>
      <x:c r="B104" s="49" t="n">
        <x:v>9274297.07</x:v>
      </x:c>
      <x:c r="C104" s="49" t="n">
        <x:f>B104/1000</x:f>
        <x:v>9274.29707</x:v>
      </x:c>
      <x:c r="D104" s="52" t="n">
        <x:v>60756114</x:v>
      </x:c>
      <x:c r="E104" s="52" t="n">
        <x:v>10</x:v>
      </x:c>
      <x:c r="F104" s="52" t="n">
        <x:v>5</x:v>
      </x:c>
      <x:c r="G104" s="52" t="n">
        <x:v>1</x:v>
      </x:c>
      <x:c r="H104" s="52" t="n">
        <x:v>0</x:v>
      </x:c>
      <x:c r="I104" s="53" t="str">
        <x:f>IF(OR(F104&lt;&gt;5,H104&gt;0),"REVISAR","OK")</x:f>
        <x:v>OK</x:v>
      </x:c>
    </x:row>
    <x:row r="105">
      <x:c r="A105" s="51" t="n">
        <x:v>41122</x:v>
      </x:c>
      <x:c r="B105" s="49" t="n">
        <x:v>9621636.852</x:v>
      </x:c>
      <x:c r="C105" s="49" t="n">
        <x:f>B105/1000</x:f>
        <x:v>9621.636852</x:v>
      </x:c>
      <x:c r="D105" s="52" t="n">
        <x:v>61010843</x:v>
      </x:c>
      <x:c r="E105" s="52" t="n">
        <x:v>10</x:v>
      </x:c>
      <x:c r="F105" s="52" t="n">
        <x:v>5</x:v>
      </x:c>
      <x:c r="G105" s="52" t="n">
        <x:v>1</x:v>
      </x:c>
      <x:c r="H105" s="52" t="n">
        <x:v>0</x:v>
      </x:c>
      <x:c r="I105" s="53" t="str">
        <x:f>IF(OR(F105&lt;&gt;5,H105&gt;0),"REVISAR","OK")</x:f>
        <x:v>OK</x:v>
      </x:c>
    </x:row>
    <x:row r="106">
      <x:c r="A106" s="51" t="n">
        <x:v>41153</x:v>
      </x:c>
      <x:c r="B106" s="49" t="n">
        <x:v>9748529.22</x:v>
      </x:c>
      <x:c r="C106" s="49" t="n">
        <x:f>B106/1000</x:f>
        <x:v>9748.52922</x:v>
      </x:c>
      <x:c r="D106" s="52" t="n">
        <x:v>61153048</x:v>
      </x:c>
      <x:c r="E106" s="52" t="n">
        <x:v>10</x:v>
      </x:c>
      <x:c r="F106" s="52" t="n">
        <x:v>5</x:v>
      </x:c>
      <x:c r="G106" s="52" t="n">
        <x:v>1</x:v>
      </x:c>
      <x:c r="H106" s="52" t="n">
        <x:v>0</x:v>
      </x:c>
      <x:c r="I106" s="53" t="str">
        <x:f>IF(OR(F106&lt;&gt;5,H106&gt;0),"REVISAR","OK")</x:f>
        <x:v>OK</x:v>
      </x:c>
    </x:row>
    <x:row r="107">
      <x:c r="A107" s="51" t="n">
        <x:v>41183</x:v>
      </x:c>
      <x:c r="B107" s="49" t="n">
        <x:v>9787981.066</x:v>
      </x:c>
      <x:c r="C107" s="49" t="n">
        <x:f>B107/1000</x:f>
        <x:v>9787.981066</x:v>
      </x:c>
      <x:c r="D107" s="52" t="n">
        <x:v>61397185</x:v>
      </x:c>
      <x:c r="E107" s="52" t="n">
        <x:v>10</x:v>
      </x:c>
      <x:c r="F107" s="52" t="n">
        <x:v>5</x:v>
      </x:c>
      <x:c r="G107" s="52" t="n">
        <x:v>1</x:v>
      </x:c>
      <x:c r="H107" s="52" t="n">
        <x:v>0</x:v>
      </x:c>
      <x:c r="I107" s="53" t="str">
        <x:f>IF(OR(F107&lt;&gt;5,H107&gt;0),"REVISAR","OK")</x:f>
        <x:v>OK</x:v>
      </x:c>
    </x:row>
    <x:row r="108">
      <x:c r="A108" s="51" t="n">
        <x:v>41214</x:v>
      </x:c>
      <x:c r="B108" s="49" t="n">
        <x:v>10239385.165</x:v>
      </x:c>
      <x:c r="C108" s="49" t="n">
        <x:f>B108/1000</x:f>
        <x:v>10239.385165</x:v>
      </x:c>
      <x:c r="D108" s="52" t="n">
        <x:v>61552079</x:v>
      </x:c>
      <x:c r="E108" s="52" t="n">
        <x:v>10</x:v>
      </x:c>
      <x:c r="F108" s="52" t="n">
        <x:v>5</x:v>
      </x:c>
      <x:c r="G108" s="52" t="n">
        <x:v>1</x:v>
      </x:c>
      <x:c r="H108" s="52" t="n">
        <x:v>0</x:v>
      </x:c>
      <x:c r="I108" s="53" t="str">
        <x:f>IF(OR(F108&lt;&gt;5,H108&gt;0),"REVISAR","OK")</x:f>
        <x:v>OK</x:v>
      </x:c>
    </x:row>
    <x:row r="109">
      <x:c r="A109" s="51" t="n">
        <x:v>41244</x:v>
      </x:c>
      <x:c r="B109" s="49" t="n">
        <x:v>10133212.302</x:v>
      </x:c>
      <x:c r="C109" s="49" t="n">
        <x:f>B109/1000</x:f>
        <x:v>10133.212302</x:v>
      </x:c>
      <x:c r="D109" s="52" t="n">
        <x:v>61697228</x:v>
      </x:c>
      <x:c r="E109" s="52" t="n">
        <x:v>10</x:v>
      </x:c>
      <x:c r="F109" s="52" t="n">
        <x:v>5</x:v>
      </x:c>
      <x:c r="G109" s="52" t="n">
        <x:v>1</x:v>
      </x:c>
      <x:c r="H109" s="52" t="n">
        <x:v>0</x:v>
      </x:c>
      <x:c r="I109" s="53" t="str">
        <x:f>IF(OR(F109&lt;&gt;5,H109&gt;0),"REVISAR","OK")</x:f>
        <x:v>OK</x:v>
      </x:c>
    </x:row>
    <x:row r="110">
      <x:c r="A110" s="51" t="n">
        <x:v>41275</x:v>
      </x:c>
      <x:c r="B110" s="49" t="n">
        <x:v>10924885</x:v>
      </x:c>
      <x:c r="C110" s="49" t="n">
        <x:f>B110/1000</x:f>
        <x:v>10924.885</x:v>
      </x:c>
      <x:c r="D110" s="52" t="n">
        <x:v>61853815</x:v>
      </x:c>
      <x:c r="E110" s="52" t="n">
        <x:v>10</x:v>
      </x:c>
      <x:c r="F110" s="52" t="n">
        <x:v>5</x:v>
      </x:c>
      <x:c r="G110" s="52" t="n">
        <x:v>1</x:v>
      </x:c>
      <x:c r="H110" s="52" t="n">
        <x:v>0</x:v>
      </x:c>
      <x:c r="I110" s="53" t="str">
        <x:f>IF(OR(F110&lt;&gt;5,H110&gt;0),"REVISAR","OK")</x:f>
        <x:v>OK</x:v>
      </x:c>
    </x:row>
    <x:row r="111">
      <x:c r="A111" s="51" t="n">
        <x:v>41306</x:v>
      </x:c>
      <x:c r="B111" s="49" t="n">
        <x:v>10474529</x:v>
      </x:c>
      <x:c r="C111" s="49" t="n">
        <x:f>B111/1000</x:f>
        <x:v>10474.529</x:v>
      </x:c>
      <x:c r="D111" s="52" t="n">
        <x:v>62073586</x:v>
      </x:c>
      <x:c r="E111" s="52" t="n">
        <x:v>10</x:v>
      </x:c>
      <x:c r="F111" s="52" t="n">
        <x:v>5</x:v>
      </x:c>
      <x:c r="G111" s="52" t="n">
        <x:v>1</x:v>
      </x:c>
      <x:c r="H111" s="52" t="n">
        <x:v>0</x:v>
      </x:c>
      <x:c r="I111" s="53" t="str">
        <x:f>IF(OR(F111&lt;&gt;5,H111&gt;0),"REVISAR","OK")</x:f>
        <x:v>OK</x:v>
      </x:c>
    </x:row>
    <x:row r="112">
      <x:c r="A112" s="51" t="n">
        <x:v>41334</x:v>
      </x:c>
      <x:c r="B112" s="49" t="n">
        <x:v>10356996</x:v>
      </x:c>
      <x:c r="C112" s="49" t="n">
        <x:f>B112/1000</x:f>
        <x:v>10356.996</x:v>
      </x:c>
      <x:c r="D112" s="52" t="n">
        <x:v>62265199</x:v>
      </x:c>
      <x:c r="E112" s="52" t="n">
        <x:v>10</x:v>
      </x:c>
      <x:c r="F112" s="52" t="n">
        <x:v>5</x:v>
      </x:c>
      <x:c r="G112" s="52" t="n">
        <x:v>1</x:v>
      </x:c>
      <x:c r="H112" s="52" t="n">
        <x:v>0</x:v>
      </x:c>
      <x:c r="I112" s="53" t="str">
        <x:f>IF(OR(F112&lt;&gt;5,H112&gt;0),"REVISAR","OK")</x:f>
        <x:v>OK</x:v>
      </x:c>
    </x:row>
    <x:row r="113">
      <x:c r="A113" s="51" t="n">
        <x:v>41365</x:v>
      </x:c>
      <x:c r="B113" s="49" t="n">
        <x:v>10301585</x:v>
      </x:c>
      <x:c r="C113" s="49" t="n">
        <x:f>B113/1000</x:f>
        <x:v>10301.585</x:v>
      </x:c>
      <x:c r="D113" s="52" t="n">
        <x:v>62400927</x:v>
      </x:c>
      <x:c r="E113" s="52" t="n">
        <x:v>10</x:v>
      </x:c>
      <x:c r="F113" s="52" t="n">
        <x:v>5</x:v>
      </x:c>
      <x:c r="G113" s="52" t="n">
        <x:v>1</x:v>
      </x:c>
      <x:c r="H113" s="52" t="n">
        <x:v>0</x:v>
      </x:c>
      <x:c r="I113" s="53" t="str">
        <x:f>IF(OR(F113&lt;&gt;5,H113&gt;0),"REVISAR","OK")</x:f>
        <x:v>OK</x:v>
      </x:c>
    </x:row>
    <x:row r="114">
      <x:c r="A114" s="51" t="n">
        <x:v>41395</x:v>
      </x:c>
      <x:c r="B114" s="49" t="n">
        <x:v>10241914</x:v>
      </x:c>
      <x:c r="C114" s="49" t="n">
        <x:f>B114/1000</x:f>
        <x:v>10241.914</x:v>
      </x:c>
      <x:c r="D114" s="52" t="n">
        <x:v>62587920</x:v>
      </x:c>
      <x:c r="E114" s="52" t="n">
        <x:v>10</x:v>
      </x:c>
      <x:c r="F114" s="52" t="n">
        <x:v>5</x:v>
      </x:c>
      <x:c r="G114" s="52" t="n">
        <x:v>1</x:v>
      </x:c>
      <x:c r="H114" s="52" t="n">
        <x:v>0</x:v>
      </x:c>
      <x:c r="I114" s="53" t="str">
        <x:f>IF(OR(F114&lt;&gt;5,H114&gt;0),"REVISAR","OK")</x:f>
        <x:v>OK</x:v>
      </x:c>
    </x:row>
    <x:row r="115">
      <x:c r="A115" s="51" t="n">
        <x:v>41426</x:v>
      </x:c>
      <x:c r="B115" s="49" t="n">
        <x:v>10092191</x:v>
      </x:c>
      <x:c r="C115" s="49" t="n">
        <x:f>B115/1000</x:f>
        <x:v>10092.191</x:v>
      </x:c>
      <x:c r="D115" s="52" t="n">
        <x:v>62786217</x:v>
      </x:c>
      <x:c r="E115" s="52" t="n">
        <x:v>10</x:v>
      </x:c>
      <x:c r="F115" s="52" t="n">
        <x:v>5</x:v>
      </x:c>
      <x:c r="G115" s="52" t="n">
        <x:v>1</x:v>
      </x:c>
      <x:c r="H115" s="52" t="n">
        <x:v>0</x:v>
      </x:c>
      <x:c r="I115" s="53" t="str">
        <x:f>IF(OR(F115&lt;&gt;5,H115&gt;0),"REVISAR","OK")</x:f>
        <x:v>OK</x:v>
      </x:c>
    </x:row>
    <x:row r="116">
      <x:c r="A116" s="51" t="n">
        <x:v>41456</x:v>
      </x:c>
      <x:c r="B116" s="49" t="n">
        <x:v>10022335</x:v>
      </x:c>
      <x:c r="C116" s="49" t="n">
        <x:f>B116/1000</x:f>
        <x:v>10022.335</x:v>
      </x:c>
      <x:c r="D116" s="52" t="n">
        <x:v>62960302</x:v>
      </x:c>
      <x:c r="E116" s="52" t="n">
        <x:v>10</x:v>
      </x:c>
      <x:c r="F116" s="52" t="n">
        <x:v>5</x:v>
      </x:c>
      <x:c r="G116" s="52" t="n">
        <x:v>1</x:v>
      </x:c>
      <x:c r="H116" s="52" t="n">
        <x:v>0</x:v>
      </x:c>
      <x:c r="I116" s="53" t="str">
        <x:f>IF(OR(F116&lt;&gt;5,H116&gt;0),"REVISAR","OK")</x:f>
        <x:v>OK</x:v>
      </x:c>
    </x:row>
    <x:row r="117">
      <x:c r="A117" s="51" t="n">
        <x:v>41487</x:v>
      </x:c>
      <x:c r="B117" s="49" t="n">
        <x:v>10280497</x:v>
      </x:c>
      <x:c r="C117" s="49" t="n">
        <x:f>B117/1000</x:f>
        <x:v>10280.497</x:v>
      </x:c>
      <x:c r="D117" s="52" t="n">
        <x:v>63132080</x:v>
      </x:c>
      <x:c r="E117" s="52" t="n">
        <x:v>10</x:v>
      </x:c>
      <x:c r="F117" s="52" t="n">
        <x:v>5</x:v>
      </x:c>
      <x:c r="G117" s="52" t="n">
        <x:v>1</x:v>
      </x:c>
      <x:c r="H117" s="52" t="n">
        <x:v>0</x:v>
      </x:c>
      <x:c r="I117" s="53" t="str">
        <x:f>IF(OR(F117&lt;&gt;5,H117&gt;0),"REVISAR","OK")</x:f>
        <x:v>OK</x:v>
      </x:c>
    </x:row>
    <x:row r="118">
      <x:c r="A118" s="51" t="n">
        <x:v>41518</x:v>
      </x:c>
      <x:c r="B118" s="49" t="n">
        <x:v>10251165</x:v>
      </x:c>
      <x:c r="C118" s="49" t="n">
        <x:f>B118/1000</x:f>
        <x:v>10251.165</x:v>
      </x:c>
      <x:c r="D118" s="52" t="n">
        <x:v>63279862</x:v>
      </x:c>
      <x:c r="E118" s="52" t="n">
        <x:v>10</x:v>
      </x:c>
      <x:c r="F118" s="52" t="n">
        <x:v>5</x:v>
      </x:c>
      <x:c r="G118" s="52" t="n">
        <x:v>1</x:v>
      </x:c>
      <x:c r="H118" s="52" t="n">
        <x:v>0</x:v>
      </x:c>
      <x:c r="I118" s="53" t="str">
        <x:f>IF(OR(F118&lt;&gt;5,H118&gt;0),"REVISAR","OK")</x:f>
        <x:v>OK</x:v>
      </x:c>
    </x:row>
    <x:row r="119">
      <x:c r="A119" s="51" t="n">
        <x:v>41548</x:v>
      </x:c>
      <x:c r="B119" s="49" t="n">
        <x:v>10545296</x:v>
      </x:c>
      <x:c r="C119" s="49" t="n">
        <x:f>B119/1000</x:f>
        <x:v>10545.296</x:v>
      </x:c>
      <x:c r="D119" s="52" t="n">
        <x:v>63481975</x:v>
      </x:c>
      <x:c r="E119" s="52" t="n">
        <x:v>10</x:v>
      </x:c>
      <x:c r="F119" s="52" t="n">
        <x:v>5</x:v>
      </x:c>
      <x:c r="G119" s="52" t="n">
        <x:v>1</x:v>
      </x:c>
      <x:c r="H119" s="52" t="n">
        <x:v>0</x:v>
      </x:c>
      <x:c r="I119" s="53" t="str">
        <x:f>IF(OR(F119&lt;&gt;5,H119&gt;0),"REVISAR","OK")</x:f>
        <x:v>OK</x:v>
      </x:c>
    </x:row>
    <x:row r="120">
      <x:c r="A120" s="51" t="n">
        <x:v>41579</x:v>
      </x:c>
      <x:c r="B120" s="49" t="n">
        <x:v>10710888</x:v>
      </x:c>
      <x:c r="C120" s="49" t="n">
        <x:f>B120/1000</x:f>
        <x:v>10710.888</x:v>
      </x:c>
      <x:c r="D120" s="52" t="n">
        <x:v>63665591</x:v>
      </x:c>
      <x:c r="E120" s="52" t="n">
        <x:v>10</x:v>
      </x:c>
      <x:c r="F120" s="52" t="n">
        <x:v>5</x:v>
      </x:c>
      <x:c r="G120" s="52" t="n">
        <x:v>1</x:v>
      </x:c>
      <x:c r="H120" s="52" t="n">
        <x:v>0</x:v>
      </x:c>
      <x:c r="I120" s="53" t="str">
        <x:f>IF(OR(F120&lt;&gt;5,H120&gt;0),"REVISAR","OK")</x:f>
        <x:v>OK</x:v>
      </x:c>
    </x:row>
    <x:row r="121">
      <x:c r="A121" s="51" t="n">
        <x:v>41609</x:v>
      </x:c>
      <x:c r="B121" s="49" t="n">
        <x:v>10705681</x:v>
      </x:c>
      <x:c r="C121" s="49" t="n">
        <x:f>B121/1000</x:f>
        <x:v>10705.681</x:v>
      </x:c>
      <x:c r="D121" s="52" t="n">
        <x:v>63862330</x:v>
      </x:c>
      <x:c r="E121" s="52" t="n">
        <x:v>10</x:v>
      </x:c>
      <x:c r="F121" s="52" t="n">
        <x:v>5</x:v>
      </x:c>
      <x:c r="G121" s="52" t="n">
        <x:v>1</x:v>
      </x:c>
      <x:c r="H121" s="52" t="n">
        <x:v>0</x:v>
      </x:c>
      <x:c r="I121" s="53" t="str">
        <x:f>IF(OR(F121&lt;&gt;5,H121&gt;0),"REVISAR","OK")</x:f>
        <x:v>OK</x:v>
      </x:c>
    </x:row>
    <x:row r="122">
      <x:c r="A122" s="51" t="n">
        <x:v>41640</x:v>
      </x:c>
      <x:c r="B122" s="49" t="n">
        <x:v>11798319</x:v>
      </x:c>
      <x:c r="C122" s="49" t="n">
        <x:f>B122/1000</x:f>
        <x:v>11798.319</x:v>
      </x:c>
      <x:c r="D122" s="52" t="n">
        <x:v>64047311</x:v>
      </x:c>
      <x:c r="E122" s="52" t="n">
        <x:v>10</x:v>
      </x:c>
      <x:c r="F122" s="52" t="n">
        <x:v>5</x:v>
      </x:c>
      <x:c r="G122" s="52" t="n">
        <x:v>1</x:v>
      </x:c>
      <x:c r="H122" s="52" t="n">
        <x:v>0</x:v>
      </x:c>
      <x:c r="I122" s="53" t="str">
        <x:f>IF(OR(F122&lt;&gt;5,H122&gt;0),"REVISAR","OK")</x:f>
        <x:v>OK</x:v>
      </x:c>
    </x:row>
    <x:row r="123">
      <x:c r="A123" s="51" t="n">
        <x:v>41671</x:v>
      </x:c>
      <x:c r="B123" s="49" t="n">
        <x:v>11878858</x:v>
      </x:c>
      <x:c r="C123" s="49" t="n">
        <x:f>B123/1000</x:f>
        <x:v>11878.858</x:v>
      </x:c>
      <x:c r="D123" s="52" t="n">
        <x:v>64284559</x:v>
      </x:c>
      <x:c r="E123" s="52" t="n">
        <x:v>10</x:v>
      </x:c>
      <x:c r="F123" s="52" t="n">
        <x:v>5</x:v>
      </x:c>
      <x:c r="G123" s="52" t="n">
        <x:v>1</x:v>
      </x:c>
      <x:c r="H123" s="52" t="n">
        <x:v>0</x:v>
      </x:c>
      <x:c r="I123" s="53" t="str">
        <x:f>IF(OR(F123&lt;&gt;5,H123&gt;0),"REVISAR","OK")</x:f>
        <x:v>OK</x:v>
      </x:c>
    </x:row>
    <x:row r="124">
      <x:c r="A124" s="51" t="n">
        <x:v>41699</x:v>
      </x:c>
      <x:c r="B124" s="49" t="n">
        <x:v>11288501</x:v>
      </x:c>
      <x:c r="C124" s="49" t="n">
        <x:f>B124/1000</x:f>
        <x:v>11288.501</x:v>
      </x:c>
      <x:c r="D124" s="52" t="n">
        <x:v>64463187</x:v>
      </x:c>
      <x:c r="E124" s="52" t="n">
        <x:v>10</x:v>
      </x:c>
      <x:c r="F124" s="52" t="n">
        <x:v>5</x:v>
      </x:c>
      <x:c r="G124" s="52" t="n">
        <x:v>1</x:v>
      </x:c>
      <x:c r="H124" s="52" t="n">
        <x:v>0</x:v>
      </x:c>
      <x:c r="I124" s="53" t="str">
        <x:f>IF(OR(F124&lt;&gt;5,H124&gt;0),"REVISAR","OK")</x:f>
        <x:v>OK</x:v>
      </x:c>
    </x:row>
    <x:row r="125">
      <x:c r="A125" s="51" t="n">
        <x:v>41730</x:v>
      </x:c>
      <x:c r="B125" s="49" t="n">
        <x:v>10780340</x:v>
      </x:c>
      <x:c r="C125" s="49" t="n">
        <x:f>B125/1000</x:f>
        <x:v>10780.34</x:v>
      </x:c>
      <x:c r="D125" s="52" t="n">
        <x:v>64626422</x:v>
      </x:c>
      <x:c r="E125" s="52" t="n">
        <x:v>10</x:v>
      </x:c>
      <x:c r="F125" s="52" t="n">
        <x:v>5</x:v>
      </x:c>
      <x:c r="G125" s="52" t="n">
        <x:v>1</x:v>
      </x:c>
      <x:c r="H125" s="52" t="n">
        <x:v>0</x:v>
      </x:c>
      <x:c r="I125" s="53" t="str">
        <x:f>IF(OR(F125&lt;&gt;5,H125&gt;0),"REVISAR","OK")</x:f>
        <x:v>OK</x:v>
      </x:c>
    </x:row>
    <x:row r="126">
      <x:c r="A126" s="51" t="n">
        <x:v>41760</x:v>
      </x:c>
      <x:c r="B126" s="49" t="n">
        <x:v>10877148</x:v>
      </x:c>
      <x:c r="C126" s="49" t="n">
        <x:f>B126/1000</x:f>
        <x:v>10877.148</x:v>
      </x:c>
      <x:c r="D126" s="52" t="n">
        <x:v>64807449</x:v>
      </x:c>
      <x:c r="E126" s="52" t="n">
        <x:v>10</x:v>
      </x:c>
      <x:c r="F126" s="52" t="n">
        <x:v>5</x:v>
      </x:c>
      <x:c r="G126" s="52" t="n">
        <x:v>1</x:v>
      </x:c>
      <x:c r="H126" s="52" t="n">
        <x:v>0</x:v>
      </x:c>
      <x:c r="I126" s="53" t="str">
        <x:f>IF(OR(F126&lt;&gt;5,H126&gt;0),"REVISAR","OK")</x:f>
        <x:v>OK</x:v>
      </x:c>
    </x:row>
    <x:row r="127">
      <x:c r="A127" s="51" t="n">
        <x:v>41791</x:v>
      </x:c>
      <x:c r="B127" s="49" t="n">
        <x:v>10321869</x:v>
      </x:c>
      <x:c r="C127" s="49" t="n">
        <x:f>B127/1000</x:f>
        <x:v>10321.869</x:v>
      </x:c>
      <x:c r="D127" s="52" t="n">
        <x:v>64937801</x:v>
      </x:c>
      <x:c r="E127" s="52" t="n">
        <x:v>10</x:v>
      </x:c>
      <x:c r="F127" s="52" t="n">
        <x:v>5</x:v>
      </x:c>
      <x:c r="G127" s="52" t="n">
        <x:v>1</x:v>
      </x:c>
      <x:c r="H127" s="52" t="n">
        <x:v>0</x:v>
      </x:c>
      <x:c r="I127" s="53" t="str">
        <x:f>IF(OR(F127&lt;&gt;5,H127&gt;0),"REVISAR","OK")</x:f>
        <x:v>OK</x:v>
      </x:c>
    </x:row>
    <x:row r="128">
      <x:c r="A128" s="51" t="n">
        <x:v>41821</x:v>
      </x:c>
      <x:c r="B128" s="49" t="n">
        <x:v>10555858</x:v>
      </x:c>
      <x:c r="C128" s="49" t="n">
        <x:f>B128/1000</x:f>
        <x:v>10555.858</x:v>
      </x:c>
      <x:c r="D128" s="52" t="n">
        <x:v>65129699</x:v>
      </x:c>
      <x:c r="E128" s="52" t="n">
        <x:v>10</x:v>
      </x:c>
      <x:c r="F128" s="52" t="n">
        <x:v>5</x:v>
      </x:c>
      <x:c r="G128" s="52" t="n">
        <x:v>1</x:v>
      </x:c>
      <x:c r="H128" s="52" t="n">
        <x:v>0</x:v>
      </x:c>
      <x:c r="I128" s="53" t="str">
        <x:f>IF(OR(F128&lt;&gt;5,H128&gt;0),"REVISAR","OK")</x:f>
        <x:v>OK</x:v>
      </x:c>
    </x:row>
    <x:row r="129">
      <x:c r="A129" s="51" t="n">
        <x:v>41852</x:v>
      </x:c>
      <x:c r="B129" s="49" t="n">
        <x:v>10541572</x:v>
      </x:c>
      <x:c r="C129" s="49" t="n">
        <x:f>B129/1000</x:f>
        <x:v>10541.572</x:v>
      </x:c>
      <x:c r="D129" s="52" t="n">
        <x:v>65228365</x:v>
      </x:c>
      <x:c r="E129" s="52" t="n">
        <x:v>10</x:v>
      </x:c>
      <x:c r="F129" s="52" t="n">
        <x:v>5</x:v>
      </x:c>
      <x:c r="G129" s="52" t="n">
        <x:v>1</x:v>
      </x:c>
      <x:c r="H129" s="52" t="n">
        <x:v>0</x:v>
      </x:c>
      <x:c r="I129" s="53" t="str">
        <x:f>IF(OR(F129&lt;&gt;5,H129&gt;0),"REVISAR","OK")</x:f>
        <x:v>OK</x:v>
      </x:c>
    </x:row>
    <x:row r="130">
      <x:c r="A130" s="51" t="n">
        <x:v>41883</x:v>
      </x:c>
      <x:c r="B130" s="49" t="n">
        <x:v>10575615</x:v>
      </x:c>
      <x:c r="C130" s="49" t="n">
        <x:f>B130/1000</x:f>
        <x:v>10575.615</x:v>
      </x:c>
      <x:c r="D130" s="52" t="n">
        <x:v>65484144</x:v>
      </x:c>
      <x:c r="E130" s="52" t="n">
        <x:v>10</x:v>
      </x:c>
      <x:c r="F130" s="52" t="n">
        <x:v>5</x:v>
      </x:c>
      <x:c r="G130" s="52" t="n">
        <x:v>1</x:v>
      </x:c>
      <x:c r="H130" s="52" t="n">
        <x:v>0</x:v>
      </x:c>
      <x:c r="I130" s="53" t="str">
        <x:f>IF(OR(F130&lt;&gt;5,H130&gt;0),"REVISAR","OK")</x:f>
        <x:v>OK</x:v>
      </x:c>
    </x:row>
    <x:row r="131">
      <x:c r="A131" s="51" t="n">
        <x:v>41913</x:v>
      </x:c>
      <x:c r="B131" s="49" t="n">
        <x:v>11140609</x:v>
      </x:c>
      <x:c r="C131" s="49" t="n">
        <x:f>B131/1000</x:f>
        <x:v>11140.609</x:v>
      </x:c>
      <x:c r="D131" s="52" t="n">
        <x:v>65630035</x:v>
      </x:c>
      <x:c r="E131" s="52" t="n">
        <x:v>10</x:v>
      </x:c>
      <x:c r="F131" s="52" t="n">
        <x:v>5</x:v>
      </x:c>
      <x:c r="G131" s="52" t="n">
        <x:v>1</x:v>
      </x:c>
      <x:c r="H131" s="52" t="n">
        <x:v>0</x:v>
      </x:c>
      <x:c r="I131" s="53" t="str">
        <x:f>IF(OR(F131&lt;&gt;5,H131&gt;0),"REVISAR","OK")</x:f>
        <x:v>OK</x:v>
      </x:c>
    </x:row>
    <x:row r="132">
      <x:c r="A132" s="51" t="n">
        <x:v>41944</x:v>
      </x:c>
      <x:c r="B132" s="49" t="n">
        <x:v>11382391</x:v>
      </x:c>
      <x:c r="C132" s="49" t="n">
        <x:f>B132/1000</x:f>
        <x:v>11382.391</x:v>
      </x:c>
      <x:c r="D132" s="52" t="n">
        <x:v>65741529</x:v>
      </x:c>
      <x:c r="E132" s="52" t="n">
        <x:v>10</x:v>
      </x:c>
      <x:c r="F132" s="52" t="n">
        <x:v>5</x:v>
      </x:c>
      <x:c r="G132" s="52" t="n">
        <x:v>1</x:v>
      </x:c>
      <x:c r="H132" s="52" t="n">
        <x:v>0</x:v>
      </x:c>
      <x:c r="I132" s="53" t="str">
        <x:f>IF(OR(F132&lt;&gt;5,H132&gt;0),"REVISAR","OK")</x:f>
        <x:v>OK</x:v>
      </x:c>
    </x:row>
    <x:row r="133">
      <x:c r="A133" s="51" t="n">
        <x:v>41974</x:v>
      </x:c>
      <x:c r="B133" s="49" t="n">
        <x:v>11160770</x:v>
      </x:c>
      <x:c r="C133" s="49" t="n">
        <x:f>B133/1000</x:f>
        <x:v>11160.77</x:v>
      </x:c>
      <x:c r="D133" s="52" t="n">
        <x:v>66006545</x:v>
      </x:c>
      <x:c r="E133" s="52" t="n">
        <x:v>10</x:v>
      </x:c>
      <x:c r="F133" s="52" t="n">
        <x:v>5</x:v>
      </x:c>
      <x:c r="G133" s="52" t="n">
        <x:v>1</x:v>
      </x:c>
      <x:c r="H133" s="52" t="n">
        <x:v>0</x:v>
      </x:c>
      <x:c r="I133" s="53" t="str">
        <x:f>IF(OR(F133&lt;&gt;5,H133&gt;0),"REVISAR","OK")</x:f>
        <x:v>OK</x:v>
      </x:c>
    </x:row>
    <x:row r="134">
      <x:c r="A134" s="51" t="n">
        <x:v>42005</x:v>
      </x:c>
      <x:c r="B134" s="49" t="n">
        <x:v>12558302.07</x:v>
      </x:c>
      <x:c r="C134" s="49" t="n">
        <x:f>B134/1000</x:f>
        <x:v>12558.30207</x:v>
      </x:c>
      <x:c r="D134" s="52" t="n">
        <x:v>66158585</x:v>
      </x:c>
      <x:c r="E134" s="52" t="n">
        <x:v>10</x:v>
      </x:c>
      <x:c r="F134" s="52" t="n">
        <x:v>5</x:v>
      </x:c>
      <x:c r="G134" s="52" t="n">
        <x:v>1</x:v>
      </x:c>
      <x:c r="H134" s="52" t="n">
        <x:v>0</x:v>
      </x:c>
      <x:c r="I134" s="53" t="str">
        <x:f>IF(OR(F134&lt;&gt;5,H134&gt;0),"REVISAR","OK")</x:f>
        <x:v>OK</x:v>
      </x:c>
    </x:row>
    <x:row r="135">
      <x:c r="A135" s="51" t="n">
        <x:v>42036</x:v>
      </x:c>
      <x:c r="B135" s="49" t="n">
        <x:v>11780261</x:v>
      </x:c>
      <x:c r="C135" s="49" t="n">
        <x:f>B135/1000</x:f>
        <x:v>11780.261</x:v>
      </x:c>
      <x:c r="D135" s="52" t="n">
        <x:v>66324029</x:v>
      </x:c>
      <x:c r="E135" s="52" t="n">
        <x:v>10</x:v>
      </x:c>
      <x:c r="F135" s="52" t="n">
        <x:v>5</x:v>
      </x:c>
      <x:c r="G135" s="52" t="n">
        <x:v>1</x:v>
      </x:c>
      <x:c r="H135" s="52" t="n">
        <x:v>0</x:v>
      </x:c>
      <x:c r="I135" s="53" t="str">
        <x:f>IF(OR(F135&lt;&gt;5,H135&gt;0),"REVISAR","OK")</x:f>
        <x:v>OK</x:v>
      </x:c>
    </x:row>
    <x:row r="136">
      <x:c r="A136" s="51" t="n">
        <x:v>42064</x:v>
      </x:c>
      <x:c r="B136" s="49" t="n">
        <x:v>11098110</x:v>
      </x:c>
      <x:c r="C136" s="49" t="n">
        <x:f>B136/1000</x:f>
        <x:v>11098.11</x:v>
      </x:c>
      <x:c r="D136" s="52" t="n">
        <x:v>66011656</x:v>
      </x:c>
      <x:c r="E136" s="52" t="n">
        <x:v>10</x:v>
      </x:c>
      <x:c r="F136" s="52" t="n">
        <x:v>5</x:v>
      </x:c>
      <x:c r="G136" s="52" t="n">
        <x:v>1</x:v>
      </x:c>
      <x:c r="H136" s="52" t="n">
        <x:v>0</x:v>
      </x:c>
      <x:c r="I136" s="53" t="str">
        <x:f>IF(OR(F136&lt;&gt;5,H136&gt;0),"REVISAR","OK")</x:f>
        <x:v>OK</x:v>
      </x:c>
    </x:row>
    <x:row r="137">
      <x:c r="A137" s="51" t="n">
        <x:v>42095</x:v>
      </x:c>
      <x:c r="B137" s="49" t="n">
        <x:v>10889663</x:v>
      </x:c>
      <x:c r="C137" s="49" t="n">
        <x:f>B137/1000</x:f>
        <x:v>10889.663</x:v>
      </x:c>
      <x:c r="D137" s="52" t="n">
        <x:v>66119519</x:v>
      </x:c>
      <x:c r="E137" s="52" t="n">
        <x:v>10</x:v>
      </x:c>
      <x:c r="F137" s="52" t="n">
        <x:v>5</x:v>
      </x:c>
      <x:c r="G137" s="52" t="n">
        <x:v>1</x:v>
      </x:c>
      <x:c r="H137" s="52" t="n">
        <x:v>0</x:v>
      </x:c>
      <x:c r="I137" s="53" t="str">
        <x:f>IF(OR(F137&lt;&gt;5,H137&gt;0),"REVISAR","OK")</x:f>
        <x:v>OK</x:v>
      </x:c>
    </x:row>
    <x:row r="138">
      <x:c r="A138" s="51" t="n">
        <x:v>42125</x:v>
      </x:c>
      <x:c r="B138" s="49" t="n">
        <x:v>10541785</x:v>
      </x:c>
      <x:c r="C138" s="49" t="n">
        <x:f>B138/1000</x:f>
        <x:v>10541.785</x:v>
      </x:c>
      <x:c r="D138" s="52" t="n">
        <x:v>66846174</x:v>
      </x:c>
      <x:c r="E138" s="52" t="n">
        <x:v>10</x:v>
      </x:c>
      <x:c r="F138" s="52" t="n">
        <x:v>5</x:v>
      </x:c>
      <x:c r="G138" s="52" t="n">
        <x:v>1</x:v>
      </x:c>
      <x:c r="H138" s="52" t="n">
        <x:v>0</x:v>
      </x:c>
      <x:c r="I138" s="53" t="str">
        <x:f>IF(OR(F138&lt;&gt;5,H138&gt;0),"REVISAR","OK")</x:f>
        <x:v>OK</x:v>
      </x:c>
    </x:row>
    <x:row r="139">
      <x:c r="A139" s="51" t="n">
        <x:v>42156</x:v>
      </x:c>
      <x:c r="B139" s="49" t="n">
        <x:v>10112848</x:v>
      </x:c>
      <x:c r="C139" s="49" t="n">
        <x:f>B139/1000</x:f>
        <x:v>10112.848</x:v>
      </x:c>
      <x:c r="D139" s="52" t="n">
        <x:v>66981801</x:v>
      </x:c>
      <x:c r="E139" s="52" t="n">
        <x:v>10</x:v>
      </x:c>
      <x:c r="F139" s="52" t="n">
        <x:v>5</x:v>
      </x:c>
      <x:c r="G139" s="52" t="n">
        <x:v>1</x:v>
      </x:c>
      <x:c r="H139" s="52" t="n">
        <x:v>0</x:v>
      </x:c>
      <x:c r="I139" s="53" t="str">
        <x:f>IF(OR(F139&lt;&gt;5,H139&gt;0),"REVISAR","OK")</x:f>
        <x:v>OK</x:v>
      </x:c>
    </x:row>
    <x:row r="140">
      <x:c r="A140" s="51" t="n">
        <x:v>42186</x:v>
      </x:c>
      <x:c r="B140" s="49" t="n">
        <x:v>10110752</x:v>
      </x:c>
      <x:c r="C140" s="49" t="n">
        <x:f>B140/1000</x:f>
        <x:v>10110.752</x:v>
      </x:c>
      <x:c r="D140" s="52" t="n">
        <x:v>67061963</x:v>
      </x:c>
      <x:c r="E140" s="52" t="n">
        <x:v>10</x:v>
      </x:c>
      <x:c r="F140" s="52" t="n">
        <x:v>5</x:v>
      </x:c>
      <x:c r="G140" s="52" t="n">
        <x:v>1</x:v>
      </x:c>
      <x:c r="H140" s="52" t="n">
        <x:v>0</x:v>
      </x:c>
      <x:c r="I140" s="53" t="str">
        <x:f>IF(OR(F140&lt;&gt;5,H140&gt;0),"REVISAR","OK")</x:f>
        <x:v>OK</x:v>
      </x:c>
    </x:row>
    <x:row r="141">
      <x:c r="A141" s="51" t="n">
        <x:v>42217</x:v>
      </x:c>
      <x:c r="B141" s="49" t="n">
        <x:v>10312915</x:v>
      </x:c>
      <x:c r="C141" s="49" t="n">
        <x:f>B141/1000</x:f>
        <x:v>10312.915</x:v>
      </x:c>
      <x:c r="D141" s="52" t="n">
        <x:v>67063442</x:v>
      </x:c>
      <x:c r="E141" s="52" t="n">
        <x:v>10</x:v>
      </x:c>
      <x:c r="F141" s="52" t="n">
        <x:v>5</x:v>
      </x:c>
      <x:c r="G141" s="52" t="n">
        <x:v>1</x:v>
      </x:c>
      <x:c r="H141" s="52" t="n">
        <x:v>0</x:v>
      </x:c>
      <x:c r="I141" s="53" t="str">
        <x:f>IF(OR(F141&lt;&gt;5,H141&gt;0),"REVISAR","OK")</x:f>
        <x:v>OK</x:v>
      </x:c>
    </x:row>
    <x:row r="142">
      <x:c r="A142" s="51" t="n">
        <x:v>42248</x:v>
      </x:c>
      <x:c r="B142" s="49" t="n">
        <x:v>10436503</x:v>
      </x:c>
      <x:c r="C142" s="49" t="n">
        <x:f>B142/1000</x:f>
        <x:v>10436.503</x:v>
      </x:c>
      <x:c r="D142" s="52" t="n">
        <x:v>67322607</x:v>
      </x:c>
      <x:c r="E142" s="52" t="n">
        <x:v>10</x:v>
      </x:c>
      <x:c r="F142" s="52" t="n">
        <x:v>5</x:v>
      </x:c>
      <x:c r="G142" s="52" t="n">
        <x:v>1</x:v>
      </x:c>
      <x:c r="H142" s="52" t="n">
        <x:v>0</x:v>
      </x:c>
      <x:c r="I142" s="53" t="str">
        <x:f>IF(OR(F142&lt;&gt;5,H142&gt;0),"REVISAR","OK")</x:f>
        <x:v>OK</x:v>
      </x:c>
    </x:row>
    <x:row r="143">
      <x:c r="A143" s="51" t="n">
        <x:v>42278</x:v>
      </x:c>
      <x:c r="B143" s="49" t="n">
        <x:v>11133353</x:v>
      </x:c>
      <x:c r="C143" s="49" t="n">
        <x:f>B143/1000</x:f>
        <x:v>11133.353</x:v>
      </x:c>
      <x:c r="D143" s="52" t="n">
        <x:v>67528962</x:v>
      </x:c>
      <x:c r="E143" s="52" t="n">
        <x:v>10</x:v>
      </x:c>
      <x:c r="F143" s="52" t="n">
        <x:v>5</x:v>
      </x:c>
      <x:c r="G143" s="52" t="n">
        <x:v>1</x:v>
      </x:c>
      <x:c r="H143" s="52" t="n">
        <x:v>0</x:v>
      </x:c>
      <x:c r="I143" s="53" t="str">
        <x:f>IF(OR(F143&lt;&gt;5,H143&gt;0),"REVISAR","OK")</x:f>
        <x:v>OK</x:v>
      </x:c>
    </x:row>
    <x:row r="144">
      <x:c r="A144" s="51" t="n">
        <x:v>42309</x:v>
      </x:c>
      <x:c r="B144" s="49" t="n">
        <x:v>11131741</x:v>
      </x:c>
      <x:c r="C144" s="49" t="n">
        <x:f>B144/1000</x:f>
        <x:v>11131.741</x:v>
      </x:c>
      <x:c r="D144" s="52" t="n">
        <x:v>67624544</x:v>
      </x:c>
      <x:c r="E144" s="52" t="n">
        <x:v>10</x:v>
      </x:c>
      <x:c r="F144" s="52" t="n">
        <x:v>5</x:v>
      </x:c>
      <x:c r="G144" s="52" t="n">
        <x:v>1</x:v>
      </x:c>
      <x:c r="H144" s="52" t="n">
        <x:v>0</x:v>
      </x:c>
      <x:c r="I144" s="53" t="str">
        <x:f>IF(OR(F144&lt;&gt;5,H144&gt;0),"REVISAR","OK")</x:f>
        <x:v>OK</x:v>
      </x:c>
    </x:row>
    <x:row r="145">
      <x:c r="A145" s="51" t="n">
        <x:v>42339</x:v>
      </x:c>
      <x:c r="B145" s="49" t="n">
        <x:v>11083535</x:v>
      </x:c>
      <x:c r="C145" s="49" t="n">
        <x:f>B145/1000</x:f>
        <x:v>11083.535</x:v>
      </x:c>
      <x:c r="D145" s="52" t="n">
        <x:v>67746480</x:v>
      </x:c>
      <x:c r="E145" s="52" t="n">
        <x:v>10</x:v>
      </x:c>
      <x:c r="F145" s="52" t="n">
        <x:v>5</x:v>
      </x:c>
      <x:c r="G145" s="52" t="n">
        <x:v>1</x:v>
      </x:c>
      <x:c r="H145" s="52" t="n">
        <x:v>0</x:v>
      </x:c>
      <x:c r="I145" s="53" t="str">
        <x:f>IF(OR(F145&lt;&gt;5,H145&gt;0),"REVISAR","OK")</x:f>
        <x:v>OK</x:v>
      </x:c>
    </x:row>
    <x:row r="146">
      <x:c r="A146" s="51" t="n">
        <x:v>42370</x:v>
      </x:c>
      <x:c r="B146" s="49" t="n">
        <x:v>11830096</x:v>
      </x:c>
      <x:c r="C146" s="49" t="n">
        <x:f>B146/1000</x:f>
        <x:v>11830.096</x:v>
      </x:c>
      <x:c r="D146" s="52" t="n">
        <x:v>67885189</x:v>
      </x:c>
      <x:c r="E146" s="52" t="n">
        <x:v>10</x:v>
      </x:c>
      <x:c r="F146" s="52" t="n">
        <x:v>5</x:v>
      </x:c>
      <x:c r="G146" s="52" t="n">
        <x:v>1</x:v>
      </x:c>
      <x:c r="H146" s="52" t="n">
        <x:v>0</x:v>
      </x:c>
      <x:c r="I146" s="53" t="str">
        <x:f>IF(OR(F146&lt;&gt;5,H146&gt;0),"REVISAR","OK")</x:f>
        <x:v>OK</x:v>
      </x:c>
    </x:row>
    <x:row r="147">
      <x:c r="A147" s="51" t="n">
        <x:v>42401</x:v>
      </x:c>
      <x:c r="B147" s="49" t="n">
        <x:v>11351945</x:v>
      </x:c>
      <x:c r="C147" s="49" t="n">
        <x:f>B147/1000</x:f>
        <x:v>11351.945</x:v>
      </x:c>
      <x:c r="D147" s="52" t="n">
        <x:v>68062676</x:v>
      </x:c>
      <x:c r="E147" s="52" t="n">
        <x:v>10</x:v>
      </x:c>
      <x:c r="F147" s="52" t="n">
        <x:v>5</x:v>
      </x:c>
      <x:c r="G147" s="52" t="n">
        <x:v>1</x:v>
      </x:c>
      <x:c r="H147" s="52" t="n">
        <x:v>0</x:v>
      </x:c>
      <x:c r="I147" s="53" t="str">
        <x:f>IF(OR(F147&lt;&gt;5,H147&gt;0),"REVISAR","OK")</x:f>
        <x:v>OK</x:v>
      </x:c>
    </x:row>
    <x:row r="148">
      <x:c r="A148" s="51" t="n">
        <x:v>42430</x:v>
      </x:c>
      <x:c r="B148" s="49" t="n">
        <x:v>11316243</x:v>
      </x:c>
      <x:c r="C148" s="49" t="n">
        <x:f>B148/1000</x:f>
        <x:v>11316.243</x:v>
      </x:c>
      <x:c r="D148" s="52" t="n">
        <x:v>68062707</x:v>
      </x:c>
      <x:c r="E148" s="52" t="n">
        <x:v>10</x:v>
      </x:c>
      <x:c r="F148" s="52" t="n">
        <x:v>5</x:v>
      </x:c>
      <x:c r="G148" s="52" t="n">
        <x:v>1</x:v>
      </x:c>
      <x:c r="H148" s="52" t="n">
        <x:v>0</x:v>
      </x:c>
      <x:c r="I148" s="53" t="str">
        <x:f>IF(OR(F148&lt;&gt;5,H148&gt;0),"REVISAR","OK")</x:f>
        <x:v>OK</x:v>
      </x:c>
    </x:row>
    <x:row r="149">
      <x:c r="A149" s="51" t="n">
        <x:v>42461</x:v>
      </x:c>
      <x:c r="B149" s="49" t="n">
        <x:v>11782473</x:v>
      </x:c>
      <x:c r="C149" s="49" t="n">
        <x:f>B149/1000</x:f>
        <x:v>11782.473</x:v>
      </x:c>
      <x:c r="D149" s="52" t="n">
        <x:v>68237273</x:v>
      </x:c>
      <x:c r="E149" s="52" t="n">
        <x:v>10</x:v>
      </x:c>
      <x:c r="F149" s="52" t="n">
        <x:v>5</x:v>
      </x:c>
      <x:c r="G149" s="52" t="n">
        <x:v>1</x:v>
      </x:c>
      <x:c r="H149" s="52" t="n">
        <x:v>0</x:v>
      </x:c>
      <x:c r="I149" s="53" t="str">
        <x:f>IF(OR(F149&lt;&gt;5,H149&gt;0),"REVISAR","OK")</x:f>
        <x:v>OK</x:v>
      </x:c>
    </x:row>
    <x:row r="150">
      <x:c r="A150" s="51" t="n">
        <x:v>42491</x:v>
      </x:c>
      <x:c r="B150" s="49" t="n">
        <x:v>10932332</x:v>
      </x:c>
      <x:c r="C150" s="49" t="n">
        <x:f>B150/1000</x:f>
        <x:v>10932.332</x:v>
      </x:c>
      <x:c r="D150" s="52" t="n">
        <x:v>68436309</x:v>
      </x:c>
      <x:c r="E150" s="52" t="n">
        <x:v>10</x:v>
      </x:c>
      <x:c r="F150" s="52" t="n">
        <x:v>5</x:v>
      </x:c>
      <x:c r="G150" s="52" t="n">
        <x:v>1</x:v>
      </x:c>
      <x:c r="H150" s="52" t="n">
        <x:v>0</x:v>
      </x:c>
      <x:c r="I150" s="53" t="str">
        <x:f>IF(OR(F150&lt;&gt;5,H150&gt;0),"REVISAR","OK")</x:f>
        <x:v>OK</x:v>
      </x:c>
    </x:row>
    <x:row r="151">
      <x:c r="A151" s="51" t="n">
        <x:v>42522</x:v>
      </x:c>
      <x:c r="B151" s="49" t="n">
        <x:v>10613953</x:v>
      </x:c>
      <x:c r="C151" s="49" t="n">
        <x:f>B151/1000</x:f>
        <x:v>10613.953</x:v>
      </x:c>
      <x:c r="D151" s="52" t="n">
        <x:v>68550599</x:v>
      </x:c>
      <x:c r="E151" s="52" t="n">
        <x:v>10</x:v>
      </x:c>
      <x:c r="F151" s="52" t="n">
        <x:v>5</x:v>
      </x:c>
      <x:c r="G151" s="52" t="n">
        <x:v>1</x:v>
      </x:c>
      <x:c r="H151" s="52" t="n">
        <x:v>0</x:v>
      </x:c>
      <x:c r="I151" s="53" t="str">
        <x:f>IF(OR(F151&lt;&gt;5,H151&gt;0),"REVISAR","OK")</x:f>
        <x:v>OK</x:v>
      </x:c>
    </x:row>
    <x:row r="152">
      <x:c r="A152" s="51" t="n">
        <x:v>42552</x:v>
      </x:c>
      <x:c r="B152" s="49" t="n">
        <x:v>10380620</x:v>
      </x:c>
      <x:c r="C152" s="49" t="n">
        <x:f>B152/1000</x:f>
        <x:v>10380.62</x:v>
      </x:c>
      <x:c r="D152" s="52" t="n">
        <x:v>68711532</x:v>
      </x:c>
      <x:c r="E152" s="52" t="n">
        <x:v>10</x:v>
      </x:c>
      <x:c r="F152" s="52" t="n">
        <x:v>5</x:v>
      </x:c>
      <x:c r="G152" s="52" t="n">
        <x:v>1</x:v>
      </x:c>
      <x:c r="H152" s="52" t="n">
        <x:v>0</x:v>
      </x:c>
      <x:c r="I152" s="53" t="str">
        <x:f>IF(OR(F152&lt;&gt;5,H152&gt;0),"REVISAR","OK")</x:f>
        <x:v>OK</x:v>
      </x:c>
    </x:row>
    <x:row r="153">
      <x:c r="A153" s="51" t="n">
        <x:v>42583</x:v>
      </x:c>
      <x:c r="B153" s="49" t="n">
        <x:v>10427772</x:v>
      </x:c>
      <x:c r="C153" s="49" t="n">
        <x:f>B153/1000</x:f>
        <x:v>10427.772</x:v>
      </x:c>
      <x:c r="D153" s="52" t="n">
        <x:v>68828663</x:v>
      </x:c>
      <x:c r="E153" s="52" t="n">
        <x:v>10</x:v>
      </x:c>
      <x:c r="F153" s="52" t="n">
        <x:v>5</x:v>
      </x:c>
      <x:c r="G153" s="52" t="n">
        <x:v>1</x:v>
      </x:c>
      <x:c r="H153" s="52" t="n">
        <x:v>0</x:v>
      </x:c>
      <x:c r="I153" s="53" t="str">
        <x:f>IF(OR(F153&lt;&gt;5,H153&gt;0),"REVISAR","OK")</x:f>
        <x:v>OK</x:v>
      </x:c>
    </x:row>
    <x:row r="154">
      <x:c r="A154" s="51" t="n">
        <x:v>42614</x:v>
      </x:c>
      <x:c r="B154" s="49" t="n">
        <x:v>10890071</x:v>
      </x:c>
      <x:c r="C154" s="49" t="n">
        <x:f>B154/1000</x:f>
        <x:v>10890.071</x:v>
      </x:c>
      <x:c r="D154" s="52" t="n">
        <x:v>68916120</x:v>
      </x:c>
      <x:c r="E154" s="52" t="n">
        <x:v>10</x:v>
      </x:c>
      <x:c r="F154" s="52" t="n">
        <x:v>5</x:v>
      </x:c>
      <x:c r="G154" s="52" t="n">
        <x:v>1</x:v>
      </x:c>
      <x:c r="H154" s="52" t="n">
        <x:v>0</x:v>
      </x:c>
      <x:c r="I154" s="53" t="str">
        <x:f>IF(OR(F154&lt;&gt;5,H154&gt;0),"REVISAR","OK")</x:f>
        <x:v>OK</x:v>
      </x:c>
    </x:row>
    <x:row r="155">
      <x:c r="A155" s="51" t="n">
        <x:v>42644</x:v>
      </x:c>
      <x:c r="B155" s="49" t="n">
        <x:v>10855564</x:v>
      </x:c>
      <x:c r="C155" s="49" t="n">
        <x:f>B155/1000</x:f>
        <x:v>10855.564</x:v>
      </x:c>
      <x:c r="D155" s="52" t="n">
        <x:v>68967040</x:v>
      </x:c>
      <x:c r="E155" s="52" t="n">
        <x:v>10</x:v>
      </x:c>
      <x:c r="F155" s="52" t="n">
        <x:v>5</x:v>
      </x:c>
      <x:c r="G155" s="52" t="n">
        <x:v>1</x:v>
      </x:c>
      <x:c r="H155" s="52" t="n">
        <x:v>0</x:v>
      </x:c>
      <x:c r="I155" s="53" t="str">
        <x:f>IF(OR(F155&lt;&gt;5,H155&gt;0),"REVISAR","OK")</x:f>
        <x:v>OK</x:v>
      </x:c>
    </x:row>
    <x:row r="156">
      <x:c r="A156" s="51" t="n">
        <x:v>42675</x:v>
      </x:c>
      <x:c r="B156" s="49" t="n">
        <x:v>11133955</x:v>
      </x:c>
      <x:c r="C156" s="49" t="n">
        <x:f>B156/1000</x:f>
        <x:v>11133.955</x:v>
      </x:c>
      <x:c r="D156" s="52" t="n">
        <x:v>69144246</x:v>
      </x:c>
      <x:c r="E156" s="52" t="n">
        <x:v>10</x:v>
      </x:c>
      <x:c r="F156" s="52" t="n">
        <x:v>5</x:v>
      </x:c>
      <x:c r="G156" s="52" t="n">
        <x:v>1</x:v>
      </x:c>
      <x:c r="H156" s="52" t="n">
        <x:v>0</x:v>
      </x:c>
      <x:c r="I156" s="53" t="str">
        <x:f>IF(OR(F156&lt;&gt;5,H156&gt;0),"REVISAR","OK")</x:f>
        <x:v>OK</x:v>
      </x:c>
    </x:row>
    <x:row r="157">
      <x:c r="A157" s="51" t="n">
        <x:v>42705</x:v>
      </x:c>
      <x:c r="B157" s="49" t="n">
        <x:v>11357061</x:v>
      </x:c>
      <x:c r="C157" s="49" t="n">
        <x:f>B157/1000</x:f>
        <x:v>11357.061</x:v>
      </x:c>
      <x:c r="D157" s="52" t="n">
        <x:v>69277400</x:v>
      </x:c>
      <x:c r="E157" s="52" t="n">
        <x:v>10</x:v>
      </x:c>
      <x:c r="F157" s="52" t="n">
        <x:v>5</x:v>
      </x:c>
      <x:c r="G157" s="52" t="n">
        <x:v>1</x:v>
      </x:c>
      <x:c r="H157" s="52" t="n">
        <x:v>0</x:v>
      </x:c>
      <x:c r="I157" s="53" t="str">
        <x:f>IF(OR(F157&lt;&gt;5,H157&gt;0),"REVISAR","OK")</x:f>
        <x:v>OK</x:v>
      </x:c>
    </x:row>
    <x:row r="158">
      <x:c r="A158" s="51" t="n">
        <x:v>42736</x:v>
      </x:c>
      <x:c r="B158" s="49" t="n">
        <x:v>11905635</x:v>
      </x:c>
      <x:c r="C158" s="49" t="n">
        <x:f>B158/1000</x:f>
        <x:v>11905.635</x:v>
      </x:c>
      <x:c r="D158" s="52" t="n">
        <x:v>69338019</x:v>
      </x:c>
      <x:c r="E158" s="52" t="n">
        <x:v>10</x:v>
      </x:c>
      <x:c r="F158" s="52" t="n">
        <x:v>5</x:v>
      </x:c>
      <x:c r="G158" s="52" t="n">
        <x:v>1</x:v>
      </x:c>
      <x:c r="H158" s="52" t="n">
        <x:v>0</x:v>
      </x:c>
      <x:c r="I158" s="53" t="str">
        <x:f>IF(OR(F158&lt;&gt;5,H158&gt;0),"REVISAR","OK")</x:f>
        <x:v>OK</x:v>
      </x:c>
    </x:row>
    <x:row r="159">
      <x:c r="A159" s="51" t="n">
        <x:v>42767</x:v>
      </x:c>
      <x:c r="B159" s="49" t="n">
        <x:v>11369668</x:v>
      </x:c>
      <x:c r="C159" s="49" t="n">
        <x:f>B159/1000</x:f>
        <x:v>11369.668</x:v>
      </x:c>
      <x:c r="D159" s="52" t="n">
        <x:v>69453617</x:v>
      </x:c>
      <x:c r="E159" s="52" t="n">
        <x:v>11</x:v>
      </x:c>
      <x:c r="F159" s="52" t="n">
        <x:v>5</x:v>
      </x:c>
      <x:c r="G159" s="52" t="n">
        <x:v>2</x:v>
      </x:c>
      <x:c r="H159" s="52" t="n">
        <x:v>0</x:v>
      </x:c>
      <x:c r="I159" s="53" t="str">
        <x:f>IF(OR(F159&lt;&gt;5,H159&gt;0),"REVISAR","OK")</x:f>
        <x:v>OK</x:v>
      </x:c>
    </x:row>
    <x:row r="160">
      <x:c r="A160" s="51" t="n">
        <x:v>42795</x:v>
      </x:c>
      <x:c r="B160" s="49" t="n">
        <x:v>12148953</x:v>
      </x:c>
      <x:c r="C160" s="49" t="n">
        <x:f>B160/1000</x:f>
        <x:v>12148.953</x:v>
      </x:c>
      <x:c r="D160" s="52" t="n">
        <x:v>69627820</x:v>
      </x:c>
      <x:c r="E160" s="52" t="n">
        <x:v>11</x:v>
      </x:c>
      <x:c r="F160" s="52" t="n">
        <x:v>5</x:v>
      </x:c>
      <x:c r="G160" s="52" t="n">
        <x:v>2</x:v>
      </x:c>
      <x:c r="H160" s="52" t="n">
        <x:v>0</x:v>
      </x:c>
      <x:c r="I160" s="53" t="str">
        <x:f>IF(OR(F160&lt;&gt;5,H160&gt;0),"REVISAR","OK")</x:f>
        <x:v>OK</x:v>
      </x:c>
    </x:row>
    <x:row r="161">
      <x:c r="A161" s="51" t="n">
        <x:v>42826</x:v>
      </x:c>
      <x:c r="B161" s="49" t="n">
        <x:v>11135480</x:v>
      </x:c>
      <x:c r="C161" s="49" t="n">
        <x:f>B161/1000</x:f>
        <x:v>11135.48</x:v>
      </x:c>
      <x:c r="D161" s="52" t="n">
        <x:v>69687291</x:v>
      </x:c>
      <x:c r="E161" s="52" t="n">
        <x:v>11</x:v>
      </x:c>
      <x:c r="F161" s="52" t="n">
        <x:v>5</x:v>
      </x:c>
      <x:c r="G161" s="52" t="n">
        <x:v>2</x:v>
      </x:c>
      <x:c r="H161" s="52" t="n">
        <x:v>0</x:v>
      </x:c>
      <x:c r="I161" s="53" t="str">
        <x:f>IF(OR(F161&lt;&gt;5,H161&gt;0),"REVISAR","OK")</x:f>
        <x:v>OK</x:v>
      </x:c>
    </x:row>
    <x:row r="162">
      <x:c r="A162" s="51" t="n">
        <x:v>42856</x:v>
      </x:c>
      <x:c r="B162" s="49" t="n">
        <x:v>10939059</x:v>
      </x:c>
      <x:c r="C162" s="49" t="n">
        <x:f>B162/1000</x:f>
        <x:v>10939.059</x:v>
      </x:c>
      <x:c r="D162" s="52" t="n">
        <x:v>69887799</x:v>
      </x:c>
      <x:c r="E162" s="52" t="n">
        <x:v>11</x:v>
      </x:c>
      <x:c r="F162" s="52" t="n">
        <x:v>5</x:v>
      </x:c>
      <x:c r="G162" s="52" t="n">
        <x:v>2</x:v>
      </x:c>
      <x:c r="H162" s="52" t="n">
        <x:v>0</x:v>
      </x:c>
      <x:c r="I162" s="53" t="str">
        <x:f>IF(OR(F162&lt;&gt;5,H162&gt;0),"REVISAR","OK")</x:f>
        <x:v>OK</x:v>
      </x:c>
    </x:row>
    <x:row r="163">
      <x:c r="A163" s="51" t="n">
        <x:v>42887</x:v>
      </x:c>
      <x:c r="B163" s="49" t="n">
        <x:v>10790711</x:v>
      </x:c>
      <x:c r="C163" s="49" t="n">
        <x:f>B163/1000</x:f>
        <x:v>10790.711</x:v>
      </x:c>
      <x:c r="D163" s="52" t="n">
        <x:v>69990911</x:v>
      </x:c>
      <x:c r="E163" s="52" t="n">
        <x:v>11</x:v>
      </x:c>
      <x:c r="F163" s="52" t="n">
        <x:v>5</x:v>
      </x:c>
      <x:c r="G163" s="52" t="n">
        <x:v>2</x:v>
      </x:c>
      <x:c r="H163" s="52" t="n">
        <x:v>0</x:v>
      </x:c>
      <x:c r="I163" s="53" t="str">
        <x:f>IF(OR(F163&lt;&gt;5,H163&gt;0),"REVISAR","OK")</x:f>
        <x:v>OK</x:v>
      </x:c>
    </x:row>
    <x:row r="164">
      <x:c r="A164" s="51" t="n">
        <x:v>42917</x:v>
      </x:c>
      <x:c r="B164" s="49" t="n">
        <x:v>10428729</x:v>
      </x:c>
      <x:c r="C164" s="49" t="n">
        <x:f>B164/1000</x:f>
        <x:v>10428.729</x:v>
      </x:c>
      <x:c r="D164" s="52" t="n">
        <x:v>70129611</x:v>
      </x:c>
      <x:c r="E164" s="52" t="n">
        <x:v>11</x:v>
      </x:c>
      <x:c r="F164" s="52" t="n">
        <x:v>5</x:v>
      </x:c>
      <x:c r="G164" s="52" t="n">
        <x:v>2</x:v>
      </x:c>
      <x:c r="H164" s="52" t="n">
        <x:v>0</x:v>
      </x:c>
      <x:c r="I164" s="53" t="str">
        <x:f>IF(OR(F164&lt;&gt;5,H164&gt;0),"REVISAR","OK")</x:f>
        <x:v>OK</x:v>
      </x:c>
    </x:row>
    <x:row r="165">
      <x:c r="A165" s="51" t="n">
        <x:v>42948</x:v>
      </x:c>
      <x:c r="B165" s="49" t="n">
        <x:v>10475249</x:v>
      </x:c>
      <x:c r="C165" s="49" t="n">
        <x:f>B165/1000</x:f>
        <x:v>10475.249</x:v>
      </x:c>
      <x:c r="D165" s="52" t="n">
        <x:v>70312146</x:v>
      </x:c>
      <x:c r="E165" s="52" t="n">
        <x:v>11</x:v>
      </x:c>
      <x:c r="F165" s="52" t="n">
        <x:v>5</x:v>
      </x:c>
      <x:c r="G165" s="52" t="n">
        <x:v>2</x:v>
      </x:c>
      <x:c r="H165" s="52" t="n">
        <x:v>0</x:v>
      </x:c>
      <x:c r="I165" s="53" t="str">
        <x:f>IF(OR(F165&lt;&gt;5,H165&gt;0),"REVISAR","OK")</x:f>
        <x:v>OK</x:v>
      </x:c>
    </x:row>
    <x:row r="166">
      <x:c r="A166" s="51" t="n">
        <x:v>42979</x:v>
      </x:c>
      <x:c r="B166" s="49" t="n">
        <x:v>11096707</x:v>
      </x:c>
      <x:c r="C166" s="49" t="n">
        <x:f>B166/1000</x:f>
        <x:v>11096.707</x:v>
      </x:c>
      <x:c r="D166" s="52" t="n">
        <x:v>70365851</x:v>
      </x:c>
      <x:c r="E166" s="52" t="n">
        <x:v>11</x:v>
      </x:c>
      <x:c r="F166" s="52" t="n">
        <x:v>5</x:v>
      </x:c>
      <x:c r="G166" s="52" t="n">
        <x:v>2</x:v>
      </x:c>
      <x:c r="H166" s="52" t="n">
        <x:v>0</x:v>
      </x:c>
      <x:c r="I166" s="53" t="str">
        <x:f>IF(OR(F166&lt;&gt;5,H166&gt;0),"REVISAR","OK")</x:f>
        <x:v>OK</x:v>
      </x:c>
    </x:row>
    <x:row r="167">
      <x:c r="A167" s="51" t="n">
        <x:v>43009</x:v>
      </x:c>
      <x:c r="B167" s="49" t="n">
        <x:v>11174696</x:v>
      </x:c>
      <x:c r="C167" s="49" t="n">
        <x:f>B167/1000</x:f>
        <x:v>11174.696</x:v>
      </x:c>
      <x:c r="D167" s="52" t="n">
        <x:v>70460218</x:v>
      </x:c>
      <x:c r="E167" s="52" t="n">
        <x:v>11</x:v>
      </x:c>
      <x:c r="F167" s="52" t="n">
        <x:v>5</x:v>
      </x:c>
      <x:c r="G167" s="52" t="n">
        <x:v>2</x:v>
      </x:c>
      <x:c r="H167" s="52" t="n">
        <x:v>0</x:v>
      </x:c>
      <x:c r="I167" s="53" t="str">
        <x:f>IF(OR(F167&lt;&gt;5,H167&gt;0),"REVISAR","OK")</x:f>
        <x:v>OK</x:v>
      </x:c>
    </x:row>
    <x:row r="168">
      <x:c r="A168" s="51" t="n">
        <x:v>43040</x:v>
      </x:c>
      <x:c r="B168" s="49" t="n">
        <x:v>11462132</x:v>
      </x:c>
      <x:c r="C168" s="49" t="n">
        <x:f>B168/1000</x:f>
        <x:v>11462.132</x:v>
      </x:c>
      <x:c r="D168" s="52" t="n">
        <x:v>70682101</x:v>
      </x:c>
      <x:c r="E168" s="52" t="n">
        <x:v>11</x:v>
      </x:c>
      <x:c r="F168" s="52" t="n">
        <x:v>5</x:v>
      </x:c>
      <x:c r="G168" s="52" t="n">
        <x:v>2</x:v>
      </x:c>
      <x:c r="H168" s="52" t="n">
        <x:v>0</x:v>
      </x:c>
      <x:c r="I168" s="53" t="str">
        <x:f>IF(OR(F168&lt;&gt;5,H168&gt;0),"REVISAR","OK")</x:f>
        <x:v>OK</x:v>
      </x:c>
    </x:row>
    <x:row r="169">
      <x:c r="A169" s="51" t="n">
        <x:v>43070</x:v>
      </x:c>
      <x:c r="B169" s="49" t="n">
        <x:v>11441479</x:v>
      </x:c>
      <x:c r="C169" s="49" t="n">
        <x:f>B169/1000</x:f>
        <x:v>11441.479</x:v>
      </x:c>
      <x:c r="D169" s="52" t="n">
        <x:v>70906517</x:v>
      </x:c>
      <x:c r="E169" s="52" t="n">
        <x:v>11</x:v>
      </x:c>
      <x:c r="F169" s="52" t="n">
        <x:v>5</x:v>
      </x:c>
      <x:c r="G169" s="52" t="n">
        <x:v>2</x:v>
      </x:c>
      <x:c r="H169" s="52" t="n">
        <x:v>0</x:v>
      </x:c>
      <x:c r="I169" s="53" t="str">
        <x:f>IF(OR(F169&lt;&gt;5,H169&gt;0),"REVISAR","OK")</x:f>
        <x:v>OK</x:v>
      </x:c>
    </x:row>
    <x:row r="170">
      <x:c r="A170" s="51" t="n">
        <x:v>43101</x:v>
      </x:c>
      <x:c r="B170" s="49" t="n">
        <x:v>11957246.453000002</x:v>
      </x:c>
      <x:c r="C170" s="49" t="n">
        <x:f>B170/1000</x:f>
        <x:v>11957.246453000002</x:v>
      </x:c>
      <x:c r="D170" s="52" t="n">
        <x:v>70845996</x:v>
      </x:c>
      <x:c r="E170" s="52" t="n">
        <x:v>11</x:v>
      </x:c>
      <x:c r="F170" s="52" t="n">
        <x:v>5</x:v>
      </x:c>
      <x:c r="G170" s="52" t="n">
        <x:v>2</x:v>
      </x:c>
      <x:c r="H170" s="52" t="n">
        <x:v>0</x:v>
      </x:c>
      <x:c r="I170" s="53" t="str">
        <x:f>IF(OR(F170&lt;&gt;5,H170&gt;0),"REVISAR","OK")</x:f>
        <x:v>OK</x:v>
      </x:c>
    </x:row>
    <x:row r="171">
      <x:c r="A171" s="51" t="n">
        <x:v>43132</x:v>
      </x:c>
      <x:c r="B171" s="49" t="n">
        <x:v>11658888.216000002</x:v>
      </x:c>
      <x:c r="C171" s="49" t="n">
        <x:f>B171/1000</x:f>
        <x:v>11658.888216000001</x:v>
      </x:c>
      <x:c r="D171" s="52" t="n">
        <x:v>70928805</x:v>
      </x:c>
      <x:c r="E171" s="52" t="n">
        <x:v>11</x:v>
      </x:c>
      <x:c r="F171" s="52" t="n">
        <x:v>5</x:v>
      </x:c>
      <x:c r="G171" s="52" t="n">
        <x:v>2</x:v>
      </x:c>
      <x:c r="H171" s="52" t="n">
        <x:v>0</x:v>
      </x:c>
      <x:c r="I171" s="53" t="str">
        <x:f>IF(OR(F171&lt;&gt;5,H171&gt;0),"REVISAR","OK")</x:f>
        <x:v>OK</x:v>
      </x:c>
    </x:row>
    <x:row r="172">
      <x:c r="A172" s="51" t="n">
        <x:v>43160</x:v>
      </x:c>
      <x:c r="B172" s="49" t="n">
        <x:v>11950323.865</x:v>
      </x:c>
      <x:c r="C172" s="49" t="n">
        <x:f>B172/1000</x:f>
        <x:v>11950.323865</x:v>
      </x:c>
      <x:c r="D172" s="52" t="n">
        <x:v>71166014</x:v>
      </x:c>
      <x:c r="E172" s="52" t="n">
        <x:v>11</x:v>
      </x:c>
      <x:c r="F172" s="52" t="n">
        <x:v>5</x:v>
      </x:c>
      <x:c r="G172" s="52" t="n">
        <x:v>2</x:v>
      </x:c>
      <x:c r="H172" s="52" t="n">
        <x:v>0</x:v>
      </x:c>
      <x:c r="I172" s="53" t="str">
        <x:f>IF(OR(F172&lt;&gt;5,H172&gt;0),"REVISAR","OK")</x:f>
        <x:v>OK</x:v>
      </x:c>
    </x:row>
    <x:row r="173">
      <x:c r="A173" s="51" t="n">
        <x:v>43191</x:v>
      </x:c>
      <x:c r="B173" s="49" t="n">
        <x:v>11932953.251</x:v>
      </x:c>
      <x:c r="C173" s="49" t="n">
        <x:f>B173/1000</x:f>
        <x:v>11932.953251</x:v>
      </x:c>
      <x:c r="D173" s="52" t="n">
        <x:v>71297330</x:v>
      </x:c>
      <x:c r="E173" s="52" t="n">
        <x:v>11</x:v>
      </x:c>
      <x:c r="F173" s="52" t="n">
        <x:v>5</x:v>
      </x:c>
      <x:c r="G173" s="52" t="n">
        <x:v>2</x:v>
      </x:c>
      <x:c r="H173" s="52" t="n">
        <x:v>0</x:v>
      </x:c>
      <x:c r="I173" s="53" t="str">
        <x:f>IF(OR(F173&lt;&gt;5,H173&gt;0),"REVISAR","OK")</x:f>
        <x:v>OK</x:v>
      </x:c>
    </x:row>
    <x:row r="174">
      <x:c r="A174" s="51" t="n">
        <x:v>43221</x:v>
      </x:c>
      <x:c r="B174" s="49" t="n">
        <x:v>11400720.491</x:v>
      </x:c>
      <x:c r="C174" s="49" t="n">
        <x:f>B174/1000</x:f>
        <x:v>11400.720491</x:v>
      </x:c>
      <x:c r="D174" s="52" t="n">
        <x:v>71390899</x:v>
      </x:c>
      <x:c r="E174" s="52" t="n">
        <x:v>11</x:v>
      </x:c>
      <x:c r="F174" s="52" t="n">
        <x:v>5</x:v>
      </x:c>
      <x:c r="G174" s="52" t="n">
        <x:v>2</x:v>
      </x:c>
      <x:c r="H174" s="52" t="n">
        <x:v>0</x:v>
      </x:c>
      <x:c r="I174" s="53" t="str">
        <x:f>IF(OR(F174&lt;&gt;5,H174&gt;0),"REVISAR","OK")</x:f>
        <x:v>OK</x:v>
      </x:c>
    </x:row>
    <x:row r="175">
      <x:c r="A175" s="51" t="n">
        <x:v>43252</x:v>
      </x:c>
      <x:c r="B175" s="49" t="n">
        <x:v>11066195.428</x:v>
      </x:c>
      <x:c r="C175" s="49" t="n">
        <x:f>B175/1000</x:f>
        <x:v>11066.195427999999</x:v>
      </x:c>
      <x:c r="D175" s="52" t="n">
        <x:v>71490490</x:v>
      </x:c>
      <x:c r="E175" s="52" t="n">
        <x:v>11</x:v>
      </x:c>
      <x:c r="F175" s="52" t="n">
        <x:v>5</x:v>
      </x:c>
      <x:c r="G175" s="52" t="n">
        <x:v>2</x:v>
      </x:c>
      <x:c r="H175" s="52" t="n">
        <x:v>0</x:v>
      </x:c>
      <x:c r="I175" s="53" t="str">
        <x:f>IF(OR(F175&lt;&gt;5,H175&gt;0),"REVISAR","OK")</x:f>
        <x:v>OK</x:v>
      </x:c>
    </x:row>
    <x:row r="176">
      <x:c r="A176" s="51" t="n">
        <x:v>43282</x:v>
      </x:c>
      <x:c r="B176" s="49" t="n">
        <x:v>10790602.050999999</x:v>
      </x:c>
      <x:c r="C176" s="49" t="n">
        <x:f>B176/1000</x:f>
        <x:v>10790.602051</x:v>
      </x:c>
      <x:c r="D176" s="52" t="n">
        <x:v>71657144</x:v>
      </x:c>
      <x:c r="E176" s="52" t="n">
        <x:v>11</x:v>
      </x:c>
      <x:c r="F176" s="52" t="n">
        <x:v>5</x:v>
      </x:c>
      <x:c r="G176" s="52" t="n">
        <x:v>2</x:v>
      </x:c>
      <x:c r="H176" s="52" t="n">
        <x:v>0</x:v>
      </x:c>
      <x:c r="I176" s="53" t="str">
        <x:f>IF(OR(F176&lt;&gt;5,H176&gt;0),"REVISAR","OK")</x:f>
        <x:v>OK</x:v>
      </x:c>
    </x:row>
    <x:row r="177">
      <x:c r="A177" s="51" t="n">
        <x:v>43313</x:v>
      </x:c>
      <x:c r="B177" s="49" t="n">
        <x:v>10808782.467</x:v>
      </x:c>
      <x:c r="C177" s="49" t="n">
        <x:f>B177/1000</x:f>
        <x:v>10808.782467</x:v>
      </x:c>
      <x:c r="D177" s="52" t="n">
        <x:v>71710039</x:v>
      </x:c>
      <x:c r="E177" s="52" t="n">
        <x:v>11</x:v>
      </x:c>
      <x:c r="F177" s="52" t="n">
        <x:v>5</x:v>
      </x:c>
      <x:c r="G177" s="52" t="n">
        <x:v>2</x:v>
      </x:c>
      <x:c r="H177" s="52" t="n">
        <x:v>0</x:v>
      </x:c>
      <x:c r="I177" s="53" t="str">
        <x:f>IF(OR(F177&lt;&gt;5,H177&gt;0),"REVISAR","OK")</x:f>
        <x:v>OK</x:v>
      </x:c>
    </x:row>
    <x:row r="178">
      <x:c r="A178" s="51" t="n">
        <x:v>43344</x:v>
      </x:c>
      <x:c r="B178" s="49" t="n">
        <x:v>11129561.147</x:v>
      </x:c>
      <x:c r="C178" s="49" t="n">
        <x:f>B178/1000</x:f>
        <x:v>11129.561147</x:v>
      </x:c>
      <x:c r="D178" s="52" t="n">
        <x:v>71800682</x:v>
      </x:c>
      <x:c r="E178" s="52" t="n">
        <x:v>11</x:v>
      </x:c>
      <x:c r="F178" s="52" t="n">
        <x:v>5</x:v>
      </x:c>
      <x:c r="G178" s="52" t="n">
        <x:v>2</x:v>
      </x:c>
      <x:c r="H178" s="52" t="n">
        <x:v>0</x:v>
      </x:c>
      <x:c r="I178" s="53" t="str">
        <x:f>IF(OR(F178&lt;&gt;5,H178&gt;0),"REVISAR","OK")</x:f>
        <x:v>OK</x:v>
      </x:c>
    </x:row>
    <x:row r="179">
      <x:c r="A179" s="51" t="n">
        <x:v>43374</x:v>
      </x:c>
      <x:c r="B179" s="49" t="n">
        <x:v>11526904.389</x:v>
      </x:c>
      <x:c r="C179" s="49" t="n">
        <x:f>B179/1000</x:f>
        <x:v>11526.904389000001</x:v>
      </x:c>
      <x:c r="D179" s="52" t="n">
        <x:v>71924062</x:v>
      </x:c>
      <x:c r="E179" s="52" t="n">
        <x:v>11</x:v>
      </x:c>
      <x:c r="F179" s="52" t="n">
        <x:v>5</x:v>
      </x:c>
      <x:c r="G179" s="52" t="n">
        <x:v>2</x:v>
      </x:c>
      <x:c r="H179" s="52" t="n">
        <x:v>0</x:v>
      </x:c>
      <x:c r="I179" s="53" t="str">
        <x:f>IF(OR(F179&lt;&gt;5,H179&gt;0),"REVISAR","OK")</x:f>
        <x:v>OK</x:v>
      </x:c>
    </x:row>
    <x:row r="180">
      <x:c r="A180" s="51" t="n">
        <x:v>43405</x:v>
      </x:c>
      <x:c r="B180" s="49" t="n">
        <x:v>11758805.906</x:v>
      </x:c>
      <x:c r="C180" s="49" t="n">
        <x:f>B180/1000</x:f>
        <x:v>11758.805906</x:v>
      </x:c>
      <x:c r="D180" s="52" t="n">
        <x:v>72023097</x:v>
      </x:c>
      <x:c r="E180" s="52" t="n">
        <x:v>11</x:v>
      </x:c>
      <x:c r="F180" s="52" t="n">
        <x:v>5</x:v>
      </x:c>
      <x:c r="G180" s="52" t="n">
        <x:v>2</x:v>
      </x:c>
      <x:c r="H180" s="52" t="n">
        <x:v>0</x:v>
      </x:c>
      <x:c r="I180" s="53" t="str">
        <x:f>IF(OR(F180&lt;&gt;5,H180&gt;0),"REVISAR","OK")</x:f>
        <x:v>OK</x:v>
      </x:c>
    </x:row>
    <x:row r="181">
      <x:c r="A181" s="51" t="n">
        <x:v>43435</x:v>
      </x:c>
      <x:c r="B181" s="49" t="n">
        <x:v>11718620.507000001</x:v>
      </x:c>
      <x:c r="C181" s="49" t="n">
        <x:f>B181/1000</x:f>
        <x:v>11718.620507000001</x:v>
      </x:c>
      <x:c r="D181" s="52" t="n">
        <x:v>72081460</x:v>
      </x:c>
      <x:c r="E181" s="52" t="n">
        <x:v>11</x:v>
      </x:c>
      <x:c r="F181" s="52" t="n">
        <x:v>5</x:v>
      </x:c>
      <x:c r="G181" s="52" t="n">
        <x:v>2</x:v>
      </x:c>
      <x:c r="H181" s="52" t="n">
        <x:v>0</x:v>
      </x:c>
      <x:c r="I181" s="53" t="str">
        <x:f>IF(OR(F181&lt;&gt;5,H181&gt;0),"REVISAR","OK")</x:f>
        <x:v>OK</x:v>
      </x:c>
    </x:row>
    <x:row r="182">
      <x:c r="A182" s="51" t="n">
        <x:v>43466</x:v>
      </x:c>
      <x:c r="B182" s="49" t="n">
        <x:v>12938073.093000002</x:v>
      </x:c>
      <x:c r="C182" s="49" t="n">
        <x:f>B182/1000</x:f>
        <x:v>12938.073093000003</x:v>
      </x:c>
      <x:c r="D182" s="52" t="n">
        <x:v>72250205</x:v>
      </x:c>
      <x:c r="E182" s="52" t="n">
        <x:v>11</x:v>
      </x:c>
      <x:c r="F182" s="52" t="n">
        <x:v>5</x:v>
      </x:c>
      <x:c r="G182" s="52" t="n">
        <x:v>2</x:v>
      </x:c>
      <x:c r="H182" s="52" t="n">
        <x:v>0</x:v>
      </x:c>
      <x:c r="I182" s="53" t="str">
        <x:f>IF(OR(F182&lt;&gt;5,H182&gt;0),"REVISAR","OK")</x:f>
        <x:v>OK</x:v>
      </x:c>
    </x:row>
    <x:row r="183">
      <x:c r="A183" s="51" t="n">
        <x:v>43497</x:v>
      </x:c>
      <x:c r="B183" s="49" t="n">
        <x:v>12626667.650999997</x:v>
      </x:c>
      <x:c r="C183" s="49" t="n">
        <x:f>B183/1000</x:f>
        <x:v>12626.667650999996</x:v>
      </x:c>
      <x:c r="D183" s="52" t="n">
        <x:v>72335695</x:v>
      </x:c>
      <x:c r="E183" s="52" t="n">
        <x:v>11</x:v>
      </x:c>
      <x:c r="F183" s="52" t="n">
        <x:v>5</x:v>
      </x:c>
      <x:c r="G183" s="52" t="n">
        <x:v>2</x:v>
      </x:c>
      <x:c r="H183" s="52" t="n">
        <x:v>0</x:v>
      </x:c>
      <x:c r="I183" s="53" t="str">
        <x:f>IF(OR(F183&lt;&gt;5,H183&gt;0),"REVISAR","OK")</x:f>
        <x:v>OK</x:v>
      </x:c>
    </x:row>
    <x:row r="184">
      <x:c r="A184" s="51" t="n">
        <x:v>43525</x:v>
      </x:c>
      <x:c r="B184" s="49" t="n">
        <x:v>12384049.749000002</x:v>
      </x:c>
      <x:c r="C184" s="49" t="n">
        <x:f>B184/1000</x:f>
        <x:v>12384.049749000002</x:v>
      </x:c>
      <x:c r="D184" s="52" t="n">
        <x:v>72466364</x:v>
      </x:c>
      <x:c r="E184" s="52" t="n">
        <x:v>11</x:v>
      </x:c>
      <x:c r="F184" s="52" t="n">
        <x:v>5</x:v>
      </x:c>
      <x:c r="G184" s="52" t="n">
        <x:v>2</x:v>
      </x:c>
      <x:c r="H184" s="52" t="n">
        <x:v>0</x:v>
      </x:c>
      <x:c r="I184" s="53" t="str">
        <x:f>IF(OR(F184&lt;&gt;5,H184&gt;0),"REVISAR","OK")</x:f>
        <x:v>OK</x:v>
      </x:c>
    </x:row>
    <x:row r="185">
      <x:c r="A185" s="51" t="n">
        <x:v>43556</x:v>
      </x:c>
      <x:c r="B185" s="49" t="n">
        <x:v>11569458.24</x:v>
      </x:c>
      <x:c r="C185" s="49" t="n">
        <x:f>B185/1000</x:f>
        <x:v>11569.45824</x:v>
      </x:c>
      <x:c r="D185" s="52" t="n">
        <x:v>72572416</x:v>
      </x:c>
      <x:c r="E185" s="52" t="n">
        <x:v>11</x:v>
      </x:c>
      <x:c r="F185" s="52" t="n">
        <x:v>5</x:v>
      </x:c>
      <x:c r="G185" s="52" t="n">
        <x:v>2</x:v>
      </x:c>
      <x:c r="H185" s="52" t="n">
        <x:v>0</x:v>
      </x:c>
      <x:c r="I185" s="53" t="str">
        <x:f>IF(OR(F185&lt;&gt;5,H185&gt;0),"REVISAR","OK")</x:f>
        <x:v>OK</x:v>
      </x:c>
    </x:row>
    <x:row r="186">
      <x:c r="A186" s="51" t="n">
        <x:v>43586</x:v>
      </x:c>
      <x:c r="B186" s="49" t="n">
        <x:v>11926593.513</x:v>
      </x:c>
      <x:c r="C186" s="49" t="n">
        <x:f>B186/1000</x:f>
        <x:v>11926.593513</x:v>
      </x:c>
      <x:c r="D186" s="52" t="n">
        <x:v>72743385</x:v>
      </x:c>
      <x:c r="E186" s="52" t="n">
        <x:v>11</x:v>
      </x:c>
      <x:c r="F186" s="52" t="n">
        <x:v>5</x:v>
      </x:c>
      <x:c r="G186" s="52" t="n">
        <x:v>2</x:v>
      </x:c>
      <x:c r="H186" s="52" t="n">
        <x:v>0</x:v>
      </x:c>
      <x:c r="I186" s="53" t="str">
        <x:f>IF(OR(F186&lt;&gt;5,H186&gt;0),"REVISAR","OK")</x:f>
        <x:v>OK</x:v>
      </x:c>
    </x:row>
    <x:row r="187">
      <x:c r="A187" s="51" t="n">
        <x:v>43617</x:v>
      </x:c>
      <x:c r="B187" s="49" t="n">
        <x:v>11050316.305</x:v>
      </x:c>
      <x:c r="C187" s="49" t="n">
        <x:f>B187/1000</x:f>
        <x:v>11050.316305</x:v>
      </x:c>
      <x:c r="D187" s="52" t="n">
        <x:v>72799445</x:v>
      </x:c>
      <x:c r="E187" s="52" t="n">
        <x:v>11</x:v>
      </x:c>
      <x:c r="F187" s="52" t="n">
        <x:v>5</x:v>
      </x:c>
      <x:c r="G187" s="52" t="n">
        <x:v>2</x:v>
      </x:c>
      <x:c r="H187" s="52" t="n">
        <x:v>0</x:v>
      </x:c>
      <x:c r="I187" s="53" t="str">
        <x:f>IF(OR(F187&lt;&gt;5,H187&gt;0),"REVISAR","OK")</x:f>
        <x:v>OK</x:v>
      </x:c>
    </x:row>
    <x:row r="188">
      <x:c r="A188" s="51" t="n">
        <x:v>43647</x:v>
      </x:c>
      <x:c r="B188" s="49" t="n">
        <x:v>10952285.862</x:v>
      </x:c>
      <x:c r="C188" s="49" t="n">
        <x:f>B188/1000</x:f>
        <x:v>10952.285862</x:v>
      </x:c>
      <x:c r="D188" s="52" t="n">
        <x:v>72864533</x:v>
      </x:c>
      <x:c r="E188" s="52" t="n">
        <x:v>11</x:v>
      </x:c>
      <x:c r="F188" s="52" t="n">
        <x:v>5</x:v>
      </x:c>
      <x:c r="G188" s="52" t="n">
        <x:v>2</x:v>
      </x:c>
      <x:c r="H188" s="52" t="n">
        <x:v>0</x:v>
      </x:c>
      <x:c r="I188" s="53" t="str">
        <x:f>IF(OR(F188&lt;&gt;5,H188&gt;0),"REVISAR","OK")</x:f>
        <x:v>OK</x:v>
      </x:c>
    </x:row>
    <x:row r="189">
      <x:c r="A189" s="51" t="n">
        <x:v>43678</x:v>
      </x:c>
      <x:c r="B189" s="49" t="n">
        <x:v>10987003.781</x:v>
      </x:c>
      <x:c r="C189" s="49" t="n">
        <x:f>B189/1000</x:f>
        <x:v>10987.003781</x:v>
      </x:c>
      <x:c r="D189" s="52" t="n">
        <x:v>73032011</x:v>
      </x:c>
      <x:c r="E189" s="52" t="n">
        <x:v>12</x:v>
      </x:c>
      <x:c r="F189" s="52" t="n">
        <x:v>5</x:v>
      </x:c>
      <x:c r="G189" s="52" t="n">
        <x:v>2</x:v>
      </x:c>
      <x:c r="H189" s="52" t="n">
        <x:v>0</x:v>
      </x:c>
      <x:c r="I189" s="53" t="str">
        <x:f>IF(OR(F189&lt;&gt;5,H189&gt;0),"REVISAR","OK")</x:f>
        <x:v>OK</x:v>
      </x:c>
    </x:row>
    <x:row r="190">
      <x:c r="A190" s="51" t="n">
        <x:v>43709</x:v>
      </x:c>
      <x:c r="B190" s="49" t="n">
        <x:v>11379178.896</x:v>
      </x:c>
      <x:c r="C190" s="49" t="n">
        <x:f>B190/1000</x:f>
        <x:v>11379.178896</x:v>
      </x:c>
      <x:c r="D190" s="52" t="n">
        <x:v>73078076</x:v>
      </x:c>
      <x:c r="E190" s="52" t="n">
        <x:v>11</x:v>
      </x:c>
      <x:c r="F190" s="52" t="n">
        <x:v>5</x:v>
      </x:c>
      <x:c r="G190" s="52" t="n">
        <x:v>2</x:v>
      </x:c>
      <x:c r="H190" s="52" t="n">
        <x:v>0</x:v>
      </x:c>
      <x:c r="I190" s="53" t="str">
        <x:f>IF(OR(F190&lt;&gt;5,H190&gt;0),"REVISAR","OK")</x:f>
        <x:v>OK</x:v>
      </x:c>
    </x:row>
    <x:row r="191">
      <x:c r="A191" s="51" t="n">
        <x:v>43739</x:v>
      </x:c>
      <x:c r="B191" s="49" t="n">
        <x:v>11973113.809</x:v>
      </x:c>
      <x:c r="C191" s="49" t="n">
        <x:f>B191/1000</x:f>
        <x:v>11973.113809</x:v>
      </x:c>
      <x:c r="D191" s="52" t="n">
        <x:v>73258191</x:v>
      </x:c>
      <x:c r="E191" s="52" t="n">
        <x:v>11</x:v>
      </x:c>
      <x:c r="F191" s="52" t="n">
        <x:v>5</x:v>
      </x:c>
      <x:c r="G191" s="52" t="n">
        <x:v>2</x:v>
      </x:c>
      <x:c r="H191" s="52" t="n">
        <x:v>0</x:v>
      </x:c>
      <x:c r="I191" s="53" t="str">
        <x:f>IF(OR(F191&lt;&gt;5,H191&gt;0),"REVISAR","OK")</x:f>
        <x:v>OK</x:v>
      </x:c>
    </x:row>
    <x:row r="192">
      <x:c r="A192" s="51" t="n">
        <x:v>43770</x:v>
      </x:c>
      <x:c r="B192" s="49" t="n">
        <x:v>12423677.906</x:v>
      </x:c>
      <x:c r="C192" s="49" t="n">
        <x:f>B192/1000</x:f>
        <x:v>12423.677905999999</x:v>
      </x:c>
      <x:c r="D192" s="52" t="n">
        <x:v>73274313</x:v>
      </x:c>
      <x:c r="E192" s="52" t="n">
        <x:v>11</x:v>
      </x:c>
      <x:c r="F192" s="52" t="n">
        <x:v>5</x:v>
      </x:c>
      <x:c r="G192" s="52" t="n">
        <x:v>2</x:v>
      </x:c>
      <x:c r="H192" s="52" t="n">
        <x:v>0</x:v>
      </x:c>
      <x:c r="I192" s="53" t="str">
        <x:f>IF(OR(F192&lt;&gt;5,H192&gt;0),"REVISAR","OK")</x:f>
        <x:v>OK</x:v>
      </x:c>
    </x:row>
    <x:row r="193">
      <x:c r="A193" s="51" t="n">
        <x:v>43800</x:v>
      </x:c>
      <x:c r="B193" s="49" t="n">
        <x:v>12200705.802000001</x:v>
      </x:c>
      <x:c r="C193" s="49" t="n">
        <x:f>B193/1000</x:f>
        <x:v>12200.705802</x:v>
      </x:c>
      <x:c r="D193" s="52" t="n">
        <x:v>73332638</x:v>
      </x:c>
      <x:c r="E193" s="52" t="n">
        <x:v>11</x:v>
      </x:c>
      <x:c r="F193" s="52" t="n">
        <x:v>5</x:v>
      </x:c>
      <x:c r="G193" s="52" t="n">
        <x:v>2</x:v>
      </x:c>
      <x:c r="H193" s="52" t="n">
        <x:v>0</x:v>
      </x:c>
      <x:c r="I193" s="53" t="str">
        <x:f>IF(OR(F193&lt;&gt;5,H193&gt;0),"REVISAR","OK")</x:f>
        <x:v>OK</x:v>
      </x:c>
    </x:row>
    <x:row r="194">
      <x:c r="A194" s="51" t="n">
        <x:v>43831</x:v>
      </x:c>
      <x:c r="B194" s="49" t="n">
        <x:v>12884325.396</x:v>
      </x:c>
      <x:c r="C194" s="49" t="n">
        <x:f>B194/1000</x:f>
        <x:v>12884.325396</x:v>
      </x:c>
      <x:c r="D194" s="52" t="n">
        <x:v>73075632</x:v>
      </x:c>
      <x:c r="E194" s="52" t="n">
        <x:v>11</x:v>
      </x:c>
      <x:c r="F194" s="52" t="n">
        <x:v>5</x:v>
      </x:c>
      <x:c r="G194" s="52" t="n">
        <x:v>2</x:v>
      </x:c>
      <x:c r="H194" s="52" t="n">
        <x:v>0</x:v>
      </x:c>
      <x:c r="I194" s="53" t="str">
        <x:f>IF(OR(F194&lt;&gt;5,H194&gt;0),"REVISAR","OK")</x:f>
        <x:v>OK</x:v>
      </x:c>
    </x:row>
    <x:row r="195">
      <x:c r="A195" s="51" t="n">
        <x:v>43862</x:v>
      </x:c>
      <x:c r="B195" s="49" t="n">
        <x:v>12357799.566</x:v>
      </x:c>
      <x:c r="C195" s="49" t="n">
        <x:f>B195/1000</x:f>
        <x:v>12357.799566</x:v>
      </x:c>
      <x:c r="D195" s="52" t="n">
        <x:v>73118687</x:v>
      </x:c>
      <x:c r="E195" s="52" t="n">
        <x:v>11</x:v>
      </x:c>
      <x:c r="F195" s="52" t="n">
        <x:v>5</x:v>
      </x:c>
      <x:c r="G195" s="52" t="n">
        <x:v>2</x:v>
      </x:c>
      <x:c r="H195" s="52" t="n">
        <x:v>0</x:v>
      </x:c>
      <x:c r="I195" s="53" t="str">
        <x:f>IF(OR(F195&lt;&gt;5,H195&gt;0),"REVISAR","OK")</x:f>
        <x:v>OK</x:v>
      </x:c>
    </x:row>
    <x:row r="196">
      <x:c r="A196" s="51" t="n">
        <x:v>43891</x:v>
      </x:c>
      <x:c r="B196" s="49" t="n">
        <x:v>12396871.083</x:v>
      </x:c>
      <x:c r="C196" s="49" t="n">
        <x:f>B196/1000</x:f>
        <x:v>12396.871083</x:v>
      </x:c>
      <x:c r="D196" s="52" t="n">
        <x:v>73306578</x:v>
      </x:c>
      <x:c r="E196" s="52" t="n">
        <x:v>11</x:v>
      </x:c>
      <x:c r="F196" s="52" t="n">
        <x:v>5</x:v>
      </x:c>
      <x:c r="G196" s="52" t="n">
        <x:v>2</x:v>
      </x:c>
      <x:c r="H196" s="52" t="n">
        <x:v>0</x:v>
      </x:c>
      <x:c r="I196" s="53" t="str">
        <x:f>IF(OR(F196&lt;&gt;5,H196&gt;0),"REVISAR","OK")</x:f>
        <x:v>OK</x:v>
      </x:c>
    </x:row>
    <x:row r="197">
      <x:c r="A197" s="51" t="n">
        <x:v>43922</x:v>
      </x:c>
      <x:c r="B197" s="49" t="n">
        <x:v>12277405.57</x:v>
      </x:c>
      <x:c r="C197" s="49" t="n">
        <x:f>B197/1000</x:f>
        <x:v>12277.40557</x:v>
      </x:c>
      <x:c r="D197" s="52" t="n">
        <x:v>73261185</x:v>
      </x:c>
      <x:c r="E197" s="52" t="n">
        <x:v>11</x:v>
      </x:c>
      <x:c r="F197" s="52" t="n">
        <x:v>5</x:v>
      </x:c>
      <x:c r="G197" s="52" t="n">
        <x:v>2</x:v>
      </x:c>
      <x:c r="H197" s="52" t="n">
        <x:v>0</x:v>
      </x:c>
      <x:c r="I197" s="53" t="str">
        <x:f>IF(OR(F197&lt;&gt;5,H197&gt;0),"REVISAR","OK")</x:f>
        <x:v>OK</x:v>
      </x:c>
    </x:row>
    <x:row r="198">
      <x:c r="A198" s="51" t="n">
        <x:v>43952</x:v>
      </x:c>
      <x:c r="B198" s="49" t="n">
        <x:v>11712657.106999999</x:v>
      </x:c>
      <x:c r="C198" s="49" t="n">
        <x:f>B198/1000</x:f>
        <x:v>11712.657106999999</x:v>
      </x:c>
      <x:c r="D198" s="52" t="n">
        <x:v>72906396</x:v>
      </x:c>
      <x:c r="E198" s="52" t="n">
        <x:v>11</x:v>
      </x:c>
      <x:c r="F198" s="52" t="n">
        <x:v>5</x:v>
      </x:c>
      <x:c r="G198" s="52" t="n">
        <x:v>2</x:v>
      </x:c>
      <x:c r="H198" s="52" t="n">
        <x:v>0</x:v>
      </x:c>
      <x:c r="I198" s="53" t="str">
        <x:f>IF(OR(F198&lt;&gt;5,H198&gt;0),"REVISAR","OK")</x:f>
        <x:v>OK</x:v>
      </x:c>
    </x:row>
    <x:row r="199">
      <x:c r="A199" s="51" t="n">
        <x:v>43983</x:v>
      </x:c>
      <x:c r="B199" s="49" t="n">
        <x:v>11353431.997</x:v>
      </x:c>
      <x:c r="C199" s="49" t="n">
        <x:f>B199/1000</x:f>
        <x:v>11353.431997</x:v>
      </x:c>
      <x:c r="D199" s="52" t="n">
        <x:v>73315809</x:v>
      </x:c>
      <x:c r="E199" s="52" t="n">
        <x:v>11</x:v>
      </x:c>
      <x:c r="F199" s="52" t="n">
        <x:v>5</x:v>
      </x:c>
      <x:c r="G199" s="52" t="n">
        <x:v>2</x:v>
      </x:c>
      <x:c r="H199" s="52" t="n">
        <x:v>0</x:v>
      </x:c>
      <x:c r="I199" s="53" t="str">
        <x:f>IF(OR(F199&lt;&gt;5,H199&gt;0),"REVISAR","OK")</x:f>
        <x:v>OK</x:v>
      </x:c>
    </x:row>
    <x:row r="200">
      <x:c r="A200" s="51" t="n">
        <x:v>44013</x:v>
      </x:c>
      <x:c r="B200" s="49" t="n">
        <x:v>11659081.048000002</x:v>
      </x:c>
      <x:c r="C200" s="49" t="n">
        <x:f>B200/1000</x:f>
        <x:v>11659.081048000002</x:v>
      </x:c>
      <x:c r="D200" s="52" t="n">
        <x:v>73572146</x:v>
      </x:c>
      <x:c r="E200" s="52" t="n">
        <x:v>11</x:v>
      </x:c>
      <x:c r="F200" s="52" t="n">
        <x:v>5</x:v>
      </x:c>
      <x:c r="G200" s="52" t="n">
        <x:v>2</x:v>
      </x:c>
      <x:c r="H200" s="52" t="n">
        <x:v>0</x:v>
      </x:c>
      <x:c r="I200" s="53" t="str">
        <x:f>IF(OR(F200&lt;&gt;5,H200&gt;0),"REVISAR","OK")</x:f>
        <x:v>OK</x:v>
      </x:c>
    </x:row>
    <x:row r="201">
      <x:c r="A201" s="51" t="n">
        <x:v>44044</x:v>
      </x:c>
      <x:c r="B201" s="49" t="n">
        <x:v>11803091.200999998</x:v>
      </x:c>
      <x:c r="C201" s="49" t="n">
        <x:f>B201/1000</x:f>
        <x:v>11803.091200999997</x:v>
      </x:c>
      <x:c r="D201" s="52" t="n">
        <x:v>73975035</x:v>
      </x:c>
      <x:c r="E201" s="52" t="n">
        <x:v>11</x:v>
      </x:c>
      <x:c r="F201" s="52" t="n">
        <x:v>5</x:v>
      </x:c>
      <x:c r="G201" s="52" t="n">
        <x:v>2</x:v>
      </x:c>
      <x:c r="H201" s="52" t="n">
        <x:v>0</x:v>
      </x:c>
      <x:c r="I201" s="53" t="str">
        <x:f>IF(OR(F201&lt;&gt;5,H201&gt;0),"REVISAR","OK")</x:f>
        <x:v>OK</x:v>
      </x:c>
    </x:row>
    <x:row r="202">
      <x:c r="A202" s="51" t="n">
        <x:v>44075</x:v>
      </x:c>
      <x:c r="B202" s="49" t="n">
        <x:v>12201007.901999999</x:v>
      </x:c>
      <x:c r="C202" s="49" t="n">
        <x:f>B202/1000</x:f>
        <x:v>12201.007902</x:v>
      </x:c>
      <x:c r="D202" s="52" t="n">
        <x:v>74075123</x:v>
      </x:c>
      <x:c r="E202" s="52" t="n">
        <x:v>11</x:v>
      </x:c>
      <x:c r="F202" s="52" t="n">
        <x:v>5</x:v>
      </x:c>
      <x:c r="G202" s="52" t="n">
        <x:v>2</x:v>
      </x:c>
      <x:c r="H202" s="52" t="n">
        <x:v>0</x:v>
      </x:c>
      <x:c r="I202" s="53" t="str">
        <x:f>IF(OR(F202&lt;&gt;5,H202&gt;0),"REVISAR","OK")</x:f>
        <x:v>OK</x:v>
      </x:c>
    </x:row>
    <x:row r="203">
      <x:c r="A203" s="51" t="n">
        <x:v>44105</x:v>
      </x:c>
      <x:c r="B203" s="49" t="n">
        <x:v>13049202.699000001</x:v>
      </x:c>
      <x:c r="C203" s="49" t="n">
        <x:f>B203/1000</x:f>
        <x:v>13049.202699000001</x:v>
      </x:c>
      <x:c r="D203" s="52" t="n">
        <x:v>74237419</x:v>
      </x:c>
      <x:c r="E203" s="52" t="n">
        <x:v>11</x:v>
      </x:c>
      <x:c r="F203" s="52" t="n">
        <x:v>5</x:v>
      </x:c>
      <x:c r="G203" s="52" t="n">
        <x:v>2</x:v>
      </x:c>
      <x:c r="H203" s="52" t="n">
        <x:v>0</x:v>
      </x:c>
      <x:c r="I203" s="53" t="str">
        <x:f>IF(OR(F203&lt;&gt;5,H203&gt;0),"REVISAR","OK")</x:f>
        <x:v>OK</x:v>
      </x:c>
    </x:row>
    <x:row r="204">
      <x:c r="A204" s="51" t="n">
        <x:v>44136</x:v>
      </x:c>
      <x:c r="B204" s="49" t="n">
        <x:v>12739203.534</x:v>
      </x:c>
      <x:c r="C204" s="49" t="n">
        <x:f>B204/1000</x:f>
        <x:v>12739.203534</x:v>
      </x:c>
      <x:c r="D204" s="52" t="n">
        <x:v>74319187</x:v>
      </x:c>
      <x:c r="E204" s="52" t="n">
        <x:v>11</x:v>
      </x:c>
      <x:c r="F204" s="52" t="n">
        <x:v>5</x:v>
      </x:c>
      <x:c r="G204" s="52" t="n">
        <x:v>2</x:v>
      </x:c>
      <x:c r="H204" s="52" t="n">
        <x:v>0</x:v>
      </x:c>
      <x:c r="I204" s="53" t="str">
        <x:f>IF(OR(F204&lt;&gt;5,H204&gt;0),"REVISAR","OK")</x:f>
        <x:v>OK</x:v>
      </x:c>
    </x:row>
    <x:row r="205">
      <x:c r="A205" s="51" t="n">
        <x:v>44166</x:v>
      </x:c>
      <x:c r="B205" s="49" t="n">
        <x:v>13276509.775999999</x:v>
      </x:c>
      <x:c r="C205" s="49" t="n">
        <x:f>B205/1000</x:f>
        <x:v>13276.509775999999</x:v>
      </x:c>
      <x:c r="D205" s="52" t="n">
        <x:v>74549607</x:v>
      </x:c>
      <x:c r="E205" s="52" t="n">
        <x:v>11</x:v>
      </x:c>
      <x:c r="F205" s="52" t="n">
        <x:v>5</x:v>
      </x:c>
      <x:c r="G205" s="52" t="n">
        <x:v>2</x:v>
      </x:c>
      <x:c r="H205" s="52" t="n">
        <x:v>0</x:v>
      </x:c>
      <x:c r="I205" s="53" t="str">
        <x:f>IF(OR(F205&lt;&gt;5,H205&gt;0),"REVISAR","OK")</x:f>
        <x:v>OK</x:v>
      </x:c>
    </x:row>
    <x:row r="206">
      <x:c r="A206" s="51" t="n">
        <x:v>44197</x:v>
      </x:c>
      <x:c r="B206" s="49" t="n">
        <x:v>13606006.824000001</x:v>
      </x:c>
      <x:c r="C206" s="49" t="n">
        <x:f>B206/1000</x:f>
        <x:v>13606.006824</x:v>
      </x:c>
      <x:c r="D206" s="52" t="n">
        <x:v>74739357</x:v>
      </x:c>
      <x:c r="E206" s="52" t="n">
        <x:v>11</x:v>
      </x:c>
      <x:c r="F206" s="52" t="n">
        <x:v>5</x:v>
      </x:c>
      <x:c r="G206" s="52" t="n">
        <x:v>2</x:v>
      </x:c>
      <x:c r="H206" s="52" t="n">
        <x:v>0</x:v>
      </x:c>
      <x:c r="I206" s="53" t="str">
        <x:f>IF(OR(F206&lt;&gt;5,H206&gt;0),"REVISAR","OK")</x:f>
        <x:v>OK</x:v>
      </x:c>
    </x:row>
    <x:row r="207">
      <x:c r="A207" s="51" t="n">
        <x:v>44228</x:v>
      </x:c>
      <x:c r="B207" s="49" t="n">
        <x:v>12832459.282</x:v>
      </x:c>
      <x:c r="C207" s="49" t="n">
        <x:f>B207/1000</x:f>
        <x:v>12832.459282</x:v>
      </x:c>
      <x:c r="D207" s="52" t="n">
        <x:v>74727668</x:v>
      </x:c>
      <x:c r="E207" s="52" t="n">
        <x:v>11</x:v>
      </x:c>
      <x:c r="F207" s="52" t="n">
        <x:v>5</x:v>
      </x:c>
      <x:c r="G207" s="52" t="n">
        <x:v>2</x:v>
      </x:c>
      <x:c r="H207" s="52" t="n">
        <x:v>0</x:v>
      </x:c>
      <x:c r="I207" s="53" t="str">
        <x:f>IF(OR(F207&lt;&gt;5,H207&gt;0),"REVISAR","OK")</x:f>
        <x:v>OK</x:v>
      </x:c>
    </x:row>
    <x:row r="208">
      <x:c r="A208" s="51" t="n">
        <x:v>44256</x:v>
      </x:c>
      <x:c r="B208" s="49" t="n">
        <x:v>13217543.223</x:v>
      </x:c>
      <x:c r="C208" s="49" t="n">
        <x:f>B208/1000</x:f>
        <x:v>13217.543222999999</x:v>
      </x:c>
      <x:c r="D208" s="52" t="n">
        <x:v>74951211</x:v>
      </x:c>
      <x:c r="E208" s="52" t="n">
        <x:v>11</x:v>
      </x:c>
      <x:c r="F208" s="52" t="n">
        <x:v>5</x:v>
      </x:c>
      <x:c r="G208" s="52" t="n">
        <x:v>2</x:v>
      </x:c>
      <x:c r="H208" s="52" t="n">
        <x:v>0</x:v>
      </x:c>
      <x:c r="I208" s="53" t="str">
        <x:f>IF(OR(F208&lt;&gt;5,H208&gt;0),"REVISAR","OK")</x:f>
        <x:v>OK</x:v>
      </x:c>
    </x:row>
    <x:row r="209">
      <x:c r="A209" s="51" t="n">
        <x:v>44287</x:v>
      </x:c>
      <x:c r="B209" s="49" t="n">
        <x:v>13319884.173</x:v>
      </x:c>
      <x:c r="C209" s="49" t="n">
        <x:f>B209/1000</x:f>
        <x:v>13319.884173</x:v>
      </x:c>
      <x:c r="D209" s="52" t="n">
        <x:v>74934129</x:v>
      </x:c>
      <x:c r="E209" s="52" t="n">
        <x:v>11</x:v>
      </x:c>
      <x:c r="F209" s="52" t="n">
        <x:v>5</x:v>
      </x:c>
      <x:c r="G209" s="52" t="n">
        <x:v>2</x:v>
      </x:c>
      <x:c r="H209" s="52" t="n">
        <x:v>0</x:v>
      </x:c>
      <x:c r="I209" s="53" t="str">
        <x:f>IF(OR(F209&lt;&gt;5,H209&gt;0),"REVISAR","OK")</x:f>
        <x:v>OK</x:v>
      </x:c>
    </x:row>
    <x:row r="210">
      <x:c r="A210" s="51" t="n">
        <x:v>44317</x:v>
      </x:c>
      <x:c r="B210" s="49" t="n">
        <x:v>11941886.391</x:v>
      </x:c>
      <x:c r="C210" s="49" t="n">
        <x:f>B210/1000</x:f>
        <x:v>11941.886391</x:v>
      </x:c>
      <x:c r="D210" s="52" t="n">
        <x:v>75028315</x:v>
      </x:c>
      <x:c r="E210" s="52" t="n">
        <x:v>11</x:v>
      </x:c>
      <x:c r="F210" s="52" t="n">
        <x:v>5</x:v>
      </x:c>
      <x:c r="G210" s="52" t="n">
        <x:v>2</x:v>
      </x:c>
      <x:c r="H210" s="52" t="n">
        <x:v>0</x:v>
      </x:c>
      <x:c r="I210" s="53" t="str">
        <x:f>IF(OR(F210&lt;&gt;5,H210&gt;0),"REVISAR","OK")</x:f>
        <x:v>OK</x:v>
      </x:c>
    </x:row>
    <x:row r="211">
      <x:c r="A211" s="51" t="n">
        <x:v>44348</x:v>
      </x:c>
      <x:c r="B211" s="49" t="n">
        <x:v>11969270.821999999</x:v>
      </x:c>
      <x:c r="C211" s="49" t="n">
        <x:f>B211/1000</x:f>
        <x:v>11969.270821999999</x:v>
      </x:c>
      <x:c r="D211" s="52" t="n">
        <x:v>75290125</x:v>
      </x:c>
      <x:c r="E211" s="52" t="n">
        <x:v>11</x:v>
      </x:c>
      <x:c r="F211" s="52" t="n">
        <x:v>5</x:v>
      </x:c>
      <x:c r="G211" s="52" t="n">
        <x:v>2</x:v>
      </x:c>
      <x:c r="H211" s="52" t="n">
        <x:v>0</x:v>
      </x:c>
      <x:c r="I211" s="53" t="str">
        <x:f>IF(OR(F211&lt;&gt;5,H211&gt;0),"REVISAR","OK")</x:f>
        <x:v>OK</x:v>
      </x:c>
    </x:row>
    <x:row r="212">
      <x:c r="A212" s="51" t="n">
        <x:v>44378</x:v>
      </x:c>
      <x:c r="B212" s="49" t="n">
        <x:v>11666597.006000001</x:v>
      </x:c>
      <x:c r="C212" s="49" t="n">
        <x:f>B212/1000</x:f>
        <x:v>11666.597006000002</x:v>
      </x:c>
      <x:c r="D212" s="52" t="n">
        <x:v>75482332</x:v>
      </x:c>
      <x:c r="E212" s="52" t="n">
        <x:v>11</x:v>
      </x:c>
      <x:c r="F212" s="52" t="n">
        <x:v>5</x:v>
      </x:c>
      <x:c r="G212" s="52" t="n">
        <x:v>2</x:v>
      </x:c>
      <x:c r="H212" s="52" t="n">
        <x:v>0</x:v>
      </x:c>
      <x:c r="I212" s="53" t="str">
        <x:f>IF(OR(F212&lt;&gt;5,H212&gt;0),"REVISAR","OK")</x:f>
        <x:v>OK</x:v>
      </x:c>
    </x:row>
    <x:row r="213">
      <x:c r="A213" s="51" t="n">
        <x:v>44409</x:v>
      </x:c>
      <x:c r="B213" s="49" t="n">
        <x:v>11796519.533</x:v>
      </x:c>
      <x:c r="C213" s="49" t="n">
        <x:f>B213/1000</x:f>
        <x:v>11796.519533</x:v>
      </x:c>
      <x:c r="D213" s="52" t="n">
        <x:v>75663279</x:v>
      </x:c>
      <x:c r="E213" s="52" t="n">
        <x:v>11</x:v>
      </x:c>
      <x:c r="F213" s="52" t="n">
        <x:v>5</x:v>
      </x:c>
      <x:c r="G213" s="52" t="n">
        <x:v>2</x:v>
      </x:c>
      <x:c r="H213" s="52" t="n">
        <x:v>0</x:v>
      </x:c>
      <x:c r="I213" s="53" t="str">
        <x:f>IF(OR(F213&lt;&gt;5,H213&gt;0),"REVISAR","OK")</x:f>
        <x:v>OK</x:v>
      </x:c>
    </x:row>
    <x:row r="214">
      <x:c r="A214" s="51" t="n">
        <x:v>44440</x:v>
      </x:c>
      <x:c r="B214" s="49" t="n">
        <x:v>12559779.586000001</x:v>
      </x:c>
      <x:c r="C214" s="49" t="n">
        <x:f>B214/1000</x:f>
        <x:v>12559.779586</x:v>
      </x:c>
      <x:c r="D214" s="52" t="n">
        <x:v>75769017</x:v>
      </x:c>
      <x:c r="E214" s="52" t="n">
        <x:v>11</x:v>
      </x:c>
      <x:c r="F214" s="52" t="n">
        <x:v>5</x:v>
      </x:c>
      <x:c r="G214" s="52" t="n">
        <x:v>2</x:v>
      </x:c>
      <x:c r="H214" s="52" t="n">
        <x:v>0</x:v>
      </x:c>
      <x:c r="I214" s="53" t="str">
        <x:f>IF(OR(F214&lt;&gt;5,H214&gt;0),"REVISAR","OK")</x:f>
        <x:v>OK</x:v>
      </x:c>
    </x:row>
    <x:row r="215">
      <x:c r="A215" s="51" t="n">
        <x:v>44470</x:v>
      </x:c>
      <x:c r="B215" s="49" t="n">
        <x:v>12498884.871</x:v>
      </x:c>
      <x:c r="C215" s="49" t="n">
        <x:f>B215/1000</x:f>
        <x:v>12498.884871</x:v>
      </x:c>
      <x:c r="D215" s="52" t="n">
        <x:v>75935896</x:v>
      </x:c>
      <x:c r="E215" s="52" t="n">
        <x:v>11</x:v>
      </x:c>
      <x:c r="F215" s="52" t="n">
        <x:v>5</x:v>
      </x:c>
      <x:c r="G215" s="52" t="n">
        <x:v>2</x:v>
      </x:c>
      <x:c r="H215" s="52" t="n">
        <x:v>0</x:v>
      </x:c>
      <x:c r="I215" s="53" t="str">
        <x:f>IF(OR(F215&lt;&gt;5,H215&gt;0),"REVISAR","OK")</x:f>
        <x:v>OK</x:v>
      </x:c>
    </x:row>
    <x:row r="216">
      <x:c r="A216" s="51" t="n">
        <x:v>44501</x:v>
      </x:c>
      <x:c r="B216" s="49" t="n">
        <x:v>12345696.182</x:v>
      </x:c>
      <x:c r="C216" s="49" t="n">
        <x:f>B216/1000</x:f>
        <x:v>12345.696182</x:v>
      </x:c>
      <x:c r="D216" s="52" t="n">
        <x:v>75966055</x:v>
      </x:c>
      <x:c r="E216" s="52" t="n">
        <x:v>11</x:v>
      </x:c>
      <x:c r="F216" s="52" t="n">
        <x:v>5</x:v>
      </x:c>
      <x:c r="G216" s="52" t="n">
        <x:v>2</x:v>
      </x:c>
      <x:c r="H216" s="52" t="n">
        <x:v>0</x:v>
      </x:c>
      <x:c r="I216" s="53" t="str">
        <x:f>IF(OR(F216&lt;&gt;5,H216&gt;0),"REVISAR","OK")</x:f>
        <x:v>OK</x:v>
      </x:c>
    </x:row>
    <x:row r="217">
      <x:c r="A217" s="51" t="n">
        <x:v>44531</x:v>
      </x:c>
      <x:c r="B217" s="49" t="n">
        <x:v>13080589.412999999</x:v>
      </x:c>
      <x:c r="C217" s="49" t="n">
        <x:f>B217/1000</x:f>
        <x:v>13080.589412999998</x:v>
      </x:c>
      <x:c r="D217" s="52" t="n">
        <x:v>76074953</x:v>
      </x:c>
      <x:c r="E217" s="52" t="n">
        <x:v>11</x:v>
      </x:c>
      <x:c r="F217" s="52" t="n">
        <x:v>5</x:v>
      </x:c>
      <x:c r="G217" s="52" t="n">
        <x:v>2</x:v>
      </x:c>
      <x:c r="H217" s="52" t="n">
        <x:v>0</x:v>
      </x:c>
      <x:c r="I217" s="53" t="str">
        <x:f>IF(OR(F217&lt;&gt;5,H217&gt;0),"REVISAR","OK")</x:f>
        <x:v>OK</x:v>
      </x:c>
    </x:row>
    <x:row r="218">
      <x:c r="A218" s="51" t="n">
        <x:v>44562</x:v>
      </x:c>
      <x:c r="B218" s="49" t="n">
        <x:v>13014305.901</x:v>
      </x:c>
      <x:c r="C218" s="49" t="n">
        <x:f>B218/1000</x:f>
        <x:v>13014.305901</x:v>
      </x:c>
      <x:c r="D218" s="52" t="n">
        <x:v>76658354</x:v>
      </x:c>
      <x:c r="E218" s="52" t="n">
        <x:v>11</x:v>
      </x:c>
      <x:c r="F218" s="52" t="n">
        <x:v>5</x:v>
      </x:c>
      <x:c r="G218" s="52" t="n">
        <x:v>2</x:v>
      </x:c>
      <x:c r="H218" s="52" t="n">
        <x:v>0</x:v>
      </x:c>
      <x:c r="I218" s="53" t="str">
        <x:f>IF(OR(F218&lt;&gt;5,H218&gt;0),"REVISAR","OK")</x:f>
        <x:v>OK</x:v>
      </x:c>
    </x:row>
    <x:row r="219">
      <x:c r="A219" s="51" t="n">
        <x:v>44593</x:v>
      </x:c>
      <x:c r="B219" s="49" t="n">
        <x:v>12888091.663</x:v>
      </x:c>
      <x:c r="C219" s="49" t="n">
        <x:f>B219/1000</x:f>
        <x:v>12888.091663000001</x:v>
      </x:c>
      <x:c r="D219" s="52" t="n">
        <x:v>76844334</x:v>
      </x:c>
      <x:c r="E219" s="52" t="n">
        <x:v>11</x:v>
      </x:c>
      <x:c r="F219" s="52" t="n">
        <x:v>5</x:v>
      </x:c>
      <x:c r="G219" s="52" t="n">
        <x:v>2</x:v>
      </x:c>
      <x:c r="H219" s="52" t="n">
        <x:v>0</x:v>
      </x:c>
      <x:c r="I219" s="53" t="str">
        <x:f>IF(OR(F219&lt;&gt;5,H219&gt;0),"REVISAR","OK")</x:f>
        <x:v>OK</x:v>
      </x:c>
    </x:row>
    <x:row r="220">
      <x:c r="A220" s="51" t="n">
        <x:v>44621</x:v>
      </x:c>
      <x:c r="B220" s="49" t="n">
        <x:v>13878907.116999999</x:v>
      </x:c>
      <x:c r="C220" s="49" t="n">
        <x:f>B220/1000</x:f>
        <x:v>13878.907116999999</x:v>
      </x:c>
      <x:c r="D220" s="52" t="n">
        <x:v>77109507</x:v>
      </x:c>
      <x:c r="E220" s="52" t="n">
        <x:v>11</x:v>
      </x:c>
      <x:c r="F220" s="52" t="n">
        <x:v>5</x:v>
      </x:c>
      <x:c r="G220" s="52" t="n">
        <x:v>2</x:v>
      </x:c>
      <x:c r="H220" s="52" t="n">
        <x:v>0</x:v>
      </x:c>
      <x:c r="I220" s="53" t="str">
        <x:f>IF(OR(F220&lt;&gt;5,H220&gt;0),"REVISAR","OK")</x:f>
        <x:v>OK</x:v>
      </x:c>
    </x:row>
    <x:row r="221">
      <x:c r="A221" s="51" t="n">
        <x:v>44652</x:v>
      </x:c>
      <x:c r="B221" s="49" t="n">
        <x:v>12826899.000999998</x:v>
      </x:c>
      <x:c r="C221" s="49" t="n">
        <x:f>B221/1000</x:f>
        <x:v>12826.899000999998</x:v>
      </x:c>
      <x:c r="D221" s="52" t="n">
        <x:v>77315963</x:v>
      </x:c>
      <x:c r="E221" s="52" t="n">
        <x:v>11</x:v>
      </x:c>
      <x:c r="F221" s="52" t="n">
        <x:v>5</x:v>
      </x:c>
      <x:c r="G221" s="52" t="n">
        <x:v>2</x:v>
      </x:c>
      <x:c r="H221" s="52" t="n">
        <x:v>0</x:v>
      </x:c>
      <x:c r="I221" s="53" t="str">
        <x:f>IF(OR(F221&lt;&gt;5,H221&gt;0),"REVISAR","OK")</x:f>
        <x:v>OK</x:v>
      </x:c>
    </x:row>
    <x:row r="222">
      <x:c r="A222" s="51" t="n">
        <x:v>44682</x:v>
      </x:c>
      <x:c r="B222" s="49" t="n">
        <x:v>12233221.322</x:v>
      </x:c>
      <x:c r="C222" s="49" t="n">
        <x:f>B222/1000</x:f>
        <x:v>12233.221322000001</x:v>
      </x:c>
      <x:c r="D222" s="52" t="n">
        <x:v>77641361</x:v>
      </x:c>
      <x:c r="E222" s="52" t="n">
        <x:v>11</x:v>
      </x:c>
      <x:c r="F222" s="52" t="n">
        <x:v>5</x:v>
      </x:c>
      <x:c r="G222" s="52" t="n">
        <x:v>2</x:v>
      </x:c>
      <x:c r="H222" s="52" t="n">
        <x:v>0</x:v>
      </x:c>
      <x:c r="I222" s="53" t="str">
        <x:f>IF(OR(F222&lt;&gt;5,H222&gt;0),"REVISAR","OK")</x:f>
        <x:v>OK</x:v>
      </x:c>
    </x:row>
    <x:row r="223">
      <x:c r="A223" s="51" t="n">
        <x:v>44713</x:v>
      </x:c>
      <x:c r="B223" s="49" t="n">
        <x:v>11878207.979</x:v>
      </x:c>
      <x:c r="C223" s="49" t="n">
        <x:f>B223/1000</x:f>
        <x:v>11878.207979</x:v>
      </x:c>
      <x:c r="D223" s="52" t="n">
        <x:v>77749434</x:v>
      </x:c>
      <x:c r="E223" s="52" t="n">
        <x:v>11</x:v>
      </x:c>
      <x:c r="F223" s="52" t="n">
        <x:v>5</x:v>
      </x:c>
      <x:c r="G223" s="52" t="n">
        <x:v>2</x:v>
      </x:c>
      <x:c r="H223" s="52" t="n">
        <x:v>0</x:v>
      </x:c>
      <x:c r="I223" s="53" t="str">
        <x:f>IF(OR(F223&lt;&gt;5,H223&gt;0),"REVISAR","OK")</x:f>
        <x:v>OK</x:v>
      </x:c>
    </x:row>
    <x:row r="224">
      <x:c r="A224" s="51" t="n">
        <x:v>44743</x:v>
      </x:c>
      <x:c r="B224" s="49" t="n">
        <x:v>11931187.972</x:v>
      </x:c>
      <x:c r="C224" s="49" t="n">
        <x:f>B224/1000</x:f>
        <x:v>11931.187972</x:v>
      </x:c>
      <x:c r="D224" s="52" t="n">
        <x:v>77957892</x:v>
      </x:c>
      <x:c r="E224" s="52" t="n">
        <x:v>11</x:v>
      </x:c>
      <x:c r="F224" s="52" t="n">
        <x:v>5</x:v>
      </x:c>
      <x:c r="G224" s="52" t="n">
        <x:v>2</x:v>
      </x:c>
      <x:c r="H224" s="52" t="n">
        <x:v>0</x:v>
      </x:c>
      <x:c r="I224" s="53" t="str">
        <x:f>IF(OR(F224&lt;&gt;5,H224&gt;0),"REVISAR","OK")</x:f>
        <x:v>OK</x:v>
      </x:c>
    </x:row>
    <x:row r="225">
      <x:c r="A225" s="51" t="n">
        <x:v>44774</x:v>
      </x:c>
      <x:c r="B225" s="49" t="n">
        <x:v>12039283.945</x:v>
      </x:c>
      <x:c r="C225" s="49" t="n">
        <x:f>B225/1000</x:f>
        <x:v>12039.283945000001</x:v>
      </x:c>
      <x:c r="D225" s="52" t="n">
        <x:v>78228616</x:v>
      </x:c>
      <x:c r="E225" s="52" t="n">
        <x:v>11</x:v>
      </x:c>
      <x:c r="F225" s="52" t="n">
        <x:v>5</x:v>
      </x:c>
      <x:c r="G225" s="52" t="n">
        <x:v>2</x:v>
      </x:c>
      <x:c r="H225" s="52" t="n">
        <x:v>0</x:v>
      </x:c>
      <x:c r="I225" s="53" t="str">
        <x:f>IF(OR(F225&lt;&gt;5,H225&gt;0),"REVISAR","OK")</x:f>
        <x:v>OK</x:v>
      </x:c>
    </x:row>
    <x:row r="226">
      <x:c r="A226" s="51" t="n">
        <x:v>44805</x:v>
      </x:c>
      <x:c r="B226" s="49" t="n">
        <x:v>12471766.805</x:v>
      </x:c>
      <x:c r="C226" s="49" t="n">
        <x:f>B226/1000</x:f>
        <x:v>12471.766805</x:v>
      </x:c>
      <x:c r="D226" s="52" t="n">
        <x:v>78341981</x:v>
      </x:c>
      <x:c r="E226" s="52" t="n">
        <x:v>10</x:v>
      </x:c>
      <x:c r="F226" s="52" t="n">
        <x:v>5</x:v>
      </x:c>
      <x:c r="G226" s="52" t="n">
        <x:v>2</x:v>
      </x:c>
      <x:c r="H226" s="52" t="n">
        <x:v>0</x:v>
      </x:c>
      <x:c r="I226" s="53" t="str">
        <x:f>IF(OR(F226&lt;&gt;5,H226&gt;0),"REVISAR","OK")</x:f>
        <x:v>OK</x:v>
      </x:c>
    </x:row>
    <x:row r="227">
      <x:c r="A227" s="51" t="n">
        <x:v>44835</x:v>
      </x:c>
      <x:c r="B227" s="49" t="n">
        <x:v>12576104.436</x:v>
      </x:c>
      <x:c r="C227" s="49" t="n">
        <x:f>B227/1000</x:f>
        <x:v>12576.104436000001</x:v>
      </x:c>
      <x:c r="D227" s="52" t="n">
        <x:v>78401292</x:v>
      </x:c>
      <x:c r="E227" s="52" t="n">
        <x:v>10</x:v>
      </x:c>
      <x:c r="F227" s="52" t="n">
        <x:v>5</x:v>
      </x:c>
      <x:c r="G227" s="52" t="n">
        <x:v>2</x:v>
      </x:c>
      <x:c r="H227" s="52" t="n">
        <x:v>0</x:v>
      </x:c>
      <x:c r="I227" s="53" t="str">
        <x:f>IF(OR(F227&lt;&gt;5,H227&gt;0),"REVISAR","OK")</x:f>
        <x:v>OK</x:v>
      </x:c>
    </x:row>
    <x:row r="228">
      <x:c r="A228" s="51" t="n">
        <x:v>44866</x:v>
      </x:c>
      <x:c r="B228" s="49" t="n">
        <x:v>12921344.777999999</x:v>
      </x:c>
      <x:c r="C228" s="49" t="n">
        <x:f>B228/1000</x:f>
        <x:v>12921.344777999999</x:v>
      </x:c>
      <x:c r="D228" s="52" t="n">
        <x:v>78570190</x:v>
      </x:c>
      <x:c r="E228" s="52" t="n">
        <x:v>10</x:v>
      </x:c>
      <x:c r="F228" s="52" t="n">
        <x:v>5</x:v>
      </x:c>
      <x:c r="G228" s="52" t="n">
        <x:v>2</x:v>
      </x:c>
      <x:c r="H228" s="52" t="n">
        <x:v>0</x:v>
      </x:c>
      <x:c r="I228" s="53" t="str">
        <x:f>IF(OR(F228&lt;&gt;5,H228&gt;0),"REVISAR","OK")</x:f>
        <x:v>OK</x:v>
      </x:c>
    </x:row>
    <x:row r="229">
      <x:c r="A229" s="51" t="n">
        <x:v>44896</x:v>
      </x:c>
      <x:c r="B229" s="49" t="n">
        <x:v>13661112.763</x:v>
      </x:c>
      <x:c r="C229" s="49" t="n">
        <x:f>B229/1000</x:f>
        <x:v>13661.112763000001</x:v>
      </x:c>
      <x:c r="D229" s="52" t="n">
        <x:v>78813558</x:v>
      </x:c>
      <x:c r="E229" s="52" t="n">
        <x:v>10</x:v>
      </x:c>
      <x:c r="F229" s="52" t="n">
        <x:v>5</x:v>
      </x:c>
      <x:c r="G229" s="52" t="n">
        <x:v>2</x:v>
      </x:c>
      <x:c r="H229" s="52" t="n">
        <x:v>0</x:v>
      </x:c>
      <x:c r="I229" s="53" t="str">
        <x:f>IF(OR(F229&lt;&gt;5,H229&gt;0),"REVISAR","OK")</x:f>
        <x:v>OK</x:v>
      </x:c>
    </x:row>
    <x:row r="230">
      <x:c r="A230" s="51" t="n">
        <x:v>44927</x:v>
      </x:c>
      <x:c r="B230" s="49" t="n">
        <x:v>13319634.93</x:v>
      </x:c>
      <x:c r="C230" s="49" t="n">
        <x:f>B230/1000</x:f>
        <x:v>13319.63493</x:v>
      </x:c>
      <x:c r="D230" s="52" t="n">
        <x:v>78983330</x:v>
      </x:c>
      <x:c r="E230" s="52" t="n">
        <x:v>10</x:v>
      </x:c>
      <x:c r="F230" s="52" t="n">
        <x:v>5</x:v>
      </x:c>
      <x:c r="G230" s="52" t="n">
        <x:v>2</x:v>
      </x:c>
      <x:c r="H230" s="52" t="n">
        <x:v>0</x:v>
      </x:c>
      <x:c r="I230" s="53" t="str">
        <x:f>IF(OR(F230&lt;&gt;5,H230&gt;0),"REVISAR","OK")</x:f>
        <x:v>OK</x:v>
      </x:c>
    </x:row>
    <x:row r="231">
      <x:c r="A231" s="51" t="n">
        <x:v>44958</x:v>
      </x:c>
      <x:c r="B231" s="49" t="n">
        <x:v>13740181.745</x:v>
      </x:c>
      <x:c r="C231" s="49" t="n">
        <x:f>B231/1000</x:f>
        <x:v>13740.181745</x:v>
      </x:c>
      <x:c r="D231" s="52" t="n">
        <x:v>79086481</x:v>
      </x:c>
      <x:c r="E231" s="52" t="n">
        <x:v>10</x:v>
      </x:c>
      <x:c r="F231" s="52" t="n">
        <x:v>5</x:v>
      </x:c>
      <x:c r="G231" s="52" t="n">
        <x:v>2</x:v>
      </x:c>
      <x:c r="H231" s="52" t="n">
        <x:v>0</x:v>
      </x:c>
      <x:c r="I231" s="53" t="str">
        <x:f>IF(OR(F231&lt;&gt;5,H231&gt;0),"REVISAR","OK")</x:f>
        <x:v>OK</x:v>
      </x:c>
    </x:row>
    <x:row r="232">
      <x:c r="A232" s="51" t="n">
        <x:v>44986</x:v>
      </x:c>
      <x:c r="B232" s="49" t="n">
        <x:v>14399746.524</x:v>
      </x:c>
      <x:c r="C232" s="49" t="n">
        <x:f>B232/1000</x:f>
        <x:v>14399.746524</x:v>
      </x:c>
      <x:c r="D232" s="52" t="n">
        <x:v>79300027</x:v>
      </x:c>
      <x:c r="E232" s="52" t="n">
        <x:v>10</x:v>
      </x:c>
      <x:c r="F232" s="52" t="n">
        <x:v>5</x:v>
      </x:c>
      <x:c r="G232" s="52" t="n">
        <x:v>2</x:v>
      </x:c>
      <x:c r="H232" s="52" t="n">
        <x:v>0</x:v>
      </x:c>
      <x:c r="I232" s="53" t="str">
        <x:f>IF(OR(F232&lt;&gt;5,H232&gt;0),"REVISAR","OK")</x:f>
        <x:v>OK</x:v>
      </x:c>
    </x:row>
    <x:row r="233">
      <x:c r="A233" s="51" t="n">
        <x:v>45017</x:v>
      </x:c>
      <x:c r="B233" s="49" t="n">
        <x:v>13750131.579</x:v>
      </x:c>
      <x:c r="C233" s="49" t="n">
        <x:f>B233/1000</x:f>
        <x:v>13750.131579</x:v>
      </x:c>
      <x:c r="D233" s="52" t="n">
        <x:v>79560211</x:v>
      </x:c>
      <x:c r="E233" s="52" t="n">
        <x:v>10</x:v>
      </x:c>
      <x:c r="F233" s="52" t="n">
        <x:v>5</x:v>
      </x:c>
      <x:c r="G233" s="52" t="n">
        <x:v>2</x:v>
      </x:c>
      <x:c r="H233" s="52" t="n">
        <x:v>0</x:v>
      </x:c>
      <x:c r="I233" s="53" t="str">
        <x:f>IF(OR(F233&lt;&gt;5,H233&gt;0),"REVISAR","OK")</x:f>
        <x:v>OK</x:v>
      </x:c>
    </x:row>
    <x:row r="234">
      <x:c r="A234" s="51" t="n">
        <x:v>45047</x:v>
      </x:c>
      <x:c r="B234" s="49" t="n">
        <x:v>13070947.221</x:v>
      </x:c>
      <x:c r="C234" s="49" t="n">
        <x:f>B234/1000</x:f>
        <x:v>13070.947221</x:v>
      </x:c>
      <x:c r="D234" s="52" t="n">
        <x:v>79631439</x:v>
      </x:c>
      <x:c r="E234" s="52" t="n">
        <x:v>10</x:v>
      </x:c>
      <x:c r="F234" s="52" t="n">
        <x:v>5</x:v>
      </x:c>
      <x:c r="G234" s="52" t="n">
        <x:v>2</x:v>
      </x:c>
      <x:c r="H234" s="52" t="n">
        <x:v>0</x:v>
      </x:c>
      <x:c r="I234" s="53" t="str">
        <x:f>IF(OR(F234&lt;&gt;5,H234&gt;0),"REVISAR","OK")</x:f>
        <x:v>OK</x:v>
      </x:c>
    </x:row>
    <x:row r="235">
      <x:c r="A235" s="51" t="n">
        <x:v>45078</x:v>
      </x:c>
      <x:c r="B235" s="49" t="n">
        <x:v>12827753.400999999</x:v>
      </x:c>
      <x:c r="C235" s="49" t="n">
        <x:f>B235/1000</x:f>
        <x:v>12827.753400999998</x:v>
      </x:c>
      <x:c r="D235" s="52" t="n">
        <x:v>79914761</x:v>
      </x:c>
      <x:c r="E235" s="52" t="n">
        <x:v>10</x:v>
      </x:c>
      <x:c r="F235" s="52" t="n">
        <x:v>5</x:v>
      </x:c>
      <x:c r="G235" s="52" t="n">
        <x:v>2</x:v>
      </x:c>
      <x:c r="H235" s="52" t="n">
        <x:v>0</x:v>
      </x:c>
      <x:c r="I235" s="53" t="str">
        <x:f>IF(OR(F235&lt;&gt;5,H235&gt;0),"REVISAR","OK")</x:f>
        <x:v>OK</x:v>
      </x:c>
    </x:row>
    <x:row r="236">
      <x:c r="A236" s="51" t="n">
        <x:v>45108</x:v>
      </x:c>
      <x:c r="B236" s="49" t="n">
        <x:v>12576742.236</x:v>
      </x:c>
      <x:c r="C236" s="49" t="n">
        <x:f>B236/1000</x:f>
        <x:v>12576.742236</x:v>
      </x:c>
      <x:c r="D236" s="52" t="n">
        <x:v>80059898</x:v>
      </x:c>
      <x:c r="E236" s="52" t="n">
        <x:v>10</x:v>
      </x:c>
      <x:c r="F236" s="52" t="n">
        <x:v>5</x:v>
      </x:c>
      <x:c r="G236" s="52" t="n">
        <x:v>2</x:v>
      </x:c>
      <x:c r="H236" s="52" t="n">
        <x:v>0</x:v>
      </x:c>
      <x:c r="I236" s="53" t="str">
        <x:f>IF(OR(F236&lt;&gt;5,H236&gt;0),"REVISAR","OK")</x:f>
        <x:v>OK</x:v>
      </x:c>
    </x:row>
    <x:row r="237">
      <x:c r="A237" s="51" t="n">
        <x:v>45139</x:v>
      </x:c>
      <x:c r="B237" s="49" t="n">
        <x:v>12987166.774999999</x:v>
      </x:c>
      <x:c r="C237" s="49" t="n">
        <x:f>B237/1000</x:f>
        <x:v>12987.166774999998</x:v>
      </x:c>
      <x:c r="D237" s="52" t="n">
        <x:v>80086251</x:v>
      </x:c>
      <x:c r="E237" s="52" t="n">
        <x:v>10</x:v>
      </x:c>
      <x:c r="F237" s="52" t="n">
        <x:v>5</x:v>
      </x:c>
      <x:c r="G237" s="52" t="n">
        <x:v>2</x:v>
      </x:c>
      <x:c r="H237" s="52" t="n">
        <x:v>0</x:v>
      </x:c>
      <x:c r="I237" s="53" t="str">
        <x:f>IF(OR(F237&lt;&gt;5,H237&gt;0),"REVISAR","OK")</x:f>
        <x:v>OK</x:v>
      </x:c>
    </x:row>
    <x:row r="238">
      <x:c r="A238" s="51" t="n">
        <x:v>45170</x:v>
      </x:c>
      <x:c r="B238" s="49" t="n">
        <x:v>13682500.311999999</x:v>
      </x:c>
      <x:c r="C238" s="49" t="n">
        <x:f>B238/1000</x:f>
        <x:v>13682.500311999998</x:v>
      </x:c>
      <x:c r="D238" s="52" t="n">
        <x:v>80220870</x:v>
      </x:c>
      <x:c r="E238" s="52" t="n">
        <x:v>10</x:v>
      </x:c>
      <x:c r="F238" s="52" t="n">
        <x:v>5</x:v>
      </x:c>
      <x:c r="G238" s="52" t="n">
        <x:v>2</x:v>
      </x:c>
      <x:c r="H238" s="52" t="n">
        <x:v>0</x:v>
      </x:c>
      <x:c r="I238" s="53" t="str">
        <x:f>IF(OR(F238&lt;&gt;5,H238&gt;0),"REVISAR","OK")</x:f>
        <x:v>OK</x:v>
      </x:c>
    </x:row>
    <x:row r="239">
      <x:c r="A239" s="51" t="n">
        <x:v>45200</x:v>
      </x:c>
      <x:c r="B239" s="49" t="n">
        <x:v>14449638.244</x:v>
      </x:c>
      <x:c r="C239" s="49" t="n">
        <x:f>B239/1000</x:f>
        <x:v>14449.638244000002</x:v>
      </x:c>
      <x:c r="D239" s="52" t="n">
        <x:v>80506656</x:v>
      </x:c>
      <x:c r="E239" s="52" t="n">
        <x:v>10</x:v>
      </x:c>
      <x:c r="F239" s="52" t="n">
        <x:v>5</x:v>
      </x:c>
      <x:c r="G239" s="52" t="n">
        <x:v>2</x:v>
      </x:c>
      <x:c r="H239" s="52" t="n">
        <x:v>0</x:v>
      </x:c>
      <x:c r="I239" s="53" t="str">
        <x:f>IF(OR(F239&lt;&gt;5,H239&gt;0),"REVISAR","OK")</x:f>
        <x:v>OK</x:v>
      </x:c>
    </x:row>
    <x:row r="240">
      <x:c r="A240" s="51" t="n">
        <x:v>45231</x:v>
      </x:c>
      <x:c r="B240" s="49" t="n">
        <x:v>14967611.873</x:v>
      </x:c>
      <x:c r="C240" s="49" t="n">
        <x:f>B240/1000</x:f>
        <x:v>14967.611873</x:v>
      </x:c>
      <x:c r="D240" s="52" t="n">
        <x:v>80535555</x:v>
      </x:c>
      <x:c r="E240" s="52" t="n">
        <x:v>10</x:v>
      </x:c>
      <x:c r="F240" s="52" t="n">
        <x:v>5</x:v>
      </x:c>
      <x:c r="G240" s="52" t="n">
        <x:v>2</x:v>
      </x:c>
      <x:c r="H240" s="52" t="n">
        <x:v>0</x:v>
      </x:c>
      <x:c r="I240" s="53" t="str">
        <x:f>IF(OR(F240&lt;&gt;5,H240&gt;0),"REVISAR","OK")</x:f>
        <x:v>OK</x:v>
      </x:c>
    </x:row>
    <x:row r="241">
      <x:c r="A241" s="51" t="n">
        <x:v>45261</x:v>
      </x:c>
      <x:c r="B241" s="49" t="n">
        <x:v>15442501.108000003</x:v>
      </x:c>
      <x:c r="C241" s="49" t="n">
        <x:f>B241/1000</x:f>
        <x:v>15442.501108000002</x:v>
      </x:c>
      <x:c r="D241" s="52" t="n">
        <x:v>80904875</x:v>
      </x:c>
      <x:c r="E241" s="52" t="n">
        <x:v>10</x:v>
      </x:c>
      <x:c r="F241" s="52" t="n">
        <x:v>5</x:v>
      </x:c>
      <x:c r="G241" s="52" t="n">
        <x:v>2</x:v>
      </x:c>
      <x:c r="H241" s="52" t="n">
        <x:v>0</x:v>
      </x:c>
      <x:c r="I241" s="53" t="str">
        <x:f>IF(OR(F241&lt;&gt;5,H241&gt;0),"REVISAR","OK")</x:f>
        <x:v>OK</x:v>
      </x:c>
    </x:row>
    <x:row r="242">
      <x:c r="A242" s="51" t="n">
        <x:v>45292</x:v>
      </x:c>
      <x:c r="B242" s="49" t="n">
        <x:v>15442429.476</x:v>
      </x:c>
      <x:c r="C242" s="49" t="n">
        <x:f>B242/1000</x:f>
        <x:v>15442.429476</x:v>
      </x:c>
      <x:c r="D242" s="52" t="n">
        <x:v>80983953</x:v>
      </x:c>
      <x:c r="E242" s="52" t="n">
        <x:v>12</x:v>
      </x:c>
      <x:c r="F242" s="52" t="n">
        <x:v>5</x:v>
      </x:c>
      <x:c r="G242" s="52" t="n">
        <x:v>2</x:v>
      </x:c>
      <x:c r="H242" s="52" t="n">
        <x:v>0</x:v>
      </x:c>
      <x:c r="I242" s="53" t="str">
        <x:f>IF(OR(F242&lt;&gt;5,H242&gt;0),"REVISAR","OK")</x:f>
        <x:v>OK</x:v>
      </x:c>
    </x:row>
    <x:row r="243">
      <x:c r="A243" s="51" t="n">
        <x:v>45323</x:v>
      </x:c>
      <x:c r="B243" s="49" t="n">
        <x:v>15200855.321999999</x:v>
      </x:c>
      <x:c r="C243" s="49" t="n">
        <x:f>B243/1000</x:f>
        <x:v>15200.855322</x:v>
      </x:c>
      <x:c r="D243" s="52" t="n">
        <x:v>81234003</x:v>
      </x:c>
      <x:c r="E243" s="52" t="n">
        <x:v>12</x:v>
      </x:c>
      <x:c r="F243" s="52" t="n">
        <x:v>5</x:v>
      </x:c>
      <x:c r="G243" s="52" t="n">
        <x:v>2</x:v>
      </x:c>
      <x:c r="H243" s="52" t="n">
        <x:v>0</x:v>
      </x:c>
      <x:c r="I243" s="53" t="str">
        <x:f>IF(OR(F243&lt;&gt;5,H243&gt;0),"REVISAR","OK")</x:f>
        <x:v>OK</x:v>
      </x:c>
    </x:row>
    <x:row r="244">
      <x:c r="A244" s="51" t="n">
        <x:v>45352</x:v>
      </x:c>
      <x:c r="B244" s="49" t="n">
        <x:v>15604081.019</x:v>
      </x:c>
      <x:c r="C244" s="49" t="n">
        <x:f>B244/1000</x:f>
        <x:v>15604.081019</x:v>
      </x:c>
      <x:c r="D244" s="52" t="n">
        <x:v>81339223</x:v>
      </x:c>
      <x:c r="E244" s="52" t="n">
        <x:v>13</x:v>
      </x:c>
      <x:c r="F244" s="52" t="n">
        <x:v>5</x:v>
      </x:c>
      <x:c r="G244" s="52" t="n">
        <x:v>2</x:v>
      </x:c>
      <x:c r="H244" s="52" t="n">
        <x:v>2</x:v>
      </x:c>
      <x:c r="I244" s="53" t="str">
        <x:f>IF(OR(F244&lt;&gt;5,H244&gt;0),"REVISAR","OK")</x:f>
        <x:v>REVISAR</x:v>
      </x:c>
    </x:row>
    <x:row r="245">
      <x:c r="A245" s="51" t="n">
        <x:v>45383</x:v>
      </x:c>
      <x:c r="B245" s="49" t="n">
        <x:v>14941070.225999998</x:v>
      </x:c>
      <x:c r="C245" s="49" t="n">
        <x:f>B245/1000</x:f>
        <x:v>14941.070225999998</x:v>
      </x:c>
      <x:c r="D245" s="52" t="n">
        <x:v>81465138</x:v>
      </x:c>
      <x:c r="E245" s="52" t="n">
        <x:v>12</x:v>
      </x:c>
      <x:c r="F245" s="52" t="n">
        <x:v>5</x:v>
      </x:c>
      <x:c r="G245" s="52" t="n">
        <x:v>2</x:v>
      </x:c>
      <x:c r="H245" s="52" t="n">
        <x:v>0</x:v>
      </x:c>
      <x:c r="I245" s="53" t="str">
        <x:f>IF(OR(F245&lt;&gt;5,H245&gt;0),"REVISAR","OK")</x:f>
        <x:v>OK</x:v>
      </x:c>
    </x:row>
    <x:row r="246">
      <x:c r="A246" s="51" t="n">
        <x:v>45413</x:v>
      </x:c>
      <x:c r="B246" s="49" t="n">
        <x:v>14855049.795</x:v>
      </x:c>
      <x:c r="C246" s="49" t="n">
        <x:f>B246/1000</x:f>
        <x:v>14855.049795</x:v>
      </x:c>
      <x:c r="D246" s="52" t="n">
        <x:v>81430006</x:v>
      </x:c>
      <x:c r="E246" s="52" t="n">
        <x:v>13</x:v>
      </x:c>
      <x:c r="F246" s="52" t="n">
        <x:v>5</x:v>
      </x:c>
      <x:c r="G246" s="52" t="n">
        <x:v>2</x:v>
      </x:c>
      <x:c r="H246" s="52" t="n">
        <x:v>0</x:v>
      </x:c>
      <x:c r="I246" s="53" t="str">
        <x:f>IF(OR(F246&lt;&gt;5,H246&gt;0),"REVISAR","OK")</x:f>
        <x:v>OK</x:v>
      </x:c>
    </x:row>
    <x:row r="247">
      <x:c r="A247" s="51" t="n">
        <x:v>45444</x:v>
      </x:c>
      <x:c r="B247" s="49" t="n">
        <x:v>13971600.752000002</x:v>
      </x:c>
      <x:c r="C247" s="49" t="n">
        <x:f>B247/1000</x:f>
        <x:v>13971.600752000002</x:v>
      </x:c>
      <x:c r="D247" s="52" t="n">
        <x:v>81533683</x:v>
      </x:c>
      <x:c r="E247" s="52" t="n">
        <x:v>13</x:v>
      </x:c>
      <x:c r="F247" s="52" t="n">
        <x:v>5</x:v>
      </x:c>
      <x:c r="G247" s="52" t="n">
        <x:v>2</x:v>
      </x:c>
      <x:c r="H247" s="52" t="n">
        <x:v>0</x:v>
      </x:c>
      <x:c r="I247" s="53" t="str">
        <x:f>IF(OR(F247&lt;&gt;5,H247&gt;0),"REVISAR","OK")</x:f>
        <x:v>OK</x:v>
      </x:c>
    </x:row>
    <x:row r="248">
      <x:c r="A248" s="51" t="n">
        <x:v>45474</x:v>
      </x:c>
      <x:c r="B248" s="49" t="n">
        <x:v>13429603.186999999</x:v>
      </x:c>
      <x:c r="C248" s="49" t="n">
        <x:f>B248/1000</x:f>
        <x:v>13429.603186999999</x:v>
      </x:c>
      <x:c r="D248" s="52" t="n">
        <x:v>81872030</x:v>
      </x:c>
      <x:c r="E248" s="52" t="n">
        <x:v>13</x:v>
      </x:c>
      <x:c r="F248" s="52" t="n">
        <x:v>5</x:v>
      </x:c>
      <x:c r="G248" s="52" t="n">
        <x:v>2</x:v>
      </x:c>
      <x:c r="H248" s="52" t="n">
        <x:v>0</x:v>
      </x:c>
      <x:c r="I248" s="53" t="str">
        <x:f>IF(OR(F248&lt;&gt;5,H248&gt;0),"REVISAR","OK")</x:f>
        <x:v>OK</x:v>
      </x:c>
    </x:row>
    <x:row r="249">
      <x:c r="A249" s="51" t="n">
        <x:v>45505</x:v>
      </x:c>
      <x:c r="B249" s="49" t="n">
        <x:v>13747145.741999999</x:v>
      </x:c>
      <x:c r="C249" s="49" t="n">
        <x:f>B249/1000</x:f>
        <x:v>13747.145741999999</x:v>
      </x:c>
      <x:c r="D249" s="52" t="n">
        <x:v>82251632</x:v>
      </x:c>
      <x:c r="E249" s="52" t="n">
        <x:v>13</x:v>
      </x:c>
      <x:c r="F249" s="52" t="n">
        <x:v>5</x:v>
      </x:c>
      <x:c r="G249" s="52" t="n">
        <x:v>2</x:v>
      </x:c>
      <x:c r="H249" s="52" t="n">
        <x:v>0</x:v>
      </x:c>
      <x:c r="I249" s="53" t="str">
        <x:f>IF(OR(F249&lt;&gt;5,H249&gt;0),"REVISAR","OK")</x:f>
        <x:v>OK</x:v>
      </x:c>
    </x:row>
    <x:row r="250">
      <x:c r="A250" s="51" t="n">
        <x:v>45536</x:v>
      </x:c>
      <x:c r="B250" s="49" t="n">
        <x:v>14221917.57</x:v>
      </x:c>
      <x:c r="C250" s="49" t="n">
        <x:f>B250/1000</x:f>
        <x:v>14221.91757</x:v>
      </x:c>
      <x:c r="D250" s="52" t="n">
        <x:v>82257856</x:v>
      </x:c>
      <x:c r="E250" s="52" t="n">
        <x:v>13</x:v>
      </x:c>
      <x:c r="F250" s="52" t="n">
        <x:v>5</x:v>
      </x:c>
      <x:c r="G250" s="52" t="n">
        <x:v>2</x:v>
      </x:c>
      <x:c r="H250" s="52" t="n">
        <x:v>0</x:v>
      </x:c>
      <x:c r="I250" s="53" t="str">
        <x:f>IF(OR(F250&lt;&gt;5,H250&gt;0),"REVISAR","OK")</x:f>
        <x:v>OK</x:v>
      </x:c>
    </x:row>
    <x:row r="251">
      <x:c r="A251" s="51" t="n">
        <x:v>45566</x:v>
      </x:c>
      <x:c r="B251" s="49" t="n">
        <x:v>15089888.874000002</x:v>
      </x:c>
      <x:c r="C251" s="49" t="n">
        <x:f>B251/1000</x:f>
        <x:v>15089.888874000002</x:v>
      </x:c>
      <x:c r="D251" s="52" t="n">
        <x:v>82598189</x:v>
      </x:c>
      <x:c r="E251" s="52" t="n">
        <x:v>14</x:v>
      </x:c>
      <x:c r="F251" s="52" t="n">
        <x:v>5</x:v>
      </x:c>
      <x:c r="G251" s="52" t="n">
        <x:v>2</x:v>
      </x:c>
      <x:c r="H251" s="52" t="n">
        <x:v>0</x:v>
      </x:c>
      <x:c r="I251" s="53" t="str">
        <x:f>IF(OR(F251&lt;&gt;5,H251&gt;0),"REVISAR","OK")</x:f>
        <x:v>OK</x:v>
      </x:c>
    </x:row>
    <x:row r="252">
      <x:c r="A252" s="51" t="n">
        <x:v>45597</x:v>
      </x:c>
      <x:c r="B252" s="49" t="n">
        <x:v>14818958.798</x:v>
      </x:c>
      <x:c r="C252" s="49" t="n">
        <x:f>B252/1000</x:f>
        <x:v>14818.958798</x:v>
      </x:c>
      <x:c r="D252" s="52" t="n">
        <x:v>82635369</x:v>
      </x:c>
      <x:c r="E252" s="52" t="n">
        <x:v>14</x:v>
      </x:c>
      <x:c r="F252" s="52" t="n">
        <x:v>5</x:v>
      </x:c>
      <x:c r="G252" s="52" t="n">
        <x:v>2</x:v>
      </x:c>
      <x:c r="H252" s="52" t="n">
        <x:v>0</x:v>
      </x:c>
      <x:c r="I252" s="53" t="str">
        <x:f>IF(OR(F252&lt;&gt;5,H252&gt;0),"REVISAR","OK")</x:f>
        <x:v>OK</x:v>
      </x:c>
    </x:row>
    <x:row r="253">
      <x:c r="A253" s="51" t="n">
        <x:v>45627</x:v>
      </x:c>
      <x:c r="B253" s="49" t="n">
        <x:v>15305544.798</x:v>
      </x:c>
      <x:c r="C253" s="49" t="n">
        <x:f>B253/1000</x:f>
        <x:v>15305.544798</x:v>
      </x:c>
      <x:c r="D253" s="52" t="n">
        <x:v>82681823</x:v>
      </x:c>
      <x:c r="E253" s="52" t="n">
        <x:v>14</x:v>
      </x:c>
      <x:c r="F253" s="52" t="n">
        <x:v>5</x:v>
      </x:c>
      <x:c r="G253" s="52" t="n">
        <x:v>2</x:v>
      </x:c>
      <x:c r="H253" s="52" t="n">
        <x:v>0</x:v>
      </x:c>
      <x:c r="I253" s="53" t="str">
        <x:f>IF(OR(F253&lt;&gt;5,H253&gt;0),"REVISAR","OK")</x:f>
        <x:v>OK</x:v>
      </x:c>
    </x:row>
    <x:row r="254">
      <x:c r="A254" s="51" t="n">
        <x:v>45658</x:v>
      </x:c>
      <x:c r="B254" s="49" t="n">
        <x:v>15695144.316</x:v>
      </x:c>
      <x:c r="C254" s="49" t="n">
        <x:f>B254/1000</x:f>
        <x:v>15695.144316</x:v>
      </x:c>
      <x:c r="D254" s="52" t="n">
        <x:v>82531256</x:v>
      </x:c>
      <x:c r="E254" s="52" t="n">
        <x:v>14</x:v>
      </x:c>
      <x:c r="F254" s="52" t="n">
        <x:v>5</x:v>
      </x:c>
      <x:c r="G254" s="52" t="n">
        <x:v>2</x:v>
      </x:c>
      <x:c r="H254" s="52" t="n">
        <x:v>0</x:v>
      </x:c>
      <x:c r="I254" s="53" t="str">
        <x:f>IF(OR(F254&lt;&gt;5,H254&gt;0),"REVISAR","OK")</x:f>
        <x:v>OK</x:v>
      </x:c>
    </x:row>
    <x:row r="255">
      <x:c r="A255" s="51" t="n">
        <x:v>45689</x:v>
      </x:c>
      <x:c r="B255" s="49" t="n">
        <x:v>16037465.765</x:v>
      </x:c>
      <x:c r="C255" s="49" t="n">
        <x:f>B255/1000</x:f>
        <x:v>16037.465765</x:v>
      </x:c>
      <x:c r="D255" s="52" t="n">
        <x:v>82659434</x:v>
      </x:c>
      <x:c r="E255" s="52" t="n">
        <x:v>14</x:v>
      </x:c>
      <x:c r="F255" s="52" t="n">
        <x:v>5</x:v>
      </x:c>
      <x:c r="G255" s="52" t="n">
        <x:v>2</x:v>
      </x:c>
      <x:c r="H255" s="52" t="n">
        <x:v>0</x:v>
      </x:c>
      <x:c r="I255" s="53" t="str">
        <x:f>IF(OR(F255&lt;&gt;5,H255&gt;0),"REVISAR","OK")</x:f>
        <x:v>OK</x:v>
      </x:c>
    </x:row>
    <x:row r="256">
      <x:c r="A256" s="51" t="n">
        <x:v>45717</x:v>
      </x:c>
      <x:c r="B256" s="49" t="n">
        <x:v>16498232.219</x:v>
      </x:c>
      <x:c r="C256" s="49" t="n">
        <x:f>B256/1000</x:f>
        <x:v>16498.232219</x:v>
      </x:c>
      <x:c r="D256" s="52" t="n">
        <x:v>82894329</x:v>
      </x:c>
      <x:c r="E256" s="52" t="n">
        <x:v>14</x:v>
      </x:c>
      <x:c r="F256" s="52" t="n">
        <x:v>5</x:v>
      </x:c>
      <x:c r="G256" s="52" t="n">
        <x:v>2</x:v>
      </x:c>
      <x:c r="H256" s="52" t="n">
        <x:v>0</x:v>
      </x:c>
      <x:c r="I256" s="53" t="str">
        <x:f>IF(OR(F256&lt;&gt;5,H256&gt;0),"REVISAR","OK")</x:f>
        <x:v>OK</x:v>
      </x:c>
    </x:row>
    <x:row r="257">
      <x:c r="A257" s="51" t="n">
        <x:v>45748</x:v>
      </x:c>
      <x:c r="B257" s="49" t="n">
        <x:v>14859048.015</x:v>
      </x:c>
      <x:c r="C257" s="49" t="n">
        <x:f>B257/1000</x:f>
        <x:v>14859.048015</x:v>
      </x:c>
      <x:c r="D257" s="52" t="n">
        <x:v>83190098</x:v>
      </x:c>
      <x:c r="E257" s="52" t="n">
        <x:v>15</x:v>
      </x:c>
      <x:c r="F257" s="52" t="n">
        <x:v>5</x:v>
      </x:c>
      <x:c r="G257" s="52" t="n">
        <x:v>2</x:v>
      </x:c>
      <x:c r="H257" s="52" t="n">
        <x:v>0</x:v>
      </x:c>
      <x:c r="I257" s="53" t="str">
        <x:f>IF(OR(F257&lt;&gt;5,H257&gt;0),"REVISAR","OK")</x:f>
        <x:v>OK</x:v>
      </x:c>
    </x:row>
    <x:row r="258">
      <x:c r="A258" s="51" t="n">
        <x:v>45778</x:v>
      </x:c>
      <x:c r="B258" s="49" t="n">
        <x:v>14613543.205</x:v>
      </x:c>
      <x:c r="C258" s="49" t="n">
        <x:f>B258/1000</x:f>
        <x:v>14613.543205</x:v>
      </x:c>
      <x:c r="D258" s="52" t="n">
        <x:v>83326830</x:v>
      </x:c>
      <x:c r="E258" s="52" t="n">
        <x:v>15</x:v>
      </x:c>
      <x:c r="F258" s="52" t="n">
        <x:v>5</x:v>
      </x:c>
      <x:c r="G258" s="52" t="n">
        <x:v>2</x:v>
      </x:c>
      <x:c r="H258" s="52" t="n">
        <x:v>0</x:v>
      </x:c>
      <x:c r="I258" s="53" t="str">
        <x:f>IF(OR(F258&lt;&gt;5,H258&gt;0),"REVISAR","OK")</x:f>
        <x:v>OK</x:v>
      </x:c>
    </x:row>
    <x:row r="259">
      <x:c r="A259" s="51" t="n">
        <x:v>45809</x:v>
      </x:c>
      <x:c r="B259" s="49" t="n">
        <x:v>13789060.682999998</x:v>
      </x:c>
      <x:c r="C259" s="49" t="n">
        <x:f>B259/1000</x:f>
        <x:v>13789.060682999998</x:v>
      </x:c>
      <x:c r="D259" s="52" t="n">
        <x:v>83259614</x:v>
      </x:c>
      <x:c r="E259" s="52" t="n">
        <x:v>15</x:v>
      </x:c>
      <x:c r="F259" s="52" t="n">
        <x:v>5</x:v>
      </x:c>
      <x:c r="G259" s="52" t="n">
        <x:v>2</x:v>
      </x:c>
      <x:c r="H259" s="52" t="n">
        <x:v>0</x:v>
      </x:c>
      <x:c r="I259" s="53" t="str">
        <x:f>IF(OR(F259&lt;&gt;5,H259&gt;0),"REVISAR","OK")</x:f>
        <x:v>OK</x:v>
      </x:c>
    </x:row>
    <x:row r="260">
      <x:c r="A260" s="51" t="n">
        <x:v>45839</x:v>
      </x:c>
      <x:c r="B260" s="49" t="n">
        <x:v>13892553.311</x:v>
      </x:c>
      <x:c r="C260" s="49" t="n">
        <x:f>B260/1000</x:f>
        <x:v>13892.553311000001</x:v>
      </x:c>
      <x:c r="D260" s="52" t="n">
        <x:v>83619896</x:v>
      </x:c>
      <x:c r="E260" s="52" t="n">
        <x:v>15</x:v>
      </x:c>
      <x:c r="F260" s="52" t="n">
        <x:v>5</x:v>
      </x:c>
      <x:c r="G260" s="52" t="n">
        <x:v>2</x:v>
      </x:c>
      <x:c r="H260" s="52" t="n">
        <x:v>0</x:v>
      </x:c>
      <x:c r="I260" s="53" t="str">
        <x:f>IF(OR(F260&lt;&gt;5,H260&gt;0),"REVISAR","OK")</x:f>
        <x:v>OK</x:v>
      </x:c>
    </x:row>
    <x:row r="261">
      <x:c r="A261" s="51" t="n">
        <x:v>45870</x:v>
      </x:c>
      <x:c r="B261" s="49" t="n">
        <x:v>13983463.693000002</x:v>
      </x:c>
      <x:c r="C261" s="49" t="n">
        <x:f>B261/1000</x:f>
        <x:v>13983.463693000002</x:v>
      </x:c>
      <x:c r="D261" s="52" t="n">
        <x:v>83666670</x:v>
      </x:c>
      <x:c r="E261" s="52" t="n">
        <x:v>15</x:v>
      </x:c>
      <x:c r="F261" s="52" t="n">
        <x:v>5</x:v>
      </x:c>
      <x:c r="G261" s="52" t="n">
        <x:v>2</x:v>
      </x:c>
      <x:c r="H261" s="52" t="n">
        <x:v>0</x:v>
      </x:c>
      <x:c r="I261" s="53" t="str">
        <x:f>IF(OR(F261&lt;&gt;5,H261&gt;0),"REVISAR","OK")</x:f>
        <x:v>OK</x:v>
      </x:c>
    </x:row>
    <x:row r="262">
      <x:c r="A262" s="51" t="n">
        <x:v>45901</x:v>
      </x:c>
      <x:c r="B262" s="49" t="n">
        <x:v>14384212.921999998</x:v>
      </x:c>
      <x:c r="C262" s="49" t="n">
        <x:f>B262/1000</x:f>
        <x:v>14384.212921999999</x:v>
      </x:c>
      <x:c r="D262" s="52" t="n">
        <x:v>83865484</x:v>
      </x:c>
      <x:c r="E262" s="52" t="n">
        <x:v>15</x:v>
      </x:c>
      <x:c r="F262" s="52" t="n">
        <x:v>5</x:v>
      </x:c>
      <x:c r="G262" s="52" t="n">
        <x:v>2</x:v>
      </x:c>
      <x:c r="H262" s="52" t="n">
        <x:v>0</x:v>
      </x:c>
      <x:c r="I262" s="53" t="str">
        <x:f>IF(OR(F262&lt;&gt;5,H262&gt;0),"REVISAR","OK")</x:f>
        <x:v>OK</x:v>
      </x:c>
    </x:row>
    <x:row r="263">
      <x:c r="A263" s="51" t="n">
        <x:v>45931</x:v>
      </x:c>
      <x:c r="B263" s="49" t="n">
        <x:v>14995537.496000001</x:v>
      </x:c>
      <x:c r="C263" s="49" t="n">
        <x:f>B263/1000</x:f>
        <x:v>14995.537496</x:v>
      </x:c>
      <x:c r="D263" s="52" t="n">
        <x:v>84163800</x:v>
      </x:c>
      <x:c r="E263" s="52" t="n">
        <x:v>15</x:v>
      </x:c>
      <x:c r="F263" s="52" t="n">
        <x:v>5</x:v>
      </x:c>
      <x:c r="G263" s="52" t="n">
        <x:v>2</x:v>
      </x:c>
      <x:c r="H263" s="52" t="n">
        <x:v>0</x:v>
      </x:c>
      <x:c r="I263" s="53" t="str">
        <x:f>IF(OR(F263&lt;&gt;5,H263&gt;0),"REVISAR","OK")</x:f>
        <x:v>OK</x:v>
      </x:c>
    </x:row>
    <x:row r="264">
      <x:c r="A264" s="51" t="n">
        <x:v>45962</x:v>
      </x:c>
      <x:c r="B264" s="49" t="n">
        <x:v>14982777.183</x:v>
      </x:c>
      <x:c r="C264" s="49" t="n">
        <x:f>B264/1000</x:f>
        <x:v>14982.777183</x:v>
      </x:c>
      <x:c r="D264" s="52" t="n">
        <x:v>84208848</x:v>
      </x:c>
      <x:c r="E264" s="52" t="n">
        <x:v>15</x:v>
      </x:c>
      <x:c r="F264" s="52" t="n">
        <x:v>5</x:v>
      </x:c>
      <x:c r="G264" s="52" t="n">
        <x:v>2</x:v>
      </x:c>
      <x:c r="H264" s="52" t="n">
        <x:v>0</x:v>
      </x:c>
      <x:c r="I264" s="53" t="str">
        <x:f>IF(OR(F264&lt;&gt;5,H264&gt;0),"REVISAR","OK")</x:f>
        <x:v>OK</x:v>
      </x:c>
    </x:row>
    <x:row r="265">
      <x:c r="A265" s="51" t="n">
        <x:v>45992</x:v>
      </x:c>
      <x:c r="B265" s="49" t="n">
        <x:v>15917267.534999998</x:v>
      </x:c>
      <x:c r="C265" s="49" t="n">
        <x:f>B265/1000</x:f>
        <x:v>15917.267534999999</x:v>
      </x:c>
      <x:c r="D265" s="52" t="n">
        <x:v>84518613</x:v>
      </x:c>
      <x:c r="E265" s="52" t="n">
        <x:v>15</x:v>
      </x:c>
      <x:c r="F265" s="52" t="n">
        <x:v>5</x:v>
      </x:c>
      <x:c r="G265" s="52" t="n">
        <x:v>2</x:v>
      </x:c>
      <x:c r="H265" s="52" t="n">
        <x:v>0</x:v>
      </x:c>
      <x:c r="I265" s="53" t="str">
        <x:f>IF(OR(F265&lt;&gt;5,H265&gt;0),"REVISAR","OK")</x:f>
        <x:v>OK</x:v>
      </x:c>
    </x:row>
    <x:row r="266">
      <x:c r="A266" s="51" t="n">
        <x:v>46023</x:v>
      </x:c>
      <x:c r="B266" s="49" t="n">
        <x:v>16989711.782</x:v>
      </x:c>
      <x:c r="C266" s="49" t="n">
        <x:f>B266/1000</x:f>
        <x:v>16989.711782000002</x:v>
      </x:c>
      <x:c r="D266" s="52" t="n">
        <x:v>84572545</x:v>
      </x:c>
      <x:c r="E266" s="52" t="n">
        <x:v>15</x:v>
      </x:c>
      <x:c r="F266" s="52" t="n">
        <x:v>5</x:v>
      </x:c>
      <x:c r="G266" s="52" t="n">
        <x:v>2</x:v>
      </x:c>
      <x:c r="H266" s="52" t="n">
        <x:v>0</x:v>
      </x:c>
      <x:c r="I266" s="53" t="str">
        <x:f>IF(OR(F266&lt;&gt;5,H266&gt;0),"REVISAR","OK")</x:f>
        <x:v>OK</x:v>
      </x:c>
    </x:row>
    <x:row r="267">
      <x:c r="A267" s="51" t="n">
        <x:v>46054</x:v>
      </x:c>
      <x:c r="B267" s="49" t="n">
        <x:v>15796489.791</x:v>
      </x:c>
      <x:c r="C267" s="49" t="n">
        <x:f>B267/1000</x:f>
        <x:v>15796.489791</x:v>
      </x:c>
      <x:c r="D267" s="52" t="n">
        <x:v>84268600</x:v>
      </x:c>
      <x:c r="E267" s="52" t="n">
        <x:v>15</x:v>
      </x:c>
      <x:c r="F267" s="52" t="n">
        <x:v>5</x:v>
      </x:c>
      <x:c r="G267" s="52" t="n">
        <x:v>2</x:v>
      </x:c>
      <x:c r="H267" s="52" t="n">
        <x:v>0</x:v>
      </x:c>
      <x:c r="I267" s="53" t="str">
        <x:f>IF(OR(F267&lt;&gt;5,H267&gt;0),"REVISAR","OK")</x:f>
        <x:v>OK</x:v>
      </x:c>
    </x:row>
    <x:row r="268">
      <x:c r="A268" s="51" t="n">
        <x:v>46082</x:v>
      </x:c>
      <x:c r="B268" s="49" t="n">
        <x:v>16069919.32</x:v>
      </x:c>
      <x:c r="C268" s="49" t="n">
        <x:f>B268/1000</x:f>
        <x:v>16069.91932</x:v>
      </x:c>
      <x:c r="D268" s="52" t="n">
        <x:v>84581561</x:v>
      </x:c>
      <x:c r="E268" s="52" t="n">
        <x:v>15</x:v>
      </x:c>
      <x:c r="F268" s="52" t="n">
        <x:v>5</x:v>
      </x:c>
      <x:c r="G268" s="52" t="n">
        <x:v>2</x:v>
      </x:c>
      <x:c r="H268" s="52" t="n">
        <x:v>0</x:v>
      </x:c>
      <x:c r="I268" s="53" t="str">
        <x:f>IF(OR(F268&lt;&gt;5,H268&gt;0),"REVISAR","OK")</x:f>
        <x:v>OK</x:v>
      </x:c>
    </x:row>
    <x:row r="269">
      <x:c r="A269" s="51" t="n">
        <x:v>46113</x:v>
      </x:c>
      <x:c r="B269" s="49" t="n">
        <x:v>16152772.498000002</x:v>
      </x:c>
      <x:c r="C269" s="49" t="n">
        <x:f>B269/1000</x:f>
        <x:v>16152.772498000002</x:v>
      </x:c>
      <x:c r="D269" s="52" t="n">
        <x:v>84853734</x:v>
      </x:c>
      <x:c r="E269" s="52" t="n">
        <x:v>15</x:v>
      </x:c>
      <x:c r="F269" s="52" t="n">
        <x:v>5</x:v>
      </x:c>
      <x:c r="G269" s="52" t="n">
        <x:v>2</x:v>
      </x:c>
      <x:c r="H269" s="52" t="n">
        <x:v>0</x:v>
      </x:c>
      <x:c r="I269" s="53" t="str">
        <x:f>IF(OR(F269&lt;&gt;5,H269&gt;0),"REVISAR","OK")</x:f>
        <x:v>OK</x:v>
      </x:c>
    </x:row>
    <x:row r="270">
      <x:c r="A270" s="51" t="n">
        <x:v>46143</x:v>
      </x:c>
      <x:c r="B270" s="49" t="n">
        <x:v>15223333.617000002</x:v>
      </x:c>
      <x:c r="C270" s="49" t="n">
        <x:f>B270/1000</x:f>
        <x:v>15223.333617000002</x:v>
      </x:c>
      <x:c r="D270" s="52" t="n">
        <x:v>84864263</x:v>
      </x:c>
      <x:c r="E270" s="52" t="n">
        <x:v>15</x:v>
      </x:c>
      <x:c r="F270" s="52" t="n">
        <x:v>5</x:v>
      </x:c>
      <x:c r="G270" s="52" t="n">
        <x:v>2</x:v>
      </x:c>
      <x:c r="H270" s="52" t="n">
        <x:v>0</x:v>
      </x:c>
      <x:c r="I270" s="53" t="str">
        <x:f>IF(OR(F270&lt;&gt;5,H270&gt;0),"REVISAR","OK")</x:f>
        <x:v>OK</x:v>
      </x:c>
    </x:row>
    <x:row r="271">
      <x:c r="A271" s="51" t="n">
        <x:v>46174</x:v>
      </x:c>
      <x:c r="B271" s="49" t="n">
        <x:v>14385874.247</x:v>
      </x:c>
      <x:c r="C271" s="49" t="n">
        <x:f>B271/1000</x:f>
        <x:v>14385.874247</x:v>
      </x:c>
      <x:c r="D271" s="52" t="n">
        <x:v>85080235</x:v>
      </x:c>
      <x:c r="E271" s="52" t="n">
        <x:v>15</x:v>
      </x:c>
      <x:c r="F271" s="52" t="n">
        <x:v>5</x:v>
      </x:c>
      <x:c r="G271" s="52" t="n">
        <x:v>2</x:v>
      </x:c>
      <x:c r="H271" s="52" t="n">
        <x:v>0</x:v>
      </x:c>
      <x:c r="I271" s="53" t="str">
        <x:f>IF(OR(F271&lt;&gt;5,H271&gt;0),"REVISAR","OK")</x:f>
        <x:v>OK</x:v>
      </x:c>
    </x:row>
  </x:sheetData>
  <x:conditionalFormatting sqref="I2:I271">
    <x:cfRule type="containsText" dxfId="0" priority="1" operator="containsText" text="REVISAR"/>
    <x:cfRule type="containsText" dxfId="1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57189d37b7c945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8" hidden="0" customWidth="1"/>
    <x:col min="5" max="5" width="17" hidden="0" customWidth="1"/>
    <x:col min="6" max="6" width="17" hidden="0" customWidth="1"/>
    <x:col min="7" max="7" width="15" hidden="0" customWidth="1"/>
    <x:col min="8" max="8" width="43" hidden="0" customWidth="1"/>
  </x:cols>
  <x:sheetData>
    <x:row r="1" ht="28" customHeight="1">
      <x:c r="A1" s="45" t="str">
        <x:v>Data</x:v>
      </x:c>
      <x:c r="B1" s="46" t="str">
        <x:v>Regiao</x:v>
      </x:c>
      <x:c r="C1" s="46" t="str">
        <x:v>Sistema</x:v>
      </x:c>
      <x:c r="D1" s="46" t="str">
        <x:v>TipoConsumidor</x:v>
      </x:c>
      <x:c r="E1" s="46" t="str">
        <x:v>Consumo_MWh</x:v>
      </x:c>
      <x:c r="F1" s="46" t="str">
        <x:v>Consumidores</x:v>
      </x:c>
      <x:c r="G1" s="46" t="str">
        <x:v>DataVersao</x:v>
      </x:c>
      <x:c r="H1" s="47" t="str">
        <x:v>Flag_Qualidade</x:v>
      </x:c>
    </x:row>
    <x:row r="2">
      <x:c r="A2" s="51" t="n">
        <x:v>37987</x:v>
      </x:c>
      <x:c r="B2" s="14" t="str">
        <x:v>Centro-Oeste</x:v>
      </x:c>
      <x:c r="C2" s="14" t="str">
        <x:v>SISTEMAS ISOLADOS</x:v>
      </x:c>
      <x:c r="D2" s="53" t="str">
        <x:v>Cativo</x:v>
      </x:c>
      <x:c r="E2" s="49" t="n">
        <x:v>8404.639</x:v>
      </x:c>
      <x:c r="F2" s="52" t="n">
        <x:v>51284</x:v>
      </x:c>
      <x:c r="G2" s="54" t="n">
        <x:v>46220</x:v>
      </x:c>
      <x:c r="H2" s="14" t="str">
        <x:f>IF(E2&lt;0,"Componente negativo — manter e investigar","OK")</x:f>
        <x:v>OK</x:v>
      </x:c>
    </x:row>
    <x:row r="3">
      <x:c r="A3" s="51" t="n">
        <x:v>37987</x:v>
      </x:c>
      <x:c r="B3" s="14" t="str">
        <x:v>Centro-Oeste</x:v>
      </x:c>
      <x:c r="C3" s="14" t="str">
        <x:v>SUDESTE / CENTRO - OESTE</x:v>
      </x:c>
      <x:c r="D3" s="53" t="str">
        <x:v>Cativo</x:v>
      </x:c>
      <x:c r="E3" s="49" t="n">
        <x:v>498135.8489999999</x:v>
      </x:c>
      <x:c r="F3" s="52" t="n">
        <x:v>3158734</x:v>
      </x:c>
      <x:c r="G3" s="54" t="n">
        <x:v>46220</x:v>
      </x:c>
      <x:c r="H3" s="14" t="str">
        <x:f>IF(E3&lt;0,"Componente negativo — manter e investigar","OK")</x:f>
        <x:v>OK</x:v>
      </x:c>
    </x:row>
    <x:row r="4">
      <x:c r="A4" s="51" t="n">
        <x:v>37987</x:v>
      </x:c>
      <x:c r="B4" s="14" t="str">
        <x:v>Nordeste</x:v>
      </x:c>
      <x:c r="C4" s="14" t="str">
        <x:v>NORDESTE</x:v>
      </x:c>
      <x:c r="D4" s="53" t="str">
        <x:v>Cativo</x:v>
      </x:c>
      <x:c r="E4" s="49" t="n">
        <x:v>1009931.2910000001</x:v>
      </x:c>
      <x:c r="F4" s="52" t="n">
        <x:v>9887307</x:v>
      </x:c>
      <x:c r="G4" s="54" t="n">
        <x:v>46220</x:v>
      </x:c>
      <x:c r="H4" s="14" t="str">
        <x:f>IF(E4&lt;0,"Componente negativo — manter e investigar","OK")</x:f>
        <x:v>OK</x:v>
      </x:c>
    </x:row>
    <x:row r="5">
      <x:c r="A5" s="51" t="n">
        <x:v>37987</x:v>
      </x:c>
      <x:c r="B5" s="14" t="str">
        <x:v>Nordeste</x:v>
      </x:c>
      <x:c r="C5" s="14" t="str">
        <x:v>NORTE INTERLIGADO</x:v>
      </x:c>
      <x:c r="D5" s="53" t="str">
        <x:v>Cativo</x:v>
      </x:c>
      <x:c r="E5" s="49" t="n">
        <x:v>88588.714</x:v>
      </x:c>
      <x:c r="F5" s="52" t="n">
        <x:v>979289</x:v>
      </x:c>
      <x:c r="G5" s="54" t="n">
        <x:v>46220</x:v>
      </x:c>
      <x:c r="H5" s="14" t="str">
        <x:f>IF(E5&lt;0,"Componente negativo — manter e investigar","OK")</x:f>
        <x:v>OK</x:v>
      </x:c>
    </x:row>
    <x:row r="6">
      <x:c r="A6" s="51" t="n">
        <x:v>37987</x:v>
      </x:c>
      <x:c r="B6" s="14" t="str">
        <x:v>Nordeste</x:v>
      </x:c>
      <x:c r="C6" s="14" t="str">
        <x:v>SISTEMAS ISOLADOS</x:v>
      </x:c>
      <x:c r="D6" s="53" t="str">
        <x:v>Cativo</x:v>
      </x:c>
      <x:c r="E6" s="49" t="n">
        <x:v>143.52</x:v>
      </x:c>
      <x:c r="F6" s="52" t="n">
        <x:v>574</x:v>
      </x:c>
      <x:c r="G6" s="54" t="n">
        <x:v>46220</x:v>
      </x:c>
      <x:c r="H6" s="14" t="str">
        <x:f>IF(E6&lt;0,"Componente negativo — manter e investigar","OK")</x:f>
        <x:v>OK</x:v>
      </x:c>
    </x:row>
    <x:row r="7">
      <x:c r="A7" s="51" t="n">
        <x:v>37987</x:v>
      </x:c>
      <x:c r="B7" s="14" t="str">
        <x:v>Norte</x:v>
      </x:c>
      <x:c r="C7" s="14" t="str">
        <x:v>NORTE INTERLIGADO</x:v>
      </x:c>
      <x:c r="D7" s="53" t="str">
        <x:v>Cativo</x:v>
      </x:c>
      <x:c r="E7" s="49" t="n">
        <x:v>157323.738</x:v>
      </x:c>
      <x:c r="F7" s="52" t="n">
        <x:v>1202631</x:v>
      </x:c>
      <x:c r="G7" s="54" t="n">
        <x:v>46220</x:v>
      </x:c>
      <x:c r="H7" s="14" t="str">
        <x:f>IF(E7&lt;0,"Componente negativo — manter e investigar","OK")</x:f>
        <x:v>OK</x:v>
      </x:c>
    </x:row>
    <x:row r="8">
      <x:c r="A8" s="51" t="n">
        <x:v>37987</x:v>
      </x:c>
      <x:c r="B8" s="14" t="str">
        <x:v>Norte</x:v>
      </x:c>
      <x:c r="C8" s="14" t="str">
        <x:v>SISTEMAS ISOLADOS</x:v>
      </x:c>
      <x:c r="D8" s="53" t="str">
        <x:v>Cativo</x:v>
      </x:c>
      <x:c r="E8" s="49" t="n">
        <x:v>191261.074</x:v>
      </x:c>
      <x:c r="F8" s="52" t="n">
        <x:v>1089778</x:v>
      </x:c>
      <x:c r="G8" s="54" t="n">
        <x:v>46220</x:v>
      </x:c>
      <x:c r="H8" s="14" t="str">
        <x:f>IF(E8&lt;0,"Componente negativo — manter e investigar","OK")</x:f>
        <x:v>OK</x:v>
      </x:c>
    </x:row>
    <x:row r="9">
      <x:c r="A9" s="51" t="n">
        <x:v>37987</x:v>
      </x:c>
      <x:c r="B9" s="14" t="str">
        <x:v>Sudeste</x:v>
      </x:c>
      <x:c r="C9" s="14" t="str">
        <x:v>SUDESTE / CENTRO - OESTE</x:v>
      </x:c>
      <x:c r="D9" s="53" t="str">
        <x:v>Cativo</x:v>
      </x:c>
      <x:c r="E9" s="49" t="n">
        <x:v>3694385.5479999995</x:v>
      </x:c>
      <x:c r="F9" s="52" t="n">
        <x:v>22297938</x:v>
      </x:c>
      <x:c r="G9" s="54" t="n">
        <x:v>46220</x:v>
      </x:c>
      <x:c r="H9" s="14" t="str">
        <x:f>IF(E9&lt;0,"Componente negativo — manter e investigar","OK")</x:f>
        <x:v>OK</x:v>
      </x:c>
    </x:row>
    <x:row r="10">
      <x:c r="A10" s="51" t="n">
        <x:v>37987</x:v>
      </x:c>
      <x:c r="B10" s="14" t="str">
        <x:v>Sul</x:v>
      </x:c>
      <x:c r="C10" s="14" t="str">
        <x:v>SUL</x:v>
      </x:c>
      <x:c r="D10" s="53" t="str">
        <x:v>Cativo</x:v>
      </x:c>
      <x:c r="E10" s="49" t="n">
        <x:v>1132506</x:v>
      </x:c>
      <x:c r="F10" s="52" t="n">
        <x:v>6762504</x:v>
      </x:c>
      <x:c r="G10" s="54" t="n">
        <x:v>46220</x:v>
      </x:c>
      <x:c r="H10" s="14" t="str">
        <x:f>IF(E10&lt;0,"Componente negativo — manter e investigar","OK")</x:f>
        <x:v>OK</x:v>
      </x:c>
    </x:row>
    <x:row r="11">
      <x:c r="A11" s="51" t="n">
        <x:v>38018</x:v>
      </x:c>
      <x:c r="B11" s="14" t="str">
        <x:v>Centro-Oeste</x:v>
      </x:c>
      <x:c r="C11" s="14" t="str">
        <x:v>SISTEMAS ISOLADOS</x:v>
      </x:c>
      <x:c r="D11" s="53" t="str">
        <x:v>Cativo</x:v>
      </x:c>
      <x:c r="E11" s="49" t="n">
        <x:v>7740.97</x:v>
      </x:c>
      <x:c r="F11" s="52" t="n">
        <x:v>50751</x:v>
      </x:c>
      <x:c r="G11" s="54" t="n">
        <x:v>46220</x:v>
      </x:c>
      <x:c r="H11" s="14" t="str">
        <x:f>IF(E11&lt;0,"Componente negativo — manter e investigar","OK")</x:f>
        <x:v>OK</x:v>
      </x:c>
    </x:row>
    <x:row r="12">
      <x:c r="A12" s="51" t="n">
        <x:v>38018</x:v>
      </x:c>
      <x:c r="B12" s="14" t="str">
        <x:v>Centro-Oeste</x:v>
      </x:c>
      <x:c r="C12" s="14" t="str">
        <x:v>SUDESTE / CENTRO - OESTE</x:v>
      </x:c>
      <x:c r="D12" s="53" t="str">
        <x:v>Cativo</x:v>
      </x:c>
      <x:c r="E12" s="49" t="n">
        <x:v>464361.556</x:v>
      </x:c>
      <x:c r="F12" s="52" t="n">
        <x:v>3166421</x:v>
      </x:c>
      <x:c r="G12" s="54" t="n">
        <x:v>46220</x:v>
      </x:c>
      <x:c r="H12" s="14" t="str">
        <x:f>IF(E12&lt;0,"Componente negativo — manter e investigar","OK")</x:f>
        <x:v>OK</x:v>
      </x:c>
    </x:row>
    <x:row r="13">
      <x:c r="A13" s="51" t="n">
        <x:v>38018</x:v>
      </x:c>
      <x:c r="B13" s="14" t="str">
        <x:v>Nordeste</x:v>
      </x:c>
      <x:c r="C13" s="14" t="str">
        <x:v>NORDESTE</x:v>
      </x:c>
      <x:c r="D13" s="53" t="str">
        <x:v>Cativo</x:v>
      </x:c>
      <x:c r="E13" s="49" t="n">
        <x:v>919073.816</x:v>
      </x:c>
      <x:c r="F13" s="52" t="n">
        <x:v>9916139</x:v>
      </x:c>
      <x:c r="G13" s="54" t="n">
        <x:v>46220</x:v>
      </x:c>
      <x:c r="H13" s="14" t="str">
        <x:f>IF(E13&lt;0,"Componente negativo — manter e investigar","OK")</x:f>
        <x:v>OK</x:v>
      </x:c>
    </x:row>
    <x:row r="14">
      <x:c r="A14" s="51" t="n">
        <x:v>38018</x:v>
      </x:c>
      <x:c r="B14" s="14" t="str">
        <x:v>Nordeste</x:v>
      </x:c>
      <x:c r="C14" s="14" t="str">
        <x:v>NORTE INTERLIGADO</x:v>
      </x:c>
      <x:c r="D14" s="53" t="str">
        <x:v>Cativo</x:v>
      </x:c>
      <x:c r="E14" s="49" t="n">
        <x:v>81121.781</x:v>
      </x:c>
      <x:c r="F14" s="52" t="n">
        <x:v>984491</x:v>
      </x:c>
      <x:c r="G14" s="54" t="n">
        <x:v>46220</x:v>
      </x:c>
      <x:c r="H14" s="14" t="str">
        <x:f>IF(E14&lt;0,"Componente negativo — manter e investigar","OK")</x:f>
        <x:v>OK</x:v>
      </x:c>
    </x:row>
    <x:row r="15">
      <x:c r="A15" s="51" t="n">
        <x:v>38018</x:v>
      </x:c>
      <x:c r="B15" s="14" t="str">
        <x:v>Nordeste</x:v>
      </x:c>
      <x:c r="C15" s="14" t="str">
        <x:v>SISTEMAS ISOLADOS</x:v>
      </x:c>
      <x:c r="D15" s="53" t="str">
        <x:v>Cativo</x:v>
      </x:c>
      <x:c r="E15" s="49" t="n">
        <x:v>124.696</x:v>
      </x:c>
      <x:c r="F15" s="52" t="n">
        <x:v>572</x:v>
      </x:c>
      <x:c r="G15" s="54" t="n">
        <x:v>46220</x:v>
      </x:c>
      <x:c r="H15" s="14" t="str">
        <x:f>IF(E15&lt;0,"Componente negativo — manter e investigar","OK")</x:f>
        <x:v>OK</x:v>
      </x:c>
    </x:row>
    <x:row r="16">
      <x:c r="A16" s="51" t="n">
        <x:v>38018</x:v>
      </x:c>
      <x:c r="B16" s="14" t="str">
        <x:v>Norte</x:v>
      </x:c>
      <x:c r="C16" s="14" t="str">
        <x:v>NORTE INTERLIGADO</x:v>
      </x:c>
      <x:c r="D16" s="53" t="str">
        <x:v>Cativo</x:v>
      </x:c>
      <x:c r="E16" s="49" t="n">
        <x:v>149231.827</x:v>
      </x:c>
      <x:c r="F16" s="52" t="n">
        <x:v>1284214</x:v>
      </x:c>
      <x:c r="G16" s="54" t="n">
        <x:v>46220</x:v>
      </x:c>
      <x:c r="H16" s="14" t="str">
        <x:f>IF(E16&lt;0,"Componente negativo — manter e investigar","OK")</x:f>
        <x:v>OK</x:v>
      </x:c>
    </x:row>
    <x:row r="17">
      <x:c r="A17" s="51" t="n">
        <x:v>38018</x:v>
      </x:c>
      <x:c r="B17" s="14" t="str">
        <x:v>Norte</x:v>
      </x:c>
      <x:c r="C17" s="14" t="str">
        <x:v>SISTEMAS ISOLADOS</x:v>
      </x:c>
      <x:c r="D17" s="53" t="str">
        <x:v>Cativo</x:v>
      </x:c>
      <x:c r="E17" s="49" t="n">
        <x:v>174170.843</x:v>
      </x:c>
      <x:c r="F17" s="52" t="n">
        <x:v>1066373</x:v>
      </x:c>
      <x:c r="G17" s="54" t="n">
        <x:v>46220</x:v>
      </x:c>
      <x:c r="H17" s="14" t="str">
        <x:f>IF(E17&lt;0,"Componente negativo — manter e investigar","OK")</x:f>
        <x:v>OK</x:v>
      </x:c>
    </x:row>
    <x:row r="18">
      <x:c r="A18" s="51" t="n">
        <x:v>38018</x:v>
      </x:c>
      <x:c r="B18" s="14" t="str">
        <x:v>Sudeste</x:v>
      </x:c>
      <x:c r="C18" s="14" t="str">
        <x:v>SUDESTE / CENTRO - OESTE</x:v>
      </x:c>
      <x:c r="D18" s="53" t="str">
        <x:v>Cativo</x:v>
      </x:c>
      <x:c r="E18" s="49" t="n">
        <x:v>3511541.224</x:v>
      </x:c>
      <x:c r="F18" s="52" t="n">
        <x:v>22381311</x:v>
      </x:c>
      <x:c r="G18" s="54" t="n">
        <x:v>46220</x:v>
      </x:c>
      <x:c r="H18" s="14" t="str">
        <x:f>IF(E18&lt;0,"Componente negativo — manter e investigar","OK")</x:f>
        <x:v>OK</x:v>
      </x:c>
    </x:row>
    <x:row r="19">
      <x:c r="A19" s="51" t="n">
        <x:v>38018</x:v>
      </x:c>
      <x:c r="B19" s="14" t="str">
        <x:v>Sul</x:v>
      </x:c>
      <x:c r="C19" s="14" t="str">
        <x:v>SUL</x:v>
      </x:c>
      <x:c r="D19" s="53" t="str">
        <x:v>Cativo</x:v>
      </x:c>
      <x:c r="E19" s="49" t="n">
        <x:v>1121970.467</x:v>
      </x:c>
      <x:c r="F19" s="52" t="n">
        <x:v>6779827</x:v>
      </x:c>
      <x:c r="G19" s="54" t="n">
        <x:v>46220</x:v>
      </x:c>
      <x:c r="H19" s="14" t="str">
        <x:f>IF(E19&lt;0,"Componente negativo — manter e investigar","OK")</x:f>
        <x:v>OK</x:v>
      </x:c>
    </x:row>
    <x:row r="20">
      <x:c r="A20" s="51" t="n">
        <x:v>38047</x:v>
      </x:c>
      <x:c r="B20" s="14" t="str">
        <x:v>Centro-Oeste</x:v>
      </x:c>
      <x:c r="C20" s="14" t="str">
        <x:v>SISTEMAS ISOLADOS</x:v>
      </x:c>
      <x:c r="D20" s="53" t="str">
        <x:v>Cativo</x:v>
      </x:c>
      <x:c r="E20" s="49" t="n">
        <x:v>8217.971</x:v>
      </x:c>
      <x:c r="F20" s="52" t="n">
        <x:v>51940</x:v>
      </x:c>
      <x:c r="G20" s="54" t="n">
        <x:v>46220</x:v>
      </x:c>
      <x:c r="H20" s="14" t="str">
        <x:f>IF(E20&lt;0,"Componente negativo — manter e investigar","OK")</x:f>
        <x:v>OK</x:v>
      </x:c>
    </x:row>
    <x:row r="21">
      <x:c r="A21" s="51" t="n">
        <x:v>38047</x:v>
      </x:c>
      <x:c r="B21" s="14" t="str">
        <x:v>Centro-Oeste</x:v>
      </x:c>
      <x:c r="C21" s="14" t="str">
        <x:v>SUDESTE / CENTRO - OESTE</x:v>
      </x:c>
      <x:c r="D21" s="53" t="str">
        <x:v>Cativo</x:v>
      </x:c>
      <x:c r="E21" s="49" t="n">
        <x:v>484962.911</x:v>
      </x:c>
      <x:c r="F21" s="52" t="n">
        <x:v>3178115</x:v>
      </x:c>
      <x:c r="G21" s="54" t="n">
        <x:v>46220</x:v>
      </x:c>
      <x:c r="H21" s="14" t="str">
        <x:f>IF(E21&lt;0,"Componente negativo — manter e investigar","OK")</x:f>
        <x:v>OK</x:v>
      </x:c>
    </x:row>
    <x:row r="22">
      <x:c r="A22" s="51" t="n">
        <x:v>38047</x:v>
      </x:c>
      <x:c r="B22" s="14" t="str">
        <x:v>Nordeste</x:v>
      </x:c>
      <x:c r="C22" s="14" t="str">
        <x:v>NORDESTE</x:v>
      </x:c>
      <x:c r="D22" s="53" t="str">
        <x:v>Cativo</x:v>
      </x:c>
      <x:c r="E22" s="49" t="n">
        <x:v>964784.4600000001</x:v>
      </x:c>
      <x:c r="F22" s="52" t="n">
        <x:v>10034240</x:v>
      </x:c>
      <x:c r="G22" s="54" t="n">
        <x:v>46220</x:v>
      </x:c>
      <x:c r="H22" s="14" t="str">
        <x:f>IF(E22&lt;0,"Componente negativo — manter e investigar","OK")</x:f>
        <x:v>OK</x:v>
      </x:c>
    </x:row>
    <x:row r="23">
      <x:c r="A23" s="51" t="n">
        <x:v>38047</x:v>
      </x:c>
      <x:c r="B23" s="14" t="str">
        <x:v>Nordeste</x:v>
      </x:c>
      <x:c r="C23" s="14" t="str">
        <x:v>NORTE INTERLIGADO</x:v>
      </x:c>
      <x:c r="D23" s="53" t="str">
        <x:v>Cativo</x:v>
      </x:c>
      <x:c r="E23" s="49" t="n">
        <x:v>84507.439</x:v>
      </x:c>
      <x:c r="F23" s="52" t="n">
        <x:v>986305</x:v>
      </x:c>
      <x:c r="G23" s="54" t="n">
        <x:v>46220</x:v>
      </x:c>
      <x:c r="H23" s="14" t="str">
        <x:f>IF(E23&lt;0,"Componente negativo — manter e investigar","OK")</x:f>
        <x:v>OK</x:v>
      </x:c>
    </x:row>
    <x:row r="24">
      <x:c r="A24" s="51" t="n">
        <x:v>38047</x:v>
      </x:c>
      <x:c r="B24" s="14" t="str">
        <x:v>Nordeste</x:v>
      </x:c>
      <x:c r="C24" s="14" t="str">
        <x:v>SISTEMAS ISOLADOS</x:v>
      </x:c>
      <x:c r="D24" s="53" t="str">
        <x:v>Cativo</x:v>
      </x:c>
      <x:c r="E24" s="49" t="n">
        <x:v>145.28</x:v>
      </x:c>
      <x:c r="F24" s="52" t="n">
        <x:v>574</x:v>
      </x:c>
      <x:c r="G24" s="54" t="n">
        <x:v>46220</x:v>
      </x:c>
      <x:c r="H24" s="14" t="str">
        <x:f>IF(E24&lt;0,"Componente negativo — manter e investigar","OK")</x:f>
        <x:v>OK</x:v>
      </x:c>
    </x:row>
    <x:row r="25">
      <x:c r="A25" s="51" t="n">
        <x:v>38047</x:v>
      </x:c>
      <x:c r="B25" s="14" t="str">
        <x:v>Norte</x:v>
      </x:c>
      <x:c r="C25" s="14" t="str">
        <x:v>NORTE INTERLIGADO</x:v>
      </x:c>
      <x:c r="D25" s="53" t="str">
        <x:v>Cativo</x:v>
      </x:c>
      <x:c r="E25" s="49" t="n">
        <x:v>145356.843</x:v>
      </x:c>
      <x:c r="F25" s="52" t="n">
        <x:v>1214928</x:v>
      </x:c>
      <x:c r="G25" s="54" t="n">
        <x:v>46220</x:v>
      </x:c>
      <x:c r="H25" s="14" t="str">
        <x:f>IF(E25&lt;0,"Componente negativo — manter e investigar","OK")</x:f>
        <x:v>OK</x:v>
      </x:c>
    </x:row>
    <x:row r="26">
      <x:c r="A26" s="51" t="n">
        <x:v>38047</x:v>
      </x:c>
      <x:c r="B26" s="14" t="str">
        <x:v>Norte</x:v>
      </x:c>
      <x:c r="C26" s="14" t="str">
        <x:v>SISTEMAS ISOLADOS</x:v>
      </x:c>
      <x:c r="D26" s="53" t="str">
        <x:v>Cativo</x:v>
      </x:c>
      <x:c r="E26" s="49" t="n">
        <x:v>174880.545</x:v>
      </x:c>
      <x:c r="F26" s="52" t="n">
        <x:v>1127003</x:v>
      </x:c>
      <x:c r="G26" s="54" t="n">
        <x:v>46220</x:v>
      </x:c>
      <x:c r="H26" s="14" t="str">
        <x:f>IF(E26&lt;0,"Componente negativo — manter e investigar","OK")</x:f>
        <x:v>OK</x:v>
      </x:c>
    </x:row>
    <x:row r="27">
      <x:c r="A27" s="51" t="n">
        <x:v>38047</x:v>
      </x:c>
      <x:c r="B27" s="14" t="str">
        <x:v>Sudeste</x:v>
      </x:c>
      <x:c r="C27" s="14" t="str">
        <x:v>SUDESTE / CENTRO - OESTE</x:v>
      </x:c>
      <x:c r="D27" s="53" t="str">
        <x:v>Cativo</x:v>
      </x:c>
      <x:c r="E27" s="49" t="n">
        <x:v>3629455.247</x:v>
      </x:c>
      <x:c r="F27" s="52" t="n">
        <x:v>22484677</x:v>
      </x:c>
      <x:c r="G27" s="54" t="n">
        <x:v>46220</x:v>
      </x:c>
      <x:c r="H27" s="14" t="str">
        <x:f>IF(E27&lt;0,"Componente negativo — manter e investigar","OK")</x:f>
        <x:v>OK</x:v>
      </x:c>
    </x:row>
    <x:row r="28">
      <x:c r="A28" s="51" t="n">
        <x:v>38047</x:v>
      </x:c>
      <x:c r="B28" s="14" t="str">
        <x:v>Sul</x:v>
      </x:c>
      <x:c r="C28" s="14" t="str">
        <x:v>SUL</x:v>
      </x:c>
      <x:c r="D28" s="53" t="str">
        <x:v>Cativo</x:v>
      </x:c>
      <x:c r="E28" s="49" t="n">
        <x:v>1108027.311</x:v>
      </x:c>
      <x:c r="F28" s="52" t="n">
        <x:v>6796223</x:v>
      </x:c>
      <x:c r="G28" s="54" t="n">
        <x:v>46220</x:v>
      </x:c>
      <x:c r="H28" s="14" t="str">
        <x:f>IF(E28&lt;0,"Componente negativo — manter e investigar","OK")</x:f>
        <x:v>OK</x:v>
      </x:c>
    </x:row>
    <x:row r="29">
      <x:c r="A29" s="51" t="n">
        <x:v>38078</x:v>
      </x:c>
      <x:c r="B29" s="14" t="str">
        <x:v>Centro-Oeste</x:v>
      </x:c>
      <x:c r="C29" s="14" t="str">
        <x:v>SISTEMAS ISOLADOS</x:v>
      </x:c>
      <x:c r="D29" s="53" t="str">
        <x:v>Cativo</x:v>
      </x:c>
      <x:c r="E29" s="49" t="n">
        <x:v>8790.177</x:v>
      </x:c>
      <x:c r="F29" s="52" t="n">
        <x:v>52257</x:v>
      </x:c>
      <x:c r="G29" s="54" t="n">
        <x:v>46220</x:v>
      </x:c>
      <x:c r="H29" s="14" t="str">
        <x:f>IF(E29&lt;0,"Componente negativo — manter e investigar","OK")</x:f>
        <x:v>OK</x:v>
      </x:c>
    </x:row>
    <x:row r="30">
      <x:c r="A30" s="51" t="n">
        <x:v>38078</x:v>
      </x:c>
      <x:c r="B30" s="14" t="str">
        <x:v>Centro-Oeste</x:v>
      </x:c>
      <x:c r="C30" s="14" t="str">
        <x:v>SUDESTE / CENTRO - OESTE</x:v>
      </x:c>
      <x:c r="D30" s="53" t="str">
        <x:v>Cativo</x:v>
      </x:c>
      <x:c r="E30" s="49" t="n">
        <x:v>497280.7459999999</x:v>
      </x:c>
      <x:c r="F30" s="52" t="n">
        <x:v>3189314</x:v>
      </x:c>
      <x:c r="G30" s="54" t="n">
        <x:v>46220</x:v>
      </x:c>
      <x:c r="H30" s="14" t="str">
        <x:f>IF(E30&lt;0,"Componente negativo — manter e investigar","OK")</x:f>
        <x:v>OK</x:v>
      </x:c>
    </x:row>
    <x:row r="31">
      <x:c r="A31" s="51" t="n">
        <x:v>38078</x:v>
      </x:c>
      <x:c r="B31" s="14" t="str">
        <x:v>Nordeste</x:v>
      </x:c>
      <x:c r="C31" s="14" t="str">
        <x:v>NORDESTE</x:v>
      </x:c>
      <x:c r="D31" s="53" t="str">
        <x:v>Cativo</x:v>
      </x:c>
      <x:c r="E31" s="49" t="n">
        <x:v>1009821.595</x:v>
      </x:c>
      <x:c r="F31" s="52" t="n">
        <x:v>10089234</x:v>
      </x:c>
      <x:c r="G31" s="54" t="n">
        <x:v>46220</x:v>
      </x:c>
      <x:c r="H31" s="14" t="str">
        <x:f>IF(E31&lt;0,"Componente negativo — manter e investigar","OK")</x:f>
        <x:v>OK</x:v>
      </x:c>
    </x:row>
    <x:row r="32">
      <x:c r="A32" s="51" t="n">
        <x:v>38078</x:v>
      </x:c>
      <x:c r="B32" s="14" t="str">
        <x:v>Nordeste</x:v>
      </x:c>
      <x:c r="C32" s="14" t="str">
        <x:v>NORTE INTERLIGADO</x:v>
      </x:c>
      <x:c r="D32" s="53" t="str">
        <x:v>Cativo</x:v>
      </x:c>
      <x:c r="E32" s="49" t="n">
        <x:v>87298.687</x:v>
      </x:c>
      <x:c r="F32" s="52" t="n">
        <x:v>989577</x:v>
      </x:c>
      <x:c r="G32" s="54" t="n">
        <x:v>46220</x:v>
      </x:c>
      <x:c r="H32" s="14" t="str">
        <x:f>IF(E32&lt;0,"Componente negativo — manter e investigar","OK")</x:f>
        <x:v>OK</x:v>
      </x:c>
    </x:row>
    <x:row r="33">
      <x:c r="A33" s="51" t="n">
        <x:v>38078</x:v>
      </x:c>
      <x:c r="B33" s="14" t="str">
        <x:v>Nordeste</x:v>
      </x:c>
      <x:c r="C33" s="14" t="str">
        <x:v>SISTEMAS ISOLADOS</x:v>
      </x:c>
      <x:c r="D33" s="53" t="str">
        <x:v>Cativo</x:v>
      </x:c>
      <x:c r="E33" s="49" t="n">
        <x:v>130.29</x:v>
      </x:c>
      <x:c r="F33" s="52" t="n">
        <x:v>581</x:v>
      </x:c>
      <x:c r="G33" s="54" t="n">
        <x:v>46220</x:v>
      </x:c>
      <x:c r="H33" s="14" t="str">
        <x:f>IF(E33&lt;0,"Componente negativo — manter e investigar","OK")</x:f>
        <x:v>OK</x:v>
      </x:c>
    </x:row>
    <x:row r="34">
      <x:c r="A34" s="51" t="n">
        <x:v>38078</x:v>
      </x:c>
      <x:c r="B34" s="14" t="str">
        <x:v>Norte</x:v>
      </x:c>
      <x:c r="C34" s="14" t="str">
        <x:v>NORTE INTERLIGADO</x:v>
      </x:c>
      <x:c r="D34" s="53" t="str">
        <x:v>Cativo</x:v>
      </x:c>
      <x:c r="E34" s="49" t="n">
        <x:v>163173.083</x:v>
      </x:c>
      <x:c r="F34" s="52" t="n">
        <x:v>1301778</x:v>
      </x:c>
      <x:c r="G34" s="54" t="n">
        <x:v>46220</x:v>
      </x:c>
      <x:c r="H34" s="14" t="str">
        <x:f>IF(E34&lt;0,"Componente negativo — manter e investigar","OK")</x:f>
        <x:v>OK</x:v>
      </x:c>
    </x:row>
    <x:row r="35">
      <x:c r="A35" s="51" t="n">
        <x:v>38078</x:v>
      </x:c>
      <x:c r="B35" s="14" t="str">
        <x:v>Norte</x:v>
      </x:c>
      <x:c r="C35" s="14" t="str">
        <x:v>SISTEMAS ISOLADOS</x:v>
      </x:c>
      <x:c r="D35" s="53" t="str">
        <x:v>Cativo</x:v>
      </x:c>
      <x:c r="E35" s="49" t="n">
        <x:v>176601.724</x:v>
      </x:c>
      <x:c r="F35" s="52" t="n">
        <x:v>1102577</x:v>
      </x:c>
      <x:c r="G35" s="54" t="n">
        <x:v>46220</x:v>
      </x:c>
      <x:c r="H35" s="14" t="str">
        <x:f>IF(E35&lt;0,"Componente negativo — manter e investigar","OK")</x:f>
        <x:v>OK</x:v>
      </x:c>
    </x:row>
    <x:row r="36">
      <x:c r="A36" s="51" t="n">
        <x:v>38078</x:v>
      </x:c>
      <x:c r="B36" s="14" t="str">
        <x:v>Sudeste</x:v>
      </x:c>
      <x:c r="C36" s="14" t="str">
        <x:v>SUDESTE / CENTRO - OESTE</x:v>
      </x:c>
      <x:c r="D36" s="53" t="str">
        <x:v>Cativo</x:v>
      </x:c>
      <x:c r="E36" s="49" t="n">
        <x:v>3733862.9790000003</x:v>
      </x:c>
      <x:c r="F36" s="52" t="n">
        <x:v>22511086</x:v>
      </x:c>
      <x:c r="G36" s="54" t="n">
        <x:v>46220</x:v>
      </x:c>
      <x:c r="H36" s="14" t="str">
        <x:f>IF(E36&lt;0,"Componente negativo — manter e investigar","OK")</x:f>
        <x:v>OK</x:v>
      </x:c>
    </x:row>
    <x:row r="37">
      <x:c r="A37" s="51" t="n">
        <x:v>38078</x:v>
      </x:c>
      <x:c r="B37" s="14" t="str">
        <x:v>Sul</x:v>
      </x:c>
      <x:c r="C37" s="14" t="str">
        <x:v>SUL</x:v>
      </x:c>
      <x:c r="D37" s="53" t="str">
        <x:v>Cativo</x:v>
      </x:c>
      <x:c r="E37" s="49" t="n">
        <x:v>1132047.08</x:v>
      </x:c>
      <x:c r="F37" s="52" t="n">
        <x:v>6808504</x:v>
      </x:c>
      <x:c r="G37" s="54" t="n">
        <x:v>46220</x:v>
      </x:c>
      <x:c r="H37" s="14" t="str">
        <x:f>IF(E37&lt;0,"Componente negativo — manter e investigar","OK")</x:f>
        <x:v>OK</x:v>
      </x:c>
    </x:row>
    <x:row r="38">
      <x:c r="A38" s="51" t="n">
        <x:v>38108</x:v>
      </x:c>
      <x:c r="B38" s="14" t="str">
        <x:v>Centro-Oeste</x:v>
      </x:c>
      <x:c r="C38" s="14" t="str">
        <x:v>SISTEMAS ISOLADOS</x:v>
      </x:c>
      <x:c r="D38" s="53" t="str">
        <x:v>Cativo</x:v>
      </x:c>
      <x:c r="E38" s="49" t="n">
        <x:v>8594.515</x:v>
      </x:c>
      <x:c r="F38" s="52" t="n">
        <x:v>52696</x:v>
      </x:c>
      <x:c r="G38" s="54" t="n">
        <x:v>46220</x:v>
      </x:c>
      <x:c r="H38" s="14" t="str">
        <x:f>IF(E38&lt;0,"Componente negativo — manter e investigar","OK")</x:f>
        <x:v>OK</x:v>
      </x:c>
    </x:row>
    <x:row r="39">
      <x:c r="A39" s="51" t="n">
        <x:v>38108</x:v>
      </x:c>
      <x:c r="B39" s="14" t="str">
        <x:v>Centro-Oeste</x:v>
      </x:c>
      <x:c r="C39" s="14" t="str">
        <x:v>SUDESTE / CENTRO - OESTE</x:v>
      </x:c>
      <x:c r="D39" s="53" t="str">
        <x:v>Cativo</x:v>
      </x:c>
      <x:c r="E39" s="49" t="n">
        <x:v>484213.79</x:v>
      </x:c>
      <x:c r="F39" s="52" t="n">
        <x:v>3199781</x:v>
      </x:c>
      <x:c r="G39" s="54" t="n">
        <x:v>46220</x:v>
      </x:c>
      <x:c r="H39" s="14" t="str">
        <x:f>IF(E39&lt;0,"Componente negativo — manter e investigar","OK")</x:f>
        <x:v>OK</x:v>
      </x:c>
    </x:row>
    <x:row r="40">
      <x:c r="A40" s="51" t="n">
        <x:v>38108</x:v>
      </x:c>
      <x:c r="B40" s="14" t="str">
        <x:v>Nordeste</x:v>
      </x:c>
      <x:c r="C40" s="14" t="str">
        <x:v>NORDESTE</x:v>
      </x:c>
      <x:c r="D40" s="53" t="str">
        <x:v>Cativo</x:v>
      </x:c>
      <x:c r="E40" s="49" t="n">
        <x:v>945780.904</x:v>
      </x:c>
      <x:c r="F40" s="52" t="n">
        <x:v>10056951</x:v>
      </x:c>
      <x:c r="G40" s="54" t="n">
        <x:v>46220</x:v>
      </x:c>
      <x:c r="H40" s="14" t="str">
        <x:f>IF(E40&lt;0,"Componente negativo — manter e investigar","OK")</x:f>
        <x:v>OK</x:v>
      </x:c>
    </x:row>
    <x:row r="41">
      <x:c r="A41" s="51" t="n">
        <x:v>38108</x:v>
      </x:c>
      <x:c r="B41" s="14" t="str">
        <x:v>Nordeste</x:v>
      </x:c>
      <x:c r="C41" s="14" t="str">
        <x:v>NORTE INTERLIGADO</x:v>
      </x:c>
      <x:c r="D41" s="53" t="str">
        <x:v>Cativo</x:v>
      </x:c>
      <x:c r="E41" s="49" t="n">
        <x:v>87087.591</x:v>
      </x:c>
      <x:c r="F41" s="52" t="n">
        <x:v>990272</x:v>
      </x:c>
      <x:c r="G41" s="54" t="n">
        <x:v>46220</x:v>
      </x:c>
      <x:c r="H41" s="14" t="str">
        <x:f>IF(E41&lt;0,"Componente negativo — manter e investigar","OK")</x:f>
        <x:v>OK</x:v>
      </x:c>
    </x:row>
    <x:row r="42">
      <x:c r="A42" s="51" t="n">
        <x:v>38108</x:v>
      </x:c>
      <x:c r="B42" s="14" t="str">
        <x:v>Nordeste</x:v>
      </x:c>
      <x:c r="C42" s="14" t="str">
        <x:v>SISTEMAS ISOLADOS</x:v>
      </x:c>
      <x:c r="D42" s="53" t="str">
        <x:v>Cativo</x:v>
      </x:c>
      <x:c r="E42" s="49" t="n">
        <x:v>138.41</x:v>
      </x:c>
      <x:c r="F42" s="52" t="n">
        <x:v>606</x:v>
      </x:c>
      <x:c r="G42" s="54" t="n">
        <x:v>46220</x:v>
      </x:c>
      <x:c r="H42" s="14" t="str">
        <x:f>IF(E42&lt;0,"Componente negativo — manter e investigar","OK")</x:f>
        <x:v>OK</x:v>
      </x:c>
    </x:row>
    <x:row r="43">
      <x:c r="A43" s="51" t="n">
        <x:v>38108</x:v>
      </x:c>
      <x:c r="B43" s="14" t="str">
        <x:v>Norte</x:v>
      </x:c>
      <x:c r="C43" s="14" t="str">
        <x:v>NORTE INTERLIGADO</x:v>
      </x:c>
      <x:c r="D43" s="53" t="str">
        <x:v>Cativo</x:v>
      </x:c>
      <x:c r="E43" s="49" t="n">
        <x:v>155145.632</x:v>
      </x:c>
      <x:c r="F43" s="52" t="n">
        <x:v>1224117</x:v>
      </x:c>
      <x:c r="G43" s="54" t="n">
        <x:v>46220</x:v>
      </x:c>
      <x:c r="H43" s="14" t="str">
        <x:f>IF(E43&lt;0,"Componente negativo — manter e investigar","OK")</x:f>
        <x:v>OK</x:v>
      </x:c>
    </x:row>
    <x:row r="44">
      <x:c r="A44" s="51" t="n">
        <x:v>38108</x:v>
      </x:c>
      <x:c r="B44" s="14" t="str">
        <x:v>Norte</x:v>
      </x:c>
      <x:c r="C44" s="14" t="str">
        <x:v>SISTEMAS ISOLADOS</x:v>
      </x:c>
      <x:c r="D44" s="53" t="str">
        <x:v>Cativo</x:v>
      </x:c>
      <x:c r="E44" s="49" t="n">
        <x:v>177009.276</x:v>
      </x:c>
      <x:c r="F44" s="52" t="n">
        <x:v>1106864</x:v>
      </x:c>
      <x:c r="G44" s="54" t="n">
        <x:v>46220</x:v>
      </x:c>
      <x:c r="H44" s="14" t="str">
        <x:f>IF(E44&lt;0,"Componente negativo — manter e investigar","OK")</x:f>
        <x:v>OK</x:v>
      </x:c>
    </x:row>
    <x:row r="45">
      <x:c r="A45" s="51" t="n">
        <x:v>38108</x:v>
      </x:c>
      <x:c r="B45" s="14" t="str">
        <x:v>Sudeste</x:v>
      </x:c>
      <x:c r="C45" s="14" t="str">
        <x:v>SUDESTE / CENTRO - OESTE</x:v>
      </x:c>
      <x:c r="D45" s="53" t="str">
        <x:v>Cativo</x:v>
      </x:c>
      <x:c r="E45" s="49" t="n">
        <x:v>3537268.728</x:v>
      </x:c>
      <x:c r="F45" s="52" t="n">
        <x:v>22525747</x:v>
      </x:c>
      <x:c r="G45" s="54" t="n">
        <x:v>46220</x:v>
      </x:c>
      <x:c r="H45" s="14" t="str">
        <x:f>IF(E45&lt;0,"Componente negativo — manter e investigar","OK")</x:f>
        <x:v>OK</x:v>
      </x:c>
    </x:row>
    <x:row r="46">
      <x:c r="A46" s="51" t="n">
        <x:v>38108</x:v>
      </x:c>
      <x:c r="B46" s="14" t="str">
        <x:v>Sul</x:v>
      </x:c>
      <x:c r="C46" s="14" t="str">
        <x:v>SUL</x:v>
      </x:c>
      <x:c r="D46" s="53" t="str">
        <x:v>Cativo</x:v>
      </x:c>
      <x:c r="E46" s="49" t="n">
        <x:v>1082102.5860000001</x:v>
      </x:c>
      <x:c r="F46" s="52" t="n">
        <x:v>6808706</x:v>
      </x:c>
      <x:c r="G46" s="54" t="n">
        <x:v>46220</x:v>
      </x:c>
      <x:c r="H46" s="14" t="str">
        <x:f>IF(E46&lt;0,"Componente negativo — manter e investigar","OK")</x:f>
        <x:v>OK</x:v>
      </x:c>
    </x:row>
    <x:row r="47">
      <x:c r="A47" s="51" t="n">
        <x:v>38139</x:v>
      </x:c>
      <x:c r="B47" s="14" t="str">
        <x:v>Centro-Oeste</x:v>
      </x:c>
      <x:c r="C47" s="14" t="str">
        <x:v>SISTEMAS ISOLADOS</x:v>
      </x:c>
      <x:c r="D47" s="53" t="str">
        <x:v>Cativo</x:v>
      </x:c>
      <x:c r="E47" s="49" t="n">
        <x:v>8133.481</x:v>
      </x:c>
      <x:c r="F47" s="52" t="n">
        <x:v>53210</x:v>
      </x:c>
      <x:c r="G47" s="54" t="n">
        <x:v>46220</x:v>
      </x:c>
      <x:c r="H47" s="14" t="str">
        <x:f>IF(E47&lt;0,"Componente negativo — manter e investigar","OK")</x:f>
        <x:v>OK</x:v>
      </x:c>
    </x:row>
    <x:row r="48">
      <x:c r="A48" s="51" t="n">
        <x:v>38139</x:v>
      </x:c>
      <x:c r="B48" s="14" t="str">
        <x:v>Centro-Oeste</x:v>
      </x:c>
      <x:c r="C48" s="14" t="str">
        <x:v>SUDESTE / CENTRO - OESTE</x:v>
      </x:c>
      <x:c r="D48" s="53" t="str">
        <x:v>Cativo</x:v>
      </x:c>
      <x:c r="E48" s="49" t="n">
        <x:v>458225.339</x:v>
      </x:c>
      <x:c r="F48" s="52" t="n">
        <x:v>3218926</x:v>
      </x:c>
      <x:c r="G48" s="54" t="n">
        <x:v>46220</x:v>
      </x:c>
      <x:c r="H48" s="14" t="str">
        <x:f>IF(E48&lt;0,"Componente negativo — manter e investigar","OK")</x:f>
        <x:v>OK</x:v>
      </x:c>
    </x:row>
    <x:row r="49">
      <x:c r="A49" s="51" t="n">
        <x:v>38139</x:v>
      </x:c>
      <x:c r="B49" s="14" t="str">
        <x:v>Nordeste</x:v>
      </x:c>
      <x:c r="C49" s="14" t="str">
        <x:v>NORDESTE</x:v>
      </x:c>
      <x:c r="D49" s="53" t="str">
        <x:v>Cativo</x:v>
      </x:c>
      <x:c r="E49" s="49" t="n">
        <x:v>915753.899</x:v>
      </x:c>
      <x:c r="F49" s="52" t="n">
        <x:v>10069310</x:v>
      </x:c>
      <x:c r="G49" s="54" t="n">
        <x:v>46220</x:v>
      </x:c>
      <x:c r="H49" s="14" t="str">
        <x:f>IF(E49&lt;0,"Componente negativo — manter e investigar","OK")</x:f>
        <x:v>OK</x:v>
      </x:c>
    </x:row>
    <x:row r="50">
      <x:c r="A50" s="51" t="n">
        <x:v>38139</x:v>
      </x:c>
      <x:c r="B50" s="14" t="str">
        <x:v>Nordeste</x:v>
      </x:c>
      <x:c r="C50" s="14" t="str">
        <x:v>NORTE INTERLIGADO</x:v>
      </x:c>
      <x:c r="D50" s="53" t="str">
        <x:v>Cativo</x:v>
      </x:c>
      <x:c r="E50" s="49" t="n">
        <x:v>86445.517</x:v>
      </x:c>
      <x:c r="F50" s="52" t="n">
        <x:v>990962</x:v>
      </x:c>
      <x:c r="G50" s="54" t="n">
        <x:v>46220</x:v>
      </x:c>
      <x:c r="H50" s="14" t="str">
        <x:f>IF(E50&lt;0,"Componente negativo — manter e investigar","OK")</x:f>
        <x:v>OK</x:v>
      </x:c>
    </x:row>
    <x:row r="51">
      <x:c r="A51" s="51" t="n">
        <x:v>38139</x:v>
      </x:c>
      <x:c r="B51" s="14" t="str">
        <x:v>Nordeste</x:v>
      </x:c>
      <x:c r="C51" s="14" t="str">
        <x:v>SISTEMAS ISOLADOS</x:v>
      </x:c>
      <x:c r="D51" s="53" t="str">
        <x:v>Cativo</x:v>
      </x:c>
      <x:c r="E51" s="49" t="n">
        <x:v>151.36</x:v>
      </x:c>
      <x:c r="F51" s="52" t="n">
        <x:v>611</x:v>
      </x:c>
      <x:c r="G51" s="54" t="n">
        <x:v>46220</x:v>
      </x:c>
      <x:c r="H51" s="14" t="str">
        <x:f>IF(E51&lt;0,"Componente negativo — manter e investigar","OK")</x:f>
        <x:v>OK</x:v>
      </x:c>
    </x:row>
    <x:row r="52">
      <x:c r="A52" s="51" t="n">
        <x:v>38139</x:v>
      </x:c>
      <x:c r="B52" s="14" t="str">
        <x:v>Norte</x:v>
      </x:c>
      <x:c r="C52" s="14" t="str">
        <x:v>NORTE INTERLIGADO</x:v>
      </x:c>
      <x:c r="D52" s="53" t="str">
        <x:v>Cativo</x:v>
      </x:c>
      <x:c r="E52" s="49" t="n">
        <x:v>160070.295</x:v>
      </x:c>
      <x:c r="F52" s="52" t="n">
        <x:v>1233466</x:v>
      </x:c>
      <x:c r="G52" s="54" t="n">
        <x:v>46220</x:v>
      </x:c>
      <x:c r="H52" s="14" t="str">
        <x:f>IF(E52&lt;0,"Componente negativo — manter e investigar","OK")</x:f>
        <x:v>OK</x:v>
      </x:c>
    </x:row>
    <x:row r="53">
      <x:c r="A53" s="51" t="n">
        <x:v>38139</x:v>
      </x:c>
      <x:c r="B53" s="14" t="str">
        <x:v>Norte</x:v>
      </x:c>
      <x:c r="C53" s="14" t="str">
        <x:v>SISTEMAS ISOLADOS</x:v>
      </x:c>
      <x:c r="D53" s="53" t="str">
        <x:v>Cativo</x:v>
      </x:c>
      <x:c r="E53" s="49" t="n">
        <x:v>172018.971</x:v>
      </x:c>
      <x:c r="F53" s="52" t="n">
        <x:v>1109921</x:v>
      </x:c>
      <x:c r="G53" s="54" t="n">
        <x:v>46220</x:v>
      </x:c>
      <x:c r="H53" s="14" t="str">
        <x:f>IF(E53&lt;0,"Componente negativo — manter e investigar","OK")</x:f>
        <x:v>OK</x:v>
      </x:c>
    </x:row>
    <x:row r="54">
      <x:c r="A54" s="51" t="n">
        <x:v>38139</x:v>
      </x:c>
      <x:c r="B54" s="14" t="str">
        <x:v>Sudeste</x:v>
      </x:c>
      <x:c r="C54" s="14" t="str">
        <x:v>SUDESTE / CENTRO - OESTE</x:v>
      </x:c>
      <x:c r="D54" s="53" t="str">
        <x:v>Cativo</x:v>
      </x:c>
      <x:c r="E54" s="49" t="n">
        <x:v>3433442.4899999998</x:v>
      </x:c>
      <x:c r="F54" s="52" t="n">
        <x:v>22573915</x:v>
      </x:c>
      <x:c r="G54" s="54" t="n">
        <x:v>46220</x:v>
      </x:c>
      <x:c r="H54" s="14" t="str">
        <x:f>IF(E54&lt;0,"Componente negativo — manter e investigar","OK")</x:f>
        <x:v>OK</x:v>
      </x:c>
    </x:row>
    <x:row r="55">
      <x:c r="A55" s="51" t="n">
        <x:v>38139</x:v>
      </x:c>
      <x:c r="B55" s="14" t="str">
        <x:v>Sul</x:v>
      </x:c>
      <x:c r="C55" s="14" t="str">
        <x:v>SUL</x:v>
      </x:c>
      <x:c r="D55" s="53" t="str">
        <x:v>Cativo</x:v>
      </x:c>
      <x:c r="E55" s="49" t="n">
        <x:v>1056850.1809999999</x:v>
      </x:c>
      <x:c r="F55" s="52" t="n">
        <x:v>6828481</x:v>
      </x:c>
      <x:c r="G55" s="54" t="n">
        <x:v>46220</x:v>
      </x:c>
      <x:c r="H55" s="14" t="str">
        <x:f>IF(E55&lt;0,"Componente negativo — manter e investigar","OK")</x:f>
        <x:v>OK</x:v>
      </x:c>
    </x:row>
    <x:row r="56">
      <x:c r="A56" s="51" t="n">
        <x:v>38169</x:v>
      </x:c>
      <x:c r="B56" s="14" t="str">
        <x:v>Centro-Oeste</x:v>
      </x:c>
      <x:c r="C56" s="14" t="str">
        <x:v>SISTEMAS ISOLADOS</x:v>
      </x:c>
      <x:c r="D56" s="53" t="str">
        <x:v>Cativo</x:v>
      </x:c>
      <x:c r="E56" s="49" t="n">
        <x:v>8325.474</x:v>
      </x:c>
      <x:c r="F56" s="52" t="n">
        <x:v>53587</x:v>
      </x:c>
      <x:c r="G56" s="54" t="n">
        <x:v>46220</x:v>
      </x:c>
      <x:c r="H56" s="14" t="str">
        <x:f>IF(E56&lt;0,"Componente negativo — manter e investigar","OK")</x:f>
        <x:v>OK</x:v>
      </x:c>
    </x:row>
    <x:row r="57">
      <x:c r="A57" s="51" t="n">
        <x:v>38169</x:v>
      </x:c>
      <x:c r="B57" s="14" t="str">
        <x:v>Centro-Oeste</x:v>
      </x:c>
      <x:c r="C57" s="14" t="str">
        <x:v>SUDESTE / CENTRO - OESTE</x:v>
      </x:c>
      <x:c r="D57" s="53" t="str">
        <x:v>Cativo</x:v>
      </x:c>
      <x:c r="E57" s="49" t="n">
        <x:v>462213.4670000001</x:v>
      </x:c>
      <x:c r="F57" s="52" t="n">
        <x:v>3228078</x:v>
      </x:c>
      <x:c r="G57" s="54" t="n">
        <x:v>46220</x:v>
      </x:c>
      <x:c r="H57" s="14" t="str">
        <x:f>IF(E57&lt;0,"Componente negativo — manter e investigar","OK")</x:f>
        <x:v>OK</x:v>
      </x:c>
    </x:row>
    <x:row r="58">
      <x:c r="A58" s="51" t="n">
        <x:v>38169</x:v>
      </x:c>
      <x:c r="B58" s="14" t="str">
        <x:v>Nordeste</x:v>
      </x:c>
      <x:c r="C58" s="14" t="str">
        <x:v>NORDESTE</x:v>
      </x:c>
      <x:c r="D58" s="53" t="str">
        <x:v>Cativo</x:v>
      </x:c>
      <x:c r="E58" s="49" t="n">
        <x:v>885059.632</x:v>
      </x:c>
      <x:c r="F58" s="52" t="n">
        <x:v>10070504</x:v>
      </x:c>
      <x:c r="G58" s="54" t="n">
        <x:v>46220</x:v>
      </x:c>
      <x:c r="H58" s="14" t="str">
        <x:f>IF(E58&lt;0,"Componente negativo — manter e investigar","OK")</x:f>
        <x:v>OK</x:v>
      </x:c>
    </x:row>
    <x:row r="59">
      <x:c r="A59" s="51" t="n">
        <x:v>38169</x:v>
      </x:c>
      <x:c r="B59" s="14" t="str">
        <x:v>Nordeste</x:v>
      </x:c>
      <x:c r="C59" s="14" t="str">
        <x:v>NORTE INTERLIGADO</x:v>
      </x:c>
      <x:c r="D59" s="53" t="str">
        <x:v>Cativo</x:v>
      </x:c>
      <x:c r="E59" s="49" t="n">
        <x:v>84007.927</x:v>
      </x:c>
      <x:c r="F59" s="52" t="n">
        <x:v>994161</x:v>
      </x:c>
      <x:c r="G59" s="54" t="n">
        <x:v>46220</x:v>
      </x:c>
      <x:c r="H59" s="14" t="str">
        <x:f>IF(E59&lt;0,"Componente negativo — manter e investigar","OK")</x:f>
        <x:v>OK</x:v>
      </x:c>
    </x:row>
    <x:row r="60">
      <x:c r="A60" s="51" t="n">
        <x:v>38169</x:v>
      </x:c>
      <x:c r="B60" s="14" t="str">
        <x:v>Nordeste</x:v>
      </x:c>
      <x:c r="C60" s="14" t="str">
        <x:v>SISTEMAS ISOLADOS</x:v>
      </x:c>
      <x:c r="D60" s="53" t="str">
        <x:v>Cativo</x:v>
      </x:c>
      <x:c r="E60" s="49" t="n">
        <x:v>113.839</x:v>
      </x:c>
      <x:c r="F60" s="52" t="n">
        <x:v>614</x:v>
      </x:c>
      <x:c r="G60" s="54" t="n">
        <x:v>46220</x:v>
      </x:c>
      <x:c r="H60" s="14" t="str">
        <x:f>IF(E60&lt;0,"Componente negativo — manter e investigar","OK")</x:f>
        <x:v>OK</x:v>
      </x:c>
    </x:row>
    <x:row r="61">
      <x:c r="A61" s="51" t="n">
        <x:v>38169</x:v>
      </x:c>
      <x:c r="B61" s="14" t="str">
        <x:v>Norte</x:v>
      </x:c>
      <x:c r="C61" s="14" t="str">
        <x:v>NORTE INTERLIGADO</x:v>
      </x:c>
      <x:c r="D61" s="53" t="str">
        <x:v>Cativo</x:v>
      </x:c>
      <x:c r="E61" s="49" t="n">
        <x:v>152269.22</x:v>
      </x:c>
      <x:c r="F61" s="52" t="n">
        <x:v>1240953</x:v>
      </x:c>
      <x:c r="G61" s="54" t="n">
        <x:v>46220</x:v>
      </x:c>
      <x:c r="H61" s="14" t="str">
        <x:f>IF(E61&lt;0,"Componente negativo — manter e investigar","OK")</x:f>
        <x:v>OK</x:v>
      </x:c>
    </x:row>
    <x:row r="62">
      <x:c r="A62" s="51" t="n">
        <x:v>38169</x:v>
      </x:c>
      <x:c r="B62" s="14" t="str">
        <x:v>Norte</x:v>
      </x:c>
      <x:c r="C62" s="14" t="str">
        <x:v>SISTEMAS ISOLADOS</x:v>
      </x:c>
      <x:c r="D62" s="53" t="str">
        <x:v>Cativo</x:v>
      </x:c>
      <x:c r="E62" s="49" t="n">
        <x:v>176153.813</x:v>
      </x:c>
      <x:c r="F62" s="52" t="n">
        <x:v>1113158</x:v>
      </x:c>
      <x:c r="G62" s="54" t="n">
        <x:v>46220</x:v>
      </x:c>
      <x:c r="H62" s="14" t="str">
        <x:f>IF(E62&lt;0,"Componente negativo — manter e investigar","OK")</x:f>
        <x:v>OK</x:v>
      </x:c>
    </x:row>
    <x:row r="63">
      <x:c r="A63" s="51" t="n">
        <x:v>38169</x:v>
      </x:c>
      <x:c r="B63" s="14" t="str">
        <x:v>Sudeste</x:v>
      </x:c>
      <x:c r="C63" s="14" t="str">
        <x:v>SUDESTE / CENTRO - OESTE</x:v>
      </x:c>
      <x:c r="D63" s="53" t="str">
        <x:v>Cativo</x:v>
      </x:c>
      <x:c r="E63" s="49" t="n">
        <x:v>3457622.858</x:v>
      </x:c>
      <x:c r="F63" s="52" t="n">
        <x:v>22651117</x:v>
      </x:c>
      <x:c r="G63" s="54" t="n">
        <x:v>46220</x:v>
      </x:c>
      <x:c r="H63" s="14" t="str">
        <x:f>IF(E63&lt;0,"Componente negativo — manter e investigar","OK")</x:f>
        <x:v>OK</x:v>
      </x:c>
    </x:row>
    <x:row r="64">
      <x:c r="A64" s="51" t="n">
        <x:v>38169</x:v>
      </x:c>
      <x:c r="B64" s="14" t="str">
        <x:v>Sul</x:v>
      </x:c>
      <x:c r="C64" s="14" t="str">
        <x:v>SUL</x:v>
      </x:c>
      <x:c r="D64" s="53" t="str">
        <x:v>Cativo</x:v>
      </x:c>
      <x:c r="E64" s="49" t="n">
        <x:v>1066704.8120000002</x:v>
      </x:c>
      <x:c r="F64" s="52" t="n">
        <x:v>6833694</x:v>
      </x:c>
      <x:c r="G64" s="54" t="n">
        <x:v>46220</x:v>
      </x:c>
      <x:c r="H64" s="14" t="str">
        <x:f>IF(E64&lt;0,"Componente negativo — manter e investigar","OK")</x:f>
        <x:v>OK</x:v>
      </x:c>
    </x:row>
    <x:row r="65">
      <x:c r="A65" s="51" t="n">
        <x:v>38200</x:v>
      </x:c>
      <x:c r="B65" s="14" t="str">
        <x:v>Centro-Oeste</x:v>
      </x:c>
      <x:c r="C65" s="14" t="str">
        <x:v>SISTEMAS ISOLADOS</x:v>
      </x:c>
      <x:c r="D65" s="53" t="str">
        <x:v>Cativo</x:v>
      </x:c>
      <x:c r="E65" s="49" t="n">
        <x:v>8197.115</x:v>
      </x:c>
      <x:c r="F65" s="52" t="n">
        <x:v>54066</x:v>
      </x:c>
      <x:c r="G65" s="54" t="n">
        <x:v>46220</x:v>
      </x:c>
      <x:c r="H65" s="14" t="str">
        <x:f>IF(E65&lt;0,"Componente negativo — manter e investigar","OK")</x:f>
        <x:v>OK</x:v>
      </x:c>
    </x:row>
    <x:row r="66">
      <x:c r="A66" s="51" t="n">
        <x:v>38200</x:v>
      </x:c>
      <x:c r="B66" s="14" t="str">
        <x:v>Centro-Oeste</x:v>
      </x:c>
      <x:c r="C66" s="14" t="str">
        <x:v>SUDESTE / CENTRO - OESTE</x:v>
      </x:c>
      <x:c r="D66" s="53" t="str">
        <x:v>Cativo</x:v>
      </x:c>
      <x:c r="E66" s="49" t="n">
        <x:v>470994.5649999999</x:v>
      </x:c>
      <x:c r="F66" s="52" t="n">
        <x:v>3240019</x:v>
      </x:c>
      <x:c r="G66" s="54" t="n">
        <x:v>46220</x:v>
      </x:c>
      <x:c r="H66" s="14" t="str">
        <x:f>IF(E66&lt;0,"Componente negativo — manter e investigar","OK")</x:f>
        <x:v>OK</x:v>
      </x:c>
    </x:row>
    <x:row r="67">
      <x:c r="A67" s="51" t="n">
        <x:v>38200</x:v>
      </x:c>
      <x:c r="B67" s="14" t="str">
        <x:v>Nordeste</x:v>
      </x:c>
      <x:c r="C67" s="14" t="str">
        <x:v>NORDESTE</x:v>
      </x:c>
      <x:c r="D67" s="53" t="str">
        <x:v>Cativo</x:v>
      </x:c>
      <x:c r="E67" s="49" t="n">
        <x:v>875228.7660000001</x:v>
      </x:c>
      <x:c r="F67" s="52" t="n">
        <x:v>10101398</x:v>
      </x:c>
      <x:c r="G67" s="54" t="n">
        <x:v>46220</x:v>
      </x:c>
      <x:c r="H67" s="14" t="str">
        <x:f>IF(E67&lt;0,"Componente negativo — manter e investigar","OK")</x:f>
        <x:v>OK</x:v>
      </x:c>
    </x:row>
    <x:row r="68">
      <x:c r="A68" s="51" t="n">
        <x:v>38200</x:v>
      </x:c>
      <x:c r="B68" s="14" t="str">
        <x:v>Nordeste</x:v>
      </x:c>
      <x:c r="C68" s="14" t="str">
        <x:v>NORTE INTERLIGADO</x:v>
      </x:c>
      <x:c r="D68" s="53" t="str">
        <x:v>Cativo</x:v>
      </x:c>
      <x:c r="E68" s="49" t="n">
        <x:v>87566.801</x:v>
      </x:c>
      <x:c r="F68" s="52" t="n">
        <x:v>997894</x:v>
      </x:c>
      <x:c r="G68" s="54" t="n">
        <x:v>46220</x:v>
      </x:c>
      <x:c r="H68" s="14" t="str">
        <x:f>IF(E68&lt;0,"Componente negativo — manter e investigar","OK")</x:f>
        <x:v>OK</x:v>
      </x:c>
    </x:row>
    <x:row r="69">
      <x:c r="A69" s="51" t="n">
        <x:v>38200</x:v>
      </x:c>
      <x:c r="B69" s="14" t="str">
        <x:v>Nordeste</x:v>
      </x:c>
      <x:c r="C69" s="14" t="str">
        <x:v>SISTEMAS ISOLADOS</x:v>
      </x:c>
      <x:c r="D69" s="53" t="str">
        <x:v>Cativo</x:v>
      </x:c>
      <x:c r="E69" s="49" t="n">
        <x:v>138.736</x:v>
      </x:c>
      <x:c r="F69" s="52" t="n">
        <x:v>619</x:v>
      </x:c>
      <x:c r="G69" s="54" t="n">
        <x:v>46220</x:v>
      </x:c>
      <x:c r="H69" s="14" t="str">
        <x:f>IF(E69&lt;0,"Componente negativo — manter e investigar","OK")</x:f>
        <x:v>OK</x:v>
      </x:c>
    </x:row>
    <x:row r="70">
      <x:c r="A70" s="51" t="n">
        <x:v>38200</x:v>
      </x:c>
      <x:c r="B70" s="14" t="str">
        <x:v>Norte</x:v>
      </x:c>
      <x:c r="C70" s="14" t="str">
        <x:v>NORTE INTERLIGADO</x:v>
      </x:c>
      <x:c r="D70" s="53" t="str">
        <x:v>Cativo</x:v>
      </x:c>
      <x:c r="E70" s="49" t="n">
        <x:v>163405.99</x:v>
      </x:c>
      <x:c r="F70" s="52" t="n">
        <x:v>1330345</x:v>
      </x:c>
      <x:c r="G70" s="54" t="n">
        <x:v>46220</x:v>
      </x:c>
      <x:c r="H70" s="14" t="str">
        <x:f>IF(E70&lt;0,"Componente negativo — manter e investigar","OK")</x:f>
        <x:v>OK</x:v>
      </x:c>
    </x:row>
    <x:row r="71">
      <x:c r="A71" s="51" t="n">
        <x:v>38200</x:v>
      </x:c>
      <x:c r="B71" s="14" t="str">
        <x:v>Norte</x:v>
      </x:c>
      <x:c r="C71" s="14" t="str">
        <x:v>SISTEMAS ISOLADOS</x:v>
      </x:c>
      <x:c r="D71" s="53" t="str">
        <x:v>Cativo</x:v>
      </x:c>
      <x:c r="E71" s="49" t="n">
        <x:v>175430.349</x:v>
      </x:c>
      <x:c r="F71" s="52" t="n">
        <x:v>1116978</x:v>
      </x:c>
      <x:c r="G71" s="54" t="n">
        <x:v>46220</x:v>
      </x:c>
      <x:c r="H71" s="14" t="str">
        <x:f>IF(E71&lt;0,"Componente negativo — manter e investigar","OK")</x:f>
        <x:v>OK</x:v>
      </x:c>
    </x:row>
    <x:row r="72">
      <x:c r="A72" s="51" t="n">
        <x:v>38200</x:v>
      </x:c>
      <x:c r="B72" s="14" t="str">
        <x:v>Sudeste</x:v>
      </x:c>
      <x:c r="C72" s="14" t="str">
        <x:v>SUDESTE / CENTRO - OESTE</x:v>
      </x:c>
      <x:c r="D72" s="53" t="str">
        <x:v>Cativo</x:v>
      </x:c>
      <x:c r="E72" s="49" t="n">
        <x:v>3453322.407</x:v>
      </x:c>
      <x:c r="F72" s="52" t="n">
        <x:v>22682587</x:v>
      </x:c>
      <x:c r="G72" s="54" t="n">
        <x:v>46220</x:v>
      </x:c>
      <x:c r="H72" s="14" t="str">
        <x:f>IF(E72&lt;0,"Componente negativo — manter e investigar","OK")</x:f>
        <x:v>OK</x:v>
      </x:c>
    </x:row>
    <x:row r="73">
      <x:c r="A73" s="51" t="n">
        <x:v>38200</x:v>
      </x:c>
      <x:c r="B73" s="14" t="str">
        <x:v>Sul</x:v>
      </x:c>
      <x:c r="C73" s="14" t="str">
        <x:v>SUL</x:v>
      </x:c>
      <x:c r="D73" s="53" t="str">
        <x:v>Cativo</x:v>
      </x:c>
      <x:c r="E73" s="49" t="n">
        <x:v>1070192.34</x:v>
      </x:c>
      <x:c r="F73" s="52" t="n">
        <x:v>6855884</x:v>
      </x:c>
      <x:c r="G73" s="54" t="n">
        <x:v>46220</x:v>
      </x:c>
      <x:c r="H73" s="14" t="str">
        <x:f>IF(E73&lt;0,"Componente negativo — manter e investigar","OK")</x:f>
        <x:v>OK</x:v>
      </x:c>
    </x:row>
    <x:row r="74">
      <x:c r="A74" s="51" t="n">
        <x:v>38231</x:v>
      </x:c>
      <x:c r="B74" s="14" t="str">
        <x:v>Centro-Oeste</x:v>
      </x:c>
      <x:c r="C74" s="14" t="str">
        <x:v>SISTEMAS ISOLADOS</x:v>
      </x:c>
      <x:c r="D74" s="53" t="str">
        <x:v>Cativo</x:v>
      </x:c>
      <x:c r="E74" s="49" t="n">
        <x:v>8939.052</x:v>
      </x:c>
      <x:c r="F74" s="52" t="n">
        <x:v>54730</x:v>
      </x:c>
      <x:c r="G74" s="54" t="n">
        <x:v>46220</x:v>
      </x:c>
      <x:c r="H74" s="14" t="str">
        <x:f>IF(E74&lt;0,"Componente negativo — manter e investigar","OK")</x:f>
        <x:v>OK</x:v>
      </x:c>
    </x:row>
    <x:row r="75">
      <x:c r="A75" s="51" t="n">
        <x:v>38231</x:v>
      </x:c>
      <x:c r="B75" s="14" t="str">
        <x:v>Centro-Oeste</x:v>
      </x:c>
      <x:c r="C75" s="14" t="str">
        <x:v>SUDESTE / CENTRO - OESTE</x:v>
      </x:c>
      <x:c r="D75" s="53" t="str">
        <x:v>Cativo</x:v>
      </x:c>
      <x:c r="E75" s="49" t="n">
        <x:v>506031.837</x:v>
      </x:c>
      <x:c r="F75" s="52" t="n">
        <x:v>3252638</x:v>
      </x:c>
      <x:c r="G75" s="54" t="n">
        <x:v>46220</x:v>
      </x:c>
      <x:c r="H75" s="14" t="str">
        <x:f>IF(E75&lt;0,"Componente negativo — manter e investigar","OK")</x:f>
        <x:v>OK</x:v>
      </x:c>
    </x:row>
    <x:row r="76">
      <x:c r="A76" s="51" t="n">
        <x:v>38231</x:v>
      </x:c>
      <x:c r="B76" s="14" t="str">
        <x:v>Nordeste</x:v>
      </x:c>
      <x:c r="C76" s="14" t="str">
        <x:v>NORDESTE</x:v>
      </x:c>
      <x:c r="D76" s="53" t="str">
        <x:v>Cativo</x:v>
      </x:c>
      <x:c r="E76" s="49" t="n">
        <x:v>949753.153</x:v>
      </x:c>
      <x:c r="F76" s="52" t="n">
        <x:v>10171548</x:v>
      </x:c>
      <x:c r="G76" s="54" t="n">
        <x:v>46220</x:v>
      </x:c>
      <x:c r="H76" s="14" t="str">
        <x:f>IF(E76&lt;0,"Componente negativo — manter e investigar","OK")</x:f>
        <x:v>OK</x:v>
      </x:c>
    </x:row>
    <x:row r="77">
      <x:c r="A77" s="51" t="n">
        <x:v>38231</x:v>
      </x:c>
      <x:c r="B77" s="14" t="str">
        <x:v>Nordeste</x:v>
      </x:c>
      <x:c r="C77" s="14" t="str">
        <x:v>NORTE INTERLIGADO</x:v>
      </x:c>
      <x:c r="D77" s="53" t="str">
        <x:v>Cativo</x:v>
      </x:c>
      <x:c r="E77" s="49" t="n">
        <x:v>91340.417</x:v>
      </x:c>
      <x:c r="F77" s="52" t="n">
        <x:v>999517</x:v>
      </x:c>
      <x:c r="G77" s="54" t="n">
        <x:v>46220</x:v>
      </x:c>
      <x:c r="H77" s="14" t="str">
        <x:f>IF(E77&lt;0,"Componente negativo — manter e investigar","OK")</x:f>
        <x:v>OK</x:v>
      </x:c>
    </x:row>
    <x:row r="78">
      <x:c r="A78" s="51" t="n">
        <x:v>38231</x:v>
      </x:c>
      <x:c r="B78" s="14" t="str">
        <x:v>Nordeste</x:v>
      </x:c>
      <x:c r="C78" s="14" t="str">
        <x:v>SISTEMAS ISOLADOS</x:v>
      </x:c>
      <x:c r="D78" s="53" t="str">
        <x:v>Cativo</x:v>
      </x:c>
      <x:c r="E78" s="49" t="n">
        <x:v>148.861</x:v>
      </x:c>
      <x:c r="F78" s="52" t="n">
        <x:v>601</x:v>
      </x:c>
      <x:c r="G78" s="54" t="n">
        <x:v>46220</x:v>
      </x:c>
      <x:c r="H78" s="14" t="str">
        <x:f>IF(E78&lt;0,"Componente negativo — manter e investigar","OK")</x:f>
        <x:v>OK</x:v>
      </x:c>
    </x:row>
    <x:row r="79">
      <x:c r="A79" s="51" t="n">
        <x:v>38231</x:v>
      </x:c>
      <x:c r="B79" s="14" t="str">
        <x:v>Norte</x:v>
      </x:c>
      <x:c r="C79" s="14" t="str">
        <x:v>NORTE INTERLIGADO</x:v>
      </x:c>
      <x:c r="D79" s="53" t="str">
        <x:v>Cativo</x:v>
      </x:c>
      <x:c r="E79" s="49" t="n">
        <x:v>162056.552</x:v>
      </x:c>
      <x:c r="F79" s="52" t="n">
        <x:v>1254807</x:v>
      </x:c>
      <x:c r="G79" s="54" t="n">
        <x:v>46220</x:v>
      </x:c>
      <x:c r="H79" s="14" t="str">
        <x:f>IF(E79&lt;0,"Componente negativo — manter e investigar","OK")</x:f>
        <x:v>OK</x:v>
      </x:c>
    </x:row>
    <x:row r="80">
      <x:c r="A80" s="51" t="n">
        <x:v>38231</x:v>
      </x:c>
      <x:c r="B80" s="14" t="str">
        <x:v>Norte</x:v>
      </x:c>
      <x:c r="C80" s="14" t="str">
        <x:v>SISTEMAS ISOLADOS</x:v>
      </x:c>
      <x:c r="D80" s="53" t="str">
        <x:v>Cativo</x:v>
      </x:c>
      <x:c r="E80" s="49" t="n">
        <x:v>189402.712</x:v>
      </x:c>
      <x:c r="F80" s="52" t="n">
        <x:v>1117712</x:v>
      </x:c>
      <x:c r="G80" s="54" t="n">
        <x:v>46220</x:v>
      </x:c>
      <x:c r="H80" s="14" t="str">
        <x:f>IF(E80&lt;0,"Componente negativo — manter e investigar","OK")</x:f>
        <x:v>OK</x:v>
      </x:c>
    </x:row>
    <x:row r="81">
      <x:c r="A81" s="51" t="n">
        <x:v>38231</x:v>
      </x:c>
      <x:c r="B81" s="14" t="str">
        <x:v>Sudeste</x:v>
      </x:c>
      <x:c r="C81" s="14" t="str">
        <x:v>SUDESTE / CENTRO - OESTE</x:v>
      </x:c>
      <x:c r="D81" s="53" t="str">
        <x:v>Cativo</x:v>
      </x:c>
      <x:c r="E81" s="49" t="n">
        <x:v>3596160.1879999996</x:v>
      </x:c>
      <x:c r="F81" s="52" t="n">
        <x:v>22720074</x:v>
      </x:c>
      <x:c r="G81" s="54" t="n">
        <x:v>46220</x:v>
      </x:c>
      <x:c r="H81" s="14" t="str">
        <x:f>IF(E81&lt;0,"Componente negativo — manter e investigar","OK")</x:f>
        <x:v>OK</x:v>
      </x:c>
    </x:row>
    <x:row r="82">
      <x:c r="A82" s="51" t="n">
        <x:v>38231</x:v>
      </x:c>
      <x:c r="B82" s="14" t="str">
        <x:v>Sul</x:v>
      </x:c>
      <x:c r="C82" s="14" t="str">
        <x:v>SUL</x:v>
      </x:c>
      <x:c r="D82" s="53" t="str">
        <x:v>Cativo</x:v>
      </x:c>
      <x:c r="E82" s="49" t="n">
        <x:v>1100557.261</x:v>
      </x:c>
      <x:c r="F82" s="52" t="n">
        <x:v>6872403</x:v>
      </x:c>
      <x:c r="G82" s="54" t="n">
        <x:v>46220</x:v>
      </x:c>
      <x:c r="H82" s="14" t="str">
        <x:f>IF(E82&lt;0,"Componente negativo — manter e investigar","OK")</x:f>
        <x:v>OK</x:v>
      </x:c>
    </x:row>
    <x:row r="83">
      <x:c r="A83" s="51" t="n">
        <x:v>38261</x:v>
      </x:c>
      <x:c r="B83" s="14" t="str">
        <x:v>Centro-Oeste</x:v>
      </x:c>
      <x:c r="C83" s="14" t="str">
        <x:v>SISTEMAS ISOLADOS</x:v>
      </x:c>
      <x:c r="D83" s="53" t="str">
        <x:v>Cativo</x:v>
      </x:c>
      <x:c r="E83" s="49" t="n">
        <x:v>9272.414</x:v>
      </x:c>
      <x:c r="F83" s="52" t="n">
        <x:v>55346</x:v>
      </x:c>
      <x:c r="G83" s="54" t="n">
        <x:v>46220</x:v>
      </x:c>
      <x:c r="H83" s="14" t="str">
        <x:f>IF(E83&lt;0,"Componente negativo — manter e investigar","OK")</x:f>
        <x:v>OK</x:v>
      </x:c>
    </x:row>
    <x:row r="84">
      <x:c r="A84" s="51" t="n">
        <x:v>38261</x:v>
      </x:c>
      <x:c r="B84" s="14" t="str">
        <x:v>Centro-Oeste</x:v>
      </x:c>
      <x:c r="C84" s="14" t="str">
        <x:v>SUDESTE / CENTRO - OESTE</x:v>
      </x:c>
      <x:c r="D84" s="53" t="str">
        <x:v>Cativo</x:v>
      </x:c>
      <x:c r="E84" s="49" t="n">
        <x:v>520177.67</x:v>
      </x:c>
      <x:c r="F84" s="52" t="n">
        <x:v>3265078</x:v>
      </x:c>
      <x:c r="G84" s="54" t="n">
        <x:v>46220</x:v>
      </x:c>
      <x:c r="H84" s="14" t="str">
        <x:f>IF(E84&lt;0,"Componente negativo — manter e investigar","OK")</x:f>
        <x:v>OK</x:v>
      </x:c>
    </x:row>
    <x:row r="85">
      <x:c r="A85" s="51" t="n">
        <x:v>38261</x:v>
      </x:c>
      <x:c r="B85" s="14" t="str">
        <x:v>Nordeste</x:v>
      </x:c>
      <x:c r="C85" s="14" t="str">
        <x:v>NORDESTE</x:v>
      </x:c>
      <x:c r="D85" s="53" t="str">
        <x:v>Cativo</x:v>
      </x:c>
      <x:c r="E85" s="49" t="n">
        <x:v>956482.729</x:v>
      </x:c>
      <x:c r="F85" s="52" t="n">
        <x:v>10232152</x:v>
      </x:c>
      <x:c r="G85" s="54" t="n">
        <x:v>46220</x:v>
      </x:c>
      <x:c r="H85" s="14" t="str">
        <x:f>IF(E85&lt;0,"Componente negativo — manter e investigar","OK")</x:f>
        <x:v>OK</x:v>
      </x:c>
    </x:row>
    <x:row r="86">
      <x:c r="A86" s="51" t="n">
        <x:v>38261</x:v>
      </x:c>
      <x:c r="B86" s="14" t="str">
        <x:v>Nordeste</x:v>
      </x:c>
      <x:c r="C86" s="14" t="str">
        <x:v>NORTE INTERLIGADO</x:v>
      </x:c>
      <x:c r="D86" s="53" t="str">
        <x:v>Cativo</x:v>
      </x:c>
      <x:c r="E86" s="49" t="n">
        <x:v>89630.517</x:v>
      </x:c>
      <x:c r="F86" s="52" t="n">
        <x:v>1001176</x:v>
      </x:c>
      <x:c r="G86" s="54" t="n">
        <x:v>46220</x:v>
      </x:c>
      <x:c r="H86" s="14" t="str">
        <x:f>IF(E86&lt;0,"Componente negativo — manter e investigar","OK")</x:f>
        <x:v>OK</x:v>
      </x:c>
    </x:row>
    <x:row r="87">
      <x:c r="A87" s="51" t="n">
        <x:v>38261</x:v>
      </x:c>
      <x:c r="B87" s="14" t="str">
        <x:v>Nordeste</x:v>
      </x:c>
      <x:c r="C87" s="14" t="str">
        <x:v>SISTEMAS ISOLADOS</x:v>
      </x:c>
      <x:c r="D87" s="53" t="str">
        <x:v>Cativo</x:v>
      </x:c>
      <x:c r="E87" s="49" t="n">
        <x:v>135.639</x:v>
      </x:c>
      <x:c r="F87" s="52" t="n">
        <x:v>630</x:v>
      </x:c>
      <x:c r="G87" s="54" t="n">
        <x:v>46220</x:v>
      </x:c>
      <x:c r="H87" s="14" t="str">
        <x:f>IF(E87&lt;0,"Componente negativo — manter e investigar","OK")</x:f>
        <x:v>OK</x:v>
      </x:c>
    </x:row>
    <x:row r="88">
      <x:c r="A88" s="51" t="n">
        <x:v>38261</x:v>
      </x:c>
      <x:c r="B88" s="14" t="str">
        <x:v>Norte</x:v>
      </x:c>
      <x:c r="C88" s="14" t="str">
        <x:v>NORTE INTERLIGADO</x:v>
      </x:c>
      <x:c r="D88" s="53" t="str">
        <x:v>Cativo</x:v>
      </x:c>
      <x:c r="E88" s="49" t="n">
        <x:v>161378.422</x:v>
      </x:c>
      <x:c r="F88" s="52" t="n">
        <x:v>1260317</x:v>
      </x:c>
      <x:c r="G88" s="54" t="n">
        <x:v>46220</x:v>
      </x:c>
      <x:c r="H88" s="14" t="str">
        <x:f>IF(E88&lt;0,"Componente negativo — manter e investigar","OK")</x:f>
        <x:v>OK</x:v>
      </x:c>
    </x:row>
    <x:row r="89">
      <x:c r="A89" s="51" t="n">
        <x:v>38261</x:v>
      </x:c>
      <x:c r="B89" s="14" t="str">
        <x:v>Norte</x:v>
      </x:c>
      <x:c r="C89" s="14" t="str">
        <x:v>SISTEMAS ISOLADOS</x:v>
      </x:c>
      <x:c r="D89" s="53" t="str">
        <x:v>Cativo</x:v>
      </x:c>
      <x:c r="E89" s="49" t="n">
        <x:v>191828.204</x:v>
      </x:c>
      <x:c r="F89" s="52" t="n">
        <x:v>1123481</x:v>
      </x:c>
      <x:c r="G89" s="54" t="n">
        <x:v>46220</x:v>
      </x:c>
      <x:c r="H89" s="14" t="str">
        <x:f>IF(E89&lt;0,"Componente negativo — manter e investigar","OK")</x:f>
        <x:v>OK</x:v>
      </x:c>
    </x:row>
    <x:row r="90">
      <x:c r="A90" s="51" t="n">
        <x:v>38261</x:v>
      </x:c>
      <x:c r="B90" s="14" t="str">
        <x:v>Sudeste</x:v>
      </x:c>
      <x:c r="C90" s="14" t="str">
        <x:v>SUDESTE / CENTRO - OESTE</x:v>
      </x:c>
      <x:c r="D90" s="53" t="str">
        <x:v>Cativo</x:v>
      </x:c>
      <x:c r="E90" s="49" t="n">
        <x:v>3608129.944</x:v>
      </x:c>
      <x:c r="F90" s="52" t="n">
        <x:v>22981214</x:v>
      </x:c>
      <x:c r="G90" s="54" t="n">
        <x:v>46220</x:v>
      </x:c>
      <x:c r="H90" s="14" t="str">
        <x:f>IF(E90&lt;0,"Componente negativo — manter e investigar","OK")</x:f>
        <x:v>OK</x:v>
      </x:c>
    </x:row>
    <x:row r="91">
      <x:c r="A91" s="51" t="n">
        <x:v>38261</x:v>
      </x:c>
      <x:c r="B91" s="14" t="str">
        <x:v>Sul</x:v>
      </x:c>
      <x:c r="C91" s="14" t="str">
        <x:v>SUL</x:v>
      </x:c>
      <x:c r="D91" s="53" t="str">
        <x:v>Cativo</x:v>
      </x:c>
      <x:c r="E91" s="49" t="n">
        <x:v>1069478.321</x:v>
      </x:c>
      <x:c r="F91" s="52" t="n">
        <x:v>6888246</x:v>
      </x:c>
      <x:c r="G91" s="54" t="n">
        <x:v>46220</x:v>
      </x:c>
      <x:c r="H91" s="14" t="str">
        <x:f>IF(E91&lt;0,"Componente negativo — manter e investigar","OK")</x:f>
        <x:v>OK</x:v>
      </x:c>
    </x:row>
    <x:row r="92">
      <x:c r="A92" s="51" t="n">
        <x:v>38292</x:v>
      </x:c>
      <x:c r="B92" s="14" t="str">
        <x:v>Centro-Oeste</x:v>
      </x:c>
      <x:c r="C92" s="14" t="str">
        <x:v>SISTEMAS ISOLADOS</x:v>
      </x:c>
      <x:c r="D92" s="53" t="str">
        <x:v>Cativo</x:v>
      </x:c>
      <x:c r="E92" s="49" t="n">
        <x:v>9234.451</x:v>
      </x:c>
      <x:c r="F92" s="52" t="n">
        <x:v>55899</x:v>
      </x:c>
      <x:c r="G92" s="54" t="n">
        <x:v>46220</x:v>
      </x:c>
      <x:c r="H92" s="14" t="str">
        <x:f>IF(E92&lt;0,"Componente negativo — manter e investigar","OK")</x:f>
        <x:v>OK</x:v>
      </x:c>
    </x:row>
    <x:row r="93">
      <x:c r="A93" s="51" t="n">
        <x:v>38292</x:v>
      </x:c>
      <x:c r="B93" s="14" t="str">
        <x:v>Centro-Oeste</x:v>
      </x:c>
      <x:c r="C93" s="14" t="str">
        <x:v>SUDESTE / CENTRO - OESTE</x:v>
      </x:c>
      <x:c r="D93" s="53" t="str">
        <x:v>Cativo</x:v>
      </x:c>
      <x:c r="E93" s="49" t="n">
        <x:v>496459.925</x:v>
      </x:c>
      <x:c r="F93" s="52" t="n">
        <x:v>3279354</x:v>
      </x:c>
      <x:c r="G93" s="54" t="n">
        <x:v>46220</x:v>
      </x:c>
      <x:c r="H93" s="14" t="str">
        <x:f>IF(E93&lt;0,"Componente negativo — manter e investigar","OK")</x:f>
        <x:v>OK</x:v>
      </x:c>
    </x:row>
    <x:row r="94">
      <x:c r="A94" s="51" t="n">
        <x:v>38292</x:v>
      </x:c>
      <x:c r="B94" s="14" t="str">
        <x:v>Nordeste</x:v>
      </x:c>
      <x:c r="C94" s="14" t="str">
        <x:v>NORDESTE</x:v>
      </x:c>
      <x:c r="D94" s="53" t="str">
        <x:v>Cativo</x:v>
      </x:c>
      <x:c r="E94" s="49" t="n">
        <x:v>993362.873</x:v>
      </x:c>
      <x:c r="F94" s="52" t="n">
        <x:v>10284605</x:v>
      </x:c>
      <x:c r="G94" s="54" t="n">
        <x:v>46220</x:v>
      </x:c>
      <x:c r="H94" s="14" t="str">
        <x:f>IF(E94&lt;0,"Componente negativo — manter e investigar","OK")</x:f>
        <x:v>OK</x:v>
      </x:c>
    </x:row>
    <x:row r="95">
      <x:c r="A95" s="51" t="n">
        <x:v>38292</x:v>
      </x:c>
      <x:c r="B95" s="14" t="str">
        <x:v>Nordeste</x:v>
      </x:c>
      <x:c r="C95" s="14" t="str">
        <x:v>NORTE INTERLIGADO</x:v>
      </x:c>
      <x:c r="D95" s="53" t="str">
        <x:v>Cativo</x:v>
      </x:c>
      <x:c r="E95" s="49" t="n">
        <x:v>89694.927</x:v>
      </x:c>
      <x:c r="F95" s="52" t="n">
        <x:v>1003519</x:v>
      </x:c>
      <x:c r="G95" s="54" t="n">
        <x:v>46220</x:v>
      </x:c>
      <x:c r="H95" s="14" t="str">
        <x:f>IF(E95&lt;0,"Componente negativo — manter e investigar","OK")</x:f>
        <x:v>OK</x:v>
      </x:c>
    </x:row>
    <x:row r="96">
      <x:c r="A96" s="51" t="n">
        <x:v>38292</x:v>
      </x:c>
      <x:c r="B96" s="14" t="str">
        <x:v>Nordeste</x:v>
      </x:c>
      <x:c r="C96" s="14" t="str">
        <x:v>SISTEMAS ISOLADOS</x:v>
      </x:c>
      <x:c r="D96" s="53" t="str">
        <x:v>Cativo</x:v>
      </x:c>
      <x:c r="E96" s="49" t="n">
        <x:v>153.807</x:v>
      </x:c>
      <x:c r="F96" s="52" t="n">
        <x:v>914</x:v>
      </x:c>
      <x:c r="G96" s="54" t="n">
        <x:v>46220</x:v>
      </x:c>
      <x:c r="H96" s="14" t="str">
        <x:f>IF(E96&lt;0,"Componente negativo — manter e investigar","OK")</x:f>
        <x:v>OK</x:v>
      </x:c>
    </x:row>
    <x:row r="97">
      <x:c r="A97" s="51" t="n">
        <x:v>38292</x:v>
      </x:c>
      <x:c r="B97" s="14" t="str">
        <x:v>Norte</x:v>
      </x:c>
      <x:c r="C97" s="14" t="str">
        <x:v>NORTE INTERLIGADO</x:v>
      </x:c>
      <x:c r="D97" s="53" t="str">
        <x:v>Cativo</x:v>
      </x:c>
      <x:c r="E97" s="49" t="n">
        <x:v>166346.386</x:v>
      </x:c>
      <x:c r="F97" s="52" t="n">
        <x:v>1268515</x:v>
      </x:c>
      <x:c r="G97" s="54" t="n">
        <x:v>46220</x:v>
      </x:c>
      <x:c r="H97" s="14" t="str">
        <x:f>IF(E97&lt;0,"Componente negativo — manter e investigar","OK")</x:f>
        <x:v>OK</x:v>
      </x:c>
    </x:row>
    <x:row r="98">
      <x:c r="A98" s="51" t="n">
        <x:v>38292</x:v>
      </x:c>
      <x:c r="B98" s="14" t="str">
        <x:v>Norte</x:v>
      </x:c>
      <x:c r="C98" s="14" t="str">
        <x:v>SISTEMAS ISOLADOS</x:v>
      </x:c>
      <x:c r="D98" s="53" t="str">
        <x:v>Cativo</x:v>
      </x:c>
      <x:c r="E98" s="49" t="n">
        <x:v>195932.947</x:v>
      </x:c>
      <x:c r="F98" s="52" t="n">
        <x:v>1129403</x:v>
      </x:c>
      <x:c r="G98" s="54" t="n">
        <x:v>46220</x:v>
      </x:c>
      <x:c r="H98" s="14" t="str">
        <x:f>IF(E98&lt;0,"Componente negativo — manter e investigar","OK")</x:f>
        <x:v>OK</x:v>
      </x:c>
    </x:row>
    <x:row r="99">
      <x:c r="A99" s="51" t="n">
        <x:v>38292</x:v>
      </x:c>
      <x:c r="B99" s="14" t="str">
        <x:v>Sudeste</x:v>
      </x:c>
      <x:c r="C99" s="14" t="str">
        <x:v>SUDESTE / CENTRO - OESTE</x:v>
      </x:c>
      <x:c r="D99" s="53" t="str">
        <x:v>Cativo</x:v>
      </x:c>
      <x:c r="E99" s="49" t="n">
        <x:v>3608514.949</x:v>
      </x:c>
      <x:c r="F99" s="52" t="n">
        <x:v>22822663</x:v>
      </x:c>
      <x:c r="G99" s="54" t="n">
        <x:v>46220</x:v>
      </x:c>
      <x:c r="H99" s="14" t="str">
        <x:f>IF(E99&lt;0,"Componente negativo — manter e investigar","OK")</x:f>
        <x:v>OK</x:v>
      </x:c>
    </x:row>
    <x:row r="100">
      <x:c r="A100" s="51" t="n">
        <x:v>38292</x:v>
      </x:c>
      <x:c r="B100" s="14" t="str">
        <x:v>Sul</x:v>
      </x:c>
      <x:c r="C100" s="14" t="str">
        <x:v>SUL</x:v>
      </x:c>
      <x:c r="D100" s="53" t="str">
        <x:v>Cativo</x:v>
      </x:c>
      <x:c r="E100" s="49" t="n">
        <x:v>1071489.898</x:v>
      </x:c>
      <x:c r="F100" s="52" t="n">
        <x:v>6905108</x:v>
      </x:c>
      <x:c r="G100" s="54" t="n">
        <x:v>46220</x:v>
      </x:c>
      <x:c r="H100" s="14" t="str">
        <x:f>IF(E100&lt;0,"Componente negativo — manter e investigar","OK")</x:f>
        <x:v>OK</x:v>
      </x:c>
    </x:row>
    <x:row r="101">
      <x:c r="A101" s="51" t="n">
        <x:v>38322</x:v>
      </x:c>
      <x:c r="B101" s="14" t="str">
        <x:v>Centro-Oeste</x:v>
      </x:c>
      <x:c r="C101" s="14" t="str">
        <x:v>SISTEMAS ISOLADOS</x:v>
      </x:c>
      <x:c r="D101" s="53" t="str">
        <x:v>Cativo</x:v>
      </x:c>
      <x:c r="E101" s="49" t="n">
        <x:v>9170.676</x:v>
      </x:c>
      <x:c r="F101" s="52" t="n">
        <x:v>56602</x:v>
      </x:c>
      <x:c r="G101" s="54" t="n">
        <x:v>46220</x:v>
      </x:c>
      <x:c r="H101" s="14" t="str">
        <x:f>IF(E101&lt;0,"Componente negativo — manter e investigar","OK")</x:f>
        <x:v>OK</x:v>
      </x:c>
    </x:row>
    <x:row r="102">
      <x:c r="A102" s="51" t="n">
        <x:v>38322</x:v>
      </x:c>
      <x:c r="B102" s="14" t="str">
        <x:v>Centro-Oeste</x:v>
      </x:c>
      <x:c r="C102" s="14" t="str">
        <x:v>SUDESTE / CENTRO - OESTE</x:v>
      </x:c>
      <x:c r="D102" s="53" t="str">
        <x:v>Cativo</x:v>
      </x:c>
      <x:c r="E102" s="49" t="n">
        <x:v>504081.667</x:v>
      </x:c>
      <x:c r="F102" s="52" t="n">
        <x:v>3290836</x:v>
      </x:c>
      <x:c r="G102" s="54" t="n">
        <x:v>46220</x:v>
      </x:c>
      <x:c r="H102" s="14" t="str">
        <x:f>IF(E102&lt;0,"Componente negativo — manter e investigar","OK")</x:f>
        <x:v>OK</x:v>
      </x:c>
    </x:row>
    <x:row r="103">
      <x:c r="A103" s="51" t="n">
        <x:v>38322</x:v>
      </x:c>
      <x:c r="B103" s="14" t="str">
        <x:v>Nordeste</x:v>
      </x:c>
      <x:c r="C103" s="14" t="str">
        <x:v>NORDESTE</x:v>
      </x:c>
      <x:c r="D103" s="53" t="str">
        <x:v>Cativo</x:v>
      </x:c>
      <x:c r="E103" s="49" t="n">
        <x:v>1015897.661</x:v>
      </x:c>
      <x:c r="F103" s="52" t="n">
        <x:v>10310693</x:v>
      </x:c>
      <x:c r="G103" s="54" t="n">
        <x:v>46220</x:v>
      </x:c>
      <x:c r="H103" s="14" t="str">
        <x:f>IF(E103&lt;0,"Componente negativo — manter e investigar","OK")</x:f>
        <x:v>OK</x:v>
      </x:c>
    </x:row>
    <x:row r="104">
      <x:c r="A104" s="51" t="n">
        <x:v>38322</x:v>
      </x:c>
      <x:c r="B104" s="14" t="str">
        <x:v>Nordeste</x:v>
      </x:c>
      <x:c r="C104" s="14" t="str">
        <x:v>NORTE INTERLIGADO</x:v>
      </x:c>
      <x:c r="D104" s="53" t="str">
        <x:v>Cativo</x:v>
      </x:c>
      <x:c r="E104" s="49" t="n">
        <x:v>88148.7</x:v>
      </x:c>
      <x:c r="F104" s="52" t="n">
        <x:v>1005244</x:v>
      </x:c>
      <x:c r="G104" s="54" t="n">
        <x:v>46220</x:v>
      </x:c>
      <x:c r="H104" s="14" t="str">
        <x:f>IF(E104&lt;0,"Componente negativo — manter e investigar","OK")</x:f>
        <x:v>OK</x:v>
      </x:c>
    </x:row>
    <x:row r="105">
      <x:c r="A105" s="51" t="n">
        <x:v>38322</x:v>
      </x:c>
      <x:c r="B105" s="14" t="str">
        <x:v>Nordeste</x:v>
      </x:c>
      <x:c r="C105" s="14" t="str">
        <x:v>SISTEMAS ISOLADOS</x:v>
      </x:c>
      <x:c r="D105" s="53" t="str">
        <x:v>Cativo</x:v>
      </x:c>
      <x:c r="E105" s="49" t="n">
        <x:v>173.827</x:v>
      </x:c>
      <x:c r="F105" s="52" t="n">
        <x:v>921</x:v>
      </x:c>
      <x:c r="G105" s="54" t="n">
        <x:v>46220</x:v>
      </x:c>
      <x:c r="H105" s="14" t="str">
        <x:f>IF(E105&lt;0,"Componente negativo — manter e investigar","OK")</x:f>
        <x:v>OK</x:v>
      </x:c>
    </x:row>
    <x:row r="106">
      <x:c r="A106" s="51" t="n">
        <x:v>38322</x:v>
      </x:c>
      <x:c r="B106" s="14" t="str">
        <x:v>Norte</x:v>
      </x:c>
      <x:c r="C106" s="14" t="str">
        <x:v>NORTE INTERLIGADO</x:v>
      </x:c>
      <x:c r="D106" s="53" t="str">
        <x:v>Cativo</x:v>
      </x:c>
      <x:c r="E106" s="49" t="n">
        <x:v>165189.472</x:v>
      </x:c>
      <x:c r="F106" s="52" t="n">
        <x:v>1276479</x:v>
      </x:c>
      <x:c r="G106" s="54" t="n">
        <x:v>46220</x:v>
      </x:c>
      <x:c r="H106" s="14" t="str">
        <x:f>IF(E106&lt;0,"Componente negativo — manter e investigar","OK")</x:f>
        <x:v>OK</x:v>
      </x:c>
    </x:row>
    <x:row r="107">
      <x:c r="A107" s="51" t="n">
        <x:v>38322</x:v>
      </x:c>
      <x:c r="B107" s="14" t="str">
        <x:v>Norte</x:v>
      </x:c>
      <x:c r="C107" s="14" t="str">
        <x:v>SISTEMAS ISOLADOS</x:v>
      </x:c>
      <x:c r="D107" s="53" t="str">
        <x:v>Cativo</x:v>
      </x:c>
      <x:c r="E107" s="49" t="n">
        <x:v>190704.199</x:v>
      </x:c>
      <x:c r="F107" s="52" t="n">
        <x:v>1127956</x:v>
      </x:c>
      <x:c r="G107" s="54" t="n">
        <x:v>46220</x:v>
      </x:c>
      <x:c r="H107" s="14" t="str">
        <x:f>IF(E107&lt;0,"Componente negativo — manter e investigar","OK")</x:f>
        <x:v>OK</x:v>
      </x:c>
    </x:row>
    <x:row r="108">
      <x:c r="A108" s="51" t="n">
        <x:v>38322</x:v>
      </x:c>
      <x:c r="B108" s="14" t="str">
        <x:v>Sudeste</x:v>
      </x:c>
      <x:c r="C108" s="14" t="str">
        <x:v>SUDESTE / CENTRO - OESTE</x:v>
      </x:c>
      <x:c r="D108" s="53" t="str">
        <x:v>Cativo</x:v>
      </x:c>
      <x:c r="E108" s="49" t="n">
        <x:v>3569437.883</x:v>
      </x:c>
      <x:c r="F108" s="52" t="n">
        <x:v>22857176</x:v>
      </x:c>
      <x:c r="G108" s="54" t="n">
        <x:v>46220</x:v>
      </x:c>
      <x:c r="H108" s="14" t="str">
        <x:f>IF(E108&lt;0,"Componente negativo — manter e investigar","OK")</x:f>
        <x:v>OK</x:v>
      </x:c>
    </x:row>
    <x:row r="109">
      <x:c r="A109" s="51" t="n">
        <x:v>38322</x:v>
      </x:c>
      <x:c r="B109" s="14" t="str">
        <x:v>Sul</x:v>
      </x:c>
      <x:c r="C109" s="14" t="str">
        <x:v>SUL</x:v>
      </x:c>
      <x:c r="D109" s="53" t="str">
        <x:v>Cativo</x:v>
      </x:c>
      <x:c r="E109" s="49" t="n">
        <x:v>1100567.1099999999</x:v>
      </x:c>
      <x:c r="F109" s="52" t="n">
        <x:v>6922896</x:v>
      </x:c>
      <x:c r="G109" s="54" t="n">
        <x:v>46220</x:v>
      </x:c>
      <x:c r="H109" s="14" t="str">
        <x:f>IF(E109&lt;0,"Componente negativo — manter e investigar","OK")</x:f>
        <x:v>OK</x:v>
      </x:c>
    </x:row>
    <x:row r="110">
      <x:c r="A110" s="51" t="n">
        <x:v>38353</x:v>
      </x:c>
      <x:c r="B110" s="14" t="str">
        <x:v>Centro-Oeste</x:v>
      </x:c>
      <x:c r="C110" s="14" t="str">
        <x:v>SISTEMAS ISOLADOS</x:v>
      </x:c>
      <x:c r="D110" s="53" t="str">
        <x:v>Cativo</x:v>
      </x:c>
      <x:c r="E110" s="49" t="n">
        <x:v>9109.448</x:v>
      </x:c>
      <x:c r="F110" s="52" t="n">
        <x:v>57274</x:v>
      </x:c>
      <x:c r="G110" s="54" t="n">
        <x:v>46220</x:v>
      </x:c>
      <x:c r="H110" s="14" t="str">
        <x:f>IF(E110&lt;0,"Componente negativo — manter e investigar","OK")</x:f>
        <x:v>OK</x:v>
      </x:c>
    </x:row>
    <x:row r="111">
      <x:c r="A111" s="51" t="n">
        <x:v>38353</x:v>
      </x:c>
      <x:c r="B111" s="14" t="str">
        <x:v>Centro-Oeste</x:v>
      </x:c>
      <x:c r="C111" s="14" t="str">
        <x:v>SUDESTE / CENTRO - OESTE</x:v>
      </x:c>
      <x:c r="D111" s="53" t="str">
        <x:v>Cativo</x:v>
      </x:c>
      <x:c r="E111" s="49" t="n">
        <x:v>517884.454</x:v>
      </x:c>
      <x:c r="F111" s="52" t="n">
        <x:v>3302137</x:v>
      </x:c>
      <x:c r="G111" s="54" t="n">
        <x:v>46220</x:v>
      </x:c>
      <x:c r="H111" s="14" t="str">
        <x:f>IF(E111&lt;0,"Componente negativo — manter e investigar","OK")</x:f>
        <x:v>OK</x:v>
      </x:c>
    </x:row>
    <x:row r="112">
      <x:c r="A112" s="51" t="n">
        <x:v>38353</x:v>
      </x:c>
      <x:c r="B112" s="14" t="str">
        <x:v>Nordeste</x:v>
      </x:c>
      <x:c r="C112" s="14" t="str">
        <x:v>NORDESTE</x:v>
      </x:c>
      <x:c r="D112" s="53" t="str">
        <x:v>Cativo</x:v>
      </x:c>
      <x:c r="E112" s="49" t="n">
        <x:v>1072097.273</x:v>
      </x:c>
      <x:c r="F112" s="52" t="n">
        <x:v>10371491</x:v>
      </x:c>
      <x:c r="G112" s="54" t="n">
        <x:v>46220</x:v>
      </x:c>
      <x:c r="H112" s="14" t="str">
        <x:f>IF(E112&lt;0,"Componente negativo — manter e investigar","OK")</x:f>
        <x:v>OK</x:v>
      </x:c>
    </x:row>
    <x:row r="113">
      <x:c r="A113" s="51" t="n">
        <x:v>38353</x:v>
      </x:c>
      <x:c r="B113" s="14" t="str">
        <x:v>Nordeste</x:v>
      </x:c>
      <x:c r="C113" s="14" t="str">
        <x:v>NORTE INTERLIGADO</x:v>
      </x:c>
      <x:c r="D113" s="53" t="str">
        <x:v>Cativo</x:v>
      </x:c>
      <x:c r="E113" s="49" t="n">
        <x:v>94707.495</x:v>
      </x:c>
      <x:c r="F113" s="52" t="n">
        <x:v>1011140</x:v>
      </x:c>
      <x:c r="G113" s="54" t="n">
        <x:v>46220</x:v>
      </x:c>
      <x:c r="H113" s="14" t="str">
        <x:f>IF(E113&lt;0,"Componente negativo — manter e investigar","OK")</x:f>
        <x:v>OK</x:v>
      </x:c>
    </x:row>
    <x:row r="114">
      <x:c r="A114" s="51" t="n">
        <x:v>38353</x:v>
      </x:c>
      <x:c r="B114" s="14" t="str">
        <x:v>Nordeste</x:v>
      </x:c>
      <x:c r="C114" s="14" t="str">
        <x:v>SISTEMAS ISOLADOS</x:v>
      </x:c>
      <x:c r="D114" s="53" t="str">
        <x:v>Cativo</x:v>
      </x:c>
      <x:c r="E114" s="49" t="n">
        <x:v>169.422</x:v>
      </x:c>
      <x:c r="F114" s="52" t="n">
        <x:v>923</x:v>
      </x:c>
      <x:c r="G114" s="54" t="n">
        <x:v>46220</x:v>
      </x:c>
      <x:c r="H114" s="14" t="str">
        <x:f>IF(E114&lt;0,"Componente negativo — manter e investigar","OK")</x:f>
        <x:v>OK</x:v>
      </x:c>
    </x:row>
    <x:row r="115">
      <x:c r="A115" s="51" t="n">
        <x:v>38353</x:v>
      </x:c>
      <x:c r="B115" s="14" t="str">
        <x:v>Norte</x:v>
      </x:c>
      <x:c r="C115" s="14" t="str">
        <x:v>NORTE INTERLIGADO</x:v>
      </x:c>
      <x:c r="D115" s="53" t="str">
        <x:v>Cativo</x:v>
      </x:c>
      <x:c r="E115" s="49" t="n">
        <x:v>164693.012</x:v>
      </x:c>
      <x:c r="F115" s="52" t="n">
        <x:v>1284719</x:v>
      </x:c>
      <x:c r="G115" s="54" t="n">
        <x:v>46220</x:v>
      </x:c>
      <x:c r="H115" s="14" t="str">
        <x:f>IF(E115&lt;0,"Componente negativo — manter e investigar","OK")</x:f>
        <x:v>OK</x:v>
      </x:c>
    </x:row>
    <x:row r="116">
      <x:c r="A116" s="51" t="n">
        <x:v>38353</x:v>
      </x:c>
      <x:c r="B116" s="14" t="str">
        <x:v>Norte</x:v>
      </x:c>
      <x:c r="C116" s="14" t="str">
        <x:v>SISTEMAS ISOLADOS</x:v>
      </x:c>
      <x:c r="D116" s="53" t="str">
        <x:v>Cativo</x:v>
      </x:c>
      <x:c r="E116" s="49" t="n">
        <x:v>191266.646</x:v>
      </x:c>
      <x:c r="F116" s="52" t="n">
        <x:v>1138044</x:v>
      </x:c>
      <x:c r="G116" s="54" t="n">
        <x:v>46220</x:v>
      </x:c>
      <x:c r="H116" s="14" t="str">
        <x:f>IF(E116&lt;0,"Componente negativo — manter e investigar","OK")</x:f>
        <x:v>OK</x:v>
      </x:c>
    </x:row>
    <x:row r="117">
      <x:c r="A117" s="51" t="n">
        <x:v>38353</x:v>
      </x:c>
      <x:c r="B117" s="14" t="str">
        <x:v>Sudeste</x:v>
      </x:c>
      <x:c r="C117" s="14" t="str">
        <x:v>SUDESTE / CENTRO - OESTE</x:v>
      </x:c>
      <x:c r="D117" s="53" t="str">
        <x:v>Cativo</x:v>
      </x:c>
      <x:c r="E117" s="49" t="n">
        <x:v>3873894.269</x:v>
      </x:c>
      <x:c r="F117" s="52" t="n">
        <x:v>23175138</x:v>
      </x:c>
      <x:c r="G117" s="54" t="n">
        <x:v>46220</x:v>
      </x:c>
      <x:c r="H117" s="14" t="str">
        <x:f>IF(E117&lt;0,"Componente negativo — manter e investigar","OK")</x:f>
        <x:v>OK</x:v>
      </x:c>
    </x:row>
    <x:row r="118">
      <x:c r="A118" s="51" t="n">
        <x:v>38353</x:v>
      </x:c>
      <x:c r="B118" s="14" t="str">
        <x:v>Sul</x:v>
      </x:c>
      <x:c r="C118" s="14" t="str">
        <x:v>SUL</x:v>
      </x:c>
      <x:c r="D118" s="53" t="str">
        <x:v>Cativo</x:v>
      </x:c>
      <x:c r="E118" s="49" t="n">
        <x:v>1194715.764</x:v>
      </x:c>
      <x:c r="F118" s="52" t="n">
        <x:v>6969976</x:v>
      </x:c>
      <x:c r="G118" s="54" t="n">
        <x:v>46220</x:v>
      </x:c>
      <x:c r="H118" s="14" t="str">
        <x:f>IF(E118&lt;0,"Componente negativo — manter e investigar","OK")</x:f>
        <x:v>OK</x:v>
      </x:c>
    </x:row>
    <x:row r="119">
      <x:c r="A119" s="51" t="n">
        <x:v>38384</x:v>
      </x:c>
      <x:c r="B119" s="14" t="str">
        <x:v>Centro-Oeste</x:v>
      </x:c>
      <x:c r="C119" s="14" t="str">
        <x:v>SISTEMAS ISOLADOS</x:v>
      </x:c>
      <x:c r="D119" s="53" t="str">
        <x:v>Cativo</x:v>
      </x:c>
      <x:c r="E119" s="49" t="n">
        <x:v>8912.944</x:v>
      </x:c>
      <x:c r="F119" s="52" t="n">
        <x:v>57834</x:v>
      </x:c>
      <x:c r="G119" s="54" t="n">
        <x:v>46220</x:v>
      </x:c>
      <x:c r="H119" s="14" t="str">
        <x:f>IF(E119&lt;0,"Componente negativo — manter e investigar","OK")</x:f>
        <x:v>OK</x:v>
      </x:c>
    </x:row>
    <x:row r="120">
      <x:c r="A120" s="51" t="n">
        <x:v>38384</x:v>
      </x:c>
      <x:c r="B120" s="14" t="str">
        <x:v>Centro-Oeste</x:v>
      </x:c>
      <x:c r="C120" s="14" t="str">
        <x:v>SUDESTE / CENTRO - OESTE</x:v>
      </x:c>
      <x:c r="D120" s="53" t="str">
        <x:v>Cativo</x:v>
      </x:c>
      <x:c r="E120" s="49" t="n">
        <x:v>502174.299</x:v>
      </x:c>
      <x:c r="F120" s="52" t="n">
        <x:v>3306601</x:v>
      </x:c>
      <x:c r="G120" s="54" t="n">
        <x:v>46220</x:v>
      </x:c>
      <x:c r="H120" s="14" t="str">
        <x:f>IF(E120&lt;0,"Componente negativo — manter e investigar","OK")</x:f>
        <x:v>OK</x:v>
      </x:c>
    </x:row>
    <x:row r="121">
      <x:c r="A121" s="51" t="n">
        <x:v>38384</x:v>
      </x:c>
      <x:c r="B121" s="14" t="str">
        <x:v>Nordeste</x:v>
      </x:c>
      <x:c r="C121" s="14" t="str">
        <x:v>NORDESTE</x:v>
      </x:c>
      <x:c r="D121" s="53" t="str">
        <x:v>Cativo</x:v>
      </x:c>
      <x:c r="E121" s="49" t="n">
        <x:v>1044013.1159999999</x:v>
      </x:c>
      <x:c r="F121" s="52" t="n">
        <x:v>10374664</x:v>
      </x:c>
      <x:c r="G121" s="54" t="n">
        <x:v>46220</x:v>
      </x:c>
      <x:c r="H121" s="14" t="str">
        <x:f>IF(E121&lt;0,"Componente negativo — manter e investigar","OK")</x:f>
        <x:v>OK</x:v>
      </x:c>
    </x:row>
    <x:row r="122">
      <x:c r="A122" s="51" t="n">
        <x:v>38384</x:v>
      </x:c>
      <x:c r="B122" s="14" t="str">
        <x:v>Nordeste</x:v>
      </x:c>
      <x:c r="C122" s="14" t="str">
        <x:v>NORTE INTERLIGADO</x:v>
      </x:c>
      <x:c r="D122" s="53" t="str">
        <x:v>Cativo</x:v>
      </x:c>
      <x:c r="E122" s="49" t="n">
        <x:v>88274.867</x:v>
      </x:c>
      <x:c r="F122" s="52" t="n">
        <x:v>1015875</x:v>
      </x:c>
      <x:c r="G122" s="54" t="n">
        <x:v>46220</x:v>
      </x:c>
      <x:c r="H122" s="14" t="str">
        <x:f>IF(E122&lt;0,"Componente negativo — manter e investigar","OK")</x:f>
        <x:v>OK</x:v>
      </x:c>
    </x:row>
    <x:row r="123">
      <x:c r="A123" s="51" t="n">
        <x:v>38384</x:v>
      </x:c>
      <x:c r="B123" s="14" t="str">
        <x:v>Nordeste</x:v>
      </x:c>
      <x:c r="C123" s="14" t="str">
        <x:v>SISTEMAS ISOLADOS</x:v>
      </x:c>
      <x:c r="D123" s="53" t="str">
        <x:v>Cativo</x:v>
      </x:c>
      <x:c r="E123" s="49" t="n">
        <x:v>191.363</x:v>
      </x:c>
      <x:c r="F123" s="52" t="n">
        <x:v>907</x:v>
      </x:c>
      <x:c r="G123" s="54" t="n">
        <x:v>46220</x:v>
      </x:c>
      <x:c r="H123" s="14" t="str">
        <x:f>IF(E123&lt;0,"Componente negativo — manter e investigar","OK")</x:f>
        <x:v>OK</x:v>
      </x:c>
    </x:row>
    <x:row r="124">
      <x:c r="A124" s="51" t="n">
        <x:v>38384</x:v>
      </x:c>
      <x:c r="B124" s="14" t="str">
        <x:v>Norte</x:v>
      </x:c>
      <x:c r="C124" s="14" t="str">
        <x:v>NORTE INTERLIGADO</x:v>
      </x:c>
      <x:c r="D124" s="53" t="str">
        <x:v>Cativo</x:v>
      </x:c>
      <x:c r="E124" s="49" t="n">
        <x:v>152829.09</x:v>
      </x:c>
      <x:c r="F124" s="52" t="n">
        <x:v>1288959</x:v>
      </x:c>
      <x:c r="G124" s="54" t="n">
        <x:v>46220</x:v>
      </x:c>
      <x:c r="H124" s="14" t="str">
        <x:f>IF(E124&lt;0,"Componente negativo — manter e investigar","OK")</x:f>
        <x:v>OK</x:v>
      </x:c>
    </x:row>
    <x:row r="125">
      <x:c r="A125" s="51" t="n">
        <x:v>38384</x:v>
      </x:c>
      <x:c r="B125" s="14" t="str">
        <x:v>Norte</x:v>
      </x:c>
      <x:c r="C125" s="14" t="str">
        <x:v>SISTEMAS ISOLADOS</x:v>
      </x:c>
      <x:c r="D125" s="53" t="str">
        <x:v>Cativo</x:v>
      </x:c>
      <x:c r="E125" s="49" t="n">
        <x:v>183306.148</x:v>
      </x:c>
      <x:c r="F125" s="52" t="n">
        <x:v>1138377</x:v>
      </x:c>
      <x:c r="G125" s="54" t="n">
        <x:v>46220</x:v>
      </x:c>
      <x:c r="H125" s="14" t="str">
        <x:f>IF(E125&lt;0,"Componente negativo — manter e investigar","OK")</x:f>
        <x:v>OK</x:v>
      </x:c>
    </x:row>
    <x:row r="126">
      <x:c r="A126" s="51" t="n">
        <x:v>38384</x:v>
      </x:c>
      <x:c r="B126" s="14" t="str">
        <x:v>Sudeste</x:v>
      </x:c>
      <x:c r="C126" s="14" t="str">
        <x:v>SUDESTE / CENTRO - OESTE</x:v>
      </x:c>
      <x:c r="D126" s="53" t="str">
        <x:v>Cativo</x:v>
      </x:c>
      <x:c r="E126" s="49" t="n">
        <x:v>3616966.934999999</x:v>
      </x:c>
      <x:c r="F126" s="52" t="n">
        <x:v>23197625</x:v>
      </x:c>
      <x:c r="G126" s="54" t="n">
        <x:v>46220</x:v>
      </x:c>
      <x:c r="H126" s="14" t="str">
        <x:f>IF(E126&lt;0,"Componente negativo — manter e investigar","OK")</x:f>
        <x:v>OK</x:v>
      </x:c>
    </x:row>
    <x:row r="127">
      <x:c r="A127" s="51" t="n">
        <x:v>38384</x:v>
      </x:c>
      <x:c r="B127" s="14" t="str">
        <x:v>Sul</x:v>
      </x:c>
      <x:c r="C127" s="14" t="str">
        <x:v>SUL</x:v>
      </x:c>
      <x:c r="D127" s="53" t="str">
        <x:v>Cativo</x:v>
      </x:c>
      <x:c r="E127" s="49" t="n">
        <x:v>1161664.338</x:v>
      </x:c>
      <x:c r="F127" s="52" t="n">
        <x:v>6990138</x:v>
      </x:c>
      <x:c r="G127" s="54" t="n">
        <x:v>46220</x:v>
      </x:c>
      <x:c r="H127" s="14" t="str">
        <x:f>IF(E127&lt;0,"Componente negativo — manter e investigar","OK")</x:f>
        <x:v>OK</x:v>
      </x:c>
    </x:row>
    <x:row r="128">
      <x:c r="A128" s="51" t="n">
        <x:v>38412</x:v>
      </x:c>
      <x:c r="B128" s="14" t="str">
        <x:v>Centro-Oeste</x:v>
      </x:c>
      <x:c r="C128" s="14" t="str">
        <x:v>SISTEMAS ISOLADOS</x:v>
      </x:c>
      <x:c r="D128" s="53" t="str">
        <x:v>Cativo</x:v>
      </x:c>
      <x:c r="E128" s="49" t="n">
        <x:v>9256.279</x:v>
      </x:c>
      <x:c r="F128" s="52" t="n">
        <x:v>58357</x:v>
      </x:c>
      <x:c r="G128" s="54" t="n">
        <x:v>46220</x:v>
      </x:c>
      <x:c r="H128" s="14" t="str">
        <x:f>IF(E128&lt;0,"Componente negativo — manter e investigar","OK")</x:f>
        <x:v>OK</x:v>
      </x:c>
    </x:row>
    <x:row r="129">
      <x:c r="A129" s="51" t="n">
        <x:v>38412</x:v>
      </x:c>
      <x:c r="B129" s="14" t="str">
        <x:v>Centro-Oeste</x:v>
      </x:c>
      <x:c r="C129" s="14" t="str">
        <x:v>SUDESTE / CENTRO - OESTE</x:v>
      </x:c>
      <x:c r="D129" s="53" t="str">
        <x:v>Cativo</x:v>
      </x:c>
      <x:c r="E129" s="49" t="n">
        <x:v>510946.8529999999</x:v>
      </x:c>
      <x:c r="F129" s="52" t="n">
        <x:v>3316939</x:v>
      </x:c>
      <x:c r="G129" s="54" t="n">
        <x:v>46220</x:v>
      </x:c>
      <x:c r="H129" s="14" t="str">
        <x:f>IF(E129&lt;0,"Componente negativo — manter e investigar","OK")</x:f>
        <x:v>OK</x:v>
      </x:c>
    </x:row>
    <x:row r="130">
      <x:c r="A130" s="51" t="n">
        <x:v>38412</x:v>
      </x:c>
      <x:c r="B130" s="14" t="str">
        <x:v>Nordeste</x:v>
      </x:c>
      <x:c r="C130" s="14" t="str">
        <x:v>NORDESTE</x:v>
      </x:c>
      <x:c r="D130" s="53" t="str">
        <x:v>Cativo</x:v>
      </x:c>
      <x:c r="E130" s="49" t="n">
        <x:v>1048940.5010000002</x:v>
      </x:c>
      <x:c r="F130" s="52" t="n">
        <x:v>10428306</x:v>
      </x:c>
      <x:c r="G130" s="54" t="n">
        <x:v>46220</x:v>
      </x:c>
      <x:c r="H130" s="14" t="str">
        <x:f>IF(E130&lt;0,"Componente negativo — manter e investigar","OK")</x:f>
        <x:v>OK</x:v>
      </x:c>
    </x:row>
    <x:row r="131">
      <x:c r="A131" s="51" t="n">
        <x:v>38412</x:v>
      </x:c>
      <x:c r="B131" s="14" t="str">
        <x:v>Nordeste</x:v>
      </x:c>
      <x:c r="C131" s="14" t="str">
        <x:v>NORTE INTERLIGADO</x:v>
      </x:c>
      <x:c r="D131" s="53" t="str">
        <x:v>Cativo</x:v>
      </x:c>
      <x:c r="E131" s="49" t="n">
        <x:v>88018.862</x:v>
      </x:c>
      <x:c r="F131" s="52" t="n">
        <x:v>1016864</x:v>
      </x:c>
      <x:c r="G131" s="54" t="n">
        <x:v>46220</x:v>
      </x:c>
      <x:c r="H131" s="14" t="str">
        <x:f>IF(E131&lt;0,"Componente negativo — manter e investigar","OK")</x:f>
        <x:v>OK</x:v>
      </x:c>
    </x:row>
    <x:row r="132">
      <x:c r="A132" s="51" t="n">
        <x:v>38412</x:v>
      </x:c>
      <x:c r="B132" s="14" t="str">
        <x:v>Nordeste</x:v>
      </x:c>
      <x:c r="C132" s="14" t="str">
        <x:v>SISTEMAS ISOLADOS</x:v>
      </x:c>
      <x:c r="D132" s="53" t="str">
        <x:v>Cativo</x:v>
      </x:c>
      <x:c r="E132" s="49" t="n">
        <x:v>214.546</x:v>
      </x:c>
      <x:c r="F132" s="52" t="n">
        <x:v>931</x:v>
      </x:c>
      <x:c r="G132" s="54" t="n">
        <x:v>46220</x:v>
      </x:c>
      <x:c r="H132" s="14" t="str">
        <x:f>IF(E132&lt;0,"Componente negativo — manter e investigar","OK")</x:f>
        <x:v>OK</x:v>
      </x:c>
    </x:row>
    <x:row r="133">
      <x:c r="A133" s="51" t="n">
        <x:v>38412</x:v>
      </x:c>
      <x:c r="B133" s="14" t="str">
        <x:v>Norte</x:v>
      </x:c>
      <x:c r="C133" s="14" t="str">
        <x:v>NORTE INTERLIGADO</x:v>
      </x:c>
      <x:c r="D133" s="53" t="str">
        <x:v>Cativo</x:v>
      </x:c>
      <x:c r="E133" s="49" t="n">
        <x:v>156294.309</x:v>
      </x:c>
      <x:c r="F133" s="52" t="n">
        <x:v>1290296</x:v>
      </x:c>
      <x:c r="G133" s="54" t="n">
        <x:v>46220</x:v>
      </x:c>
      <x:c r="H133" s="14" t="str">
        <x:f>IF(E133&lt;0,"Componente negativo — manter e investigar","OK")</x:f>
        <x:v>OK</x:v>
      </x:c>
    </x:row>
    <x:row r="134">
      <x:c r="A134" s="51" t="n">
        <x:v>38412</x:v>
      </x:c>
      <x:c r="B134" s="14" t="str">
        <x:v>Norte</x:v>
      </x:c>
      <x:c r="C134" s="14" t="str">
        <x:v>SISTEMAS ISOLADOS</x:v>
      </x:c>
      <x:c r="D134" s="53" t="str">
        <x:v>Cativo</x:v>
      </x:c>
      <x:c r="E134" s="49" t="n">
        <x:v>185430.188</x:v>
      </x:c>
      <x:c r="F134" s="52" t="n">
        <x:v>1143046</x:v>
      </x:c>
      <x:c r="G134" s="54" t="n">
        <x:v>46220</x:v>
      </x:c>
      <x:c r="H134" s="14" t="str">
        <x:f>IF(E134&lt;0,"Componente negativo — manter e investigar","OK")</x:f>
        <x:v>OK</x:v>
      </x:c>
    </x:row>
    <x:row r="135">
      <x:c r="A135" s="51" t="n">
        <x:v>38412</x:v>
      </x:c>
      <x:c r="B135" s="14" t="str">
        <x:v>Sudeste</x:v>
      </x:c>
      <x:c r="C135" s="14" t="str">
        <x:v>SUDESTE / CENTRO - OESTE</x:v>
      </x:c>
      <x:c r="D135" s="53" t="str">
        <x:v>Cativo</x:v>
      </x:c>
      <x:c r="E135" s="49" t="n">
        <x:v>3711050.541</x:v>
      </x:c>
      <x:c r="F135" s="52" t="n">
        <x:v>23274093</x:v>
      </x:c>
      <x:c r="G135" s="54" t="n">
        <x:v>46220</x:v>
      </x:c>
      <x:c r="H135" s="14" t="str">
        <x:f>IF(E135&lt;0,"Componente negativo — manter e investigar","OK")</x:f>
        <x:v>OK</x:v>
      </x:c>
    </x:row>
    <x:row r="136">
      <x:c r="A136" s="51" t="n">
        <x:v>38412</x:v>
      </x:c>
      <x:c r="B136" s="14" t="str">
        <x:v>Sul</x:v>
      </x:c>
      <x:c r="C136" s="14" t="str">
        <x:v>SUL</x:v>
      </x:c>
      <x:c r="D136" s="53" t="str">
        <x:v>Cativo</x:v>
      </x:c>
      <x:c r="E136" s="49" t="n">
        <x:v>1155063.524</x:v>
      </x:c>
      <x:c r="F136" s="52" t="n">
        <x:v>7008363</x:v>
      </x:c>
      <x:c r="G136" s="54" t="n">
        <x:v>46220</x:v>
      </x:c>
      <x:c r="H136" s="14" t="str">
        <x:f>IF(E136&lt;0,"Componente negativo — manter e investigar","OK")</x:f>
        <x:v>OK</x:v>
      </x:c>
    </x:row>
    <x:row r="137">
      <x:c r="A137" s="51" t="n">
        <x:v>38443</x:v>
      </x:c>
      <x:c r="B137" s="14" t="str">
        <x:v>Centro-Oeste</x:v>
      </x:c>
      <x:c r="C137" s="14" t="str">
        <x:v>SISTEMAS ISOLADOS</x:v>
      </x:c>
      <x:c r="D137" s="53" t="str">
        <x:v>Cativo</x:v>
      </x:c>
      <x:c r="E137" s="49" t="n">
        <x:v>9654.178</x:v>
      </x:c>
      <x:c r="F137" s="52" t="n">
        <x:v>58669</x:v>
      </x:c>
      <x:c r="G137" s="54" t="n">
        <x:v>46220</x:v>
      </x:c>
      <x:c r="H137" s="14" t="str">
        <x:f>IF(E137&lt;0,"Componente negativo — manter e investigar","OK")</x:f>
        <x:v>OK</x:v>
      </x:c>
    </x:row>
    <x:row r="138">
      <x:c r="A138" s="51" t="n">
        <x:v>38443</x:v>
      </x:c>
      <x:c r="B138" s="14" t="str">
        <x:v>Centro-Oeste</x:v>
      </x:c>
      <x:c r="C138" s="14" t="str">
        <x:v>SUDESTE / CENTRO - OESTE</x:v>
      </x:c>
      <x:c r="D138" s="53" t="str">
        <x:v>Cativo</x:v>
      </x:c>
      <x:c r="E138" s="49" t="n">
        <x:v>522092.346</x:v>
      </x:c>
      <x:c r="F138" s="52" t="n">
        <x:v>3325363</x:v>
      </x:c>
      <x:c r="G138" s="54" t="n">
        <x:v>46220</x:v>
      </x:c>
      <x:c r="H138" s="14" t="str">
        <x:f>IF(E138&lt;0,"Componente negativo — manter e investigar","OK")</x:f>
        <x:v>OK</x:v>
      </x:c>
    </x:row>
    <x:row r="139">
      <x:c r="A139" s="51" t="n">
        <x:v>38443</x:v>
      </x:c>
      <x:c r="B139" s="14" t="str">
        <x:v>Nordeste</x:v>
      </x:c>
      <x:c r="C139" s="14" t="str">
        <x:v>NORDESTE</x:v>
      </x:c>
      <x:c r="D139" s="53" t="str">
        <x:v>Cativo</x:v>
      </x:c>
      <x:c r="E139" s="49" t="n">
        <x:v>1054932.311</x:v>
      </x:c>
      <x:c r="F139" s="52" t="n">
        <x:v>10454220</x:v>
      </x:c>
      <x:c r="G139" s="54" t="n">
        <x:v>46220</x:v>
      </x:c>
      <x:c r="H139" s="14" t="str">
        <x:f>IF(E139&lt;0,"Componente negativo — manter e investigar","OK")</x:f>
        <x:v>OK</x:v>
      </x:c>
    </x:row>
    <x:row r="140">
      <x:c r="A140" s="51" t="n">
        <x:v>38443</x:v>
      </x:c>
      <x:c r="B140" s="14" t="str">
        <x:v>Nordeste</x:v>
      </x:c>
      <x:c r="C140" s="14" t="str">
        <x:v>NORTE INTERLIGADO</x:v>
      </x:c>
      <x:c r="D140" s="53" t="str">
        <x:v>Cativo</x:v>
      </x:c>
      <x:c r="E140" s="49" t="n">
        <x:v>90754.861</x:v>
      </x:c>
      <x:c r="F140" s="52" t="n">
        <x:v>1018089</x:v>
      </x:c>
      <x:c r="G140" s="54" t="n">
        <x:v>46220</x:v>
      </x:c>
      <x:c r="H140" s="14" t="str">
        <x:f>IF(E140&lt;0,"Componente negativo — manter e investigar","OK")</x:f>
        <x:v>OK</x:v>
      </x:c>
    </x:row>
    <x:row r="141">
      <x:c r="A141" s="51" t="n">
        <x:v>38443</x:v>
      </x:c>
      <x:c r="B141" s="14" t="str">
        <x:v>Nordeste</x:v>
      </x:c>
      <x:c r="C141" s="14" t="str">
        <x:v>SISTEMAS ISOLADOS</x:v>
      </x:c>
      <x:c r="D141" s="53" t="str">
        <x:v>Cativo</x:v>
      </x:c>
      <x:c r="E141" s="49" t="n">
        <x:v>166.392</x:v>
      </x:c>
      <x:c r="F141" s="52" t="n">
        <x:v>936</x:v>
      </x:c>
      <x:c r="G141" s="54" t="n">
        <x:v>46220</x:v>
      </x:c>
      <x:c r="H141" s="14" t="str">
        <x:f>IF(E141&lt;0,"Componente negativo — manter e investigar","OK")</x:f>
        <x:v>OK</x:v>
      </x:c>
    </x:row>
    <x:row r="142">
      <x:c r="A142" s="51" t="n">
        <x:v>38443</x:v>
      </x:c>
      <x:c r="B142" s="14" t="str">
        <x:v>Norte</x:v>
      </x:c>
      <x:c r="C142" s="14" t="str">
        <x:v>NORTE INTERLIGADO</x:v>
      </x:c>
      <x:c r="D142" s="53" t="str">
        <x:v>Cativo</x:v>
      </x:c>
      <x:c r="E142" s="49" t="n">
        <x:v>163303.208</x:v>
      </x:c>
      <x:c r="F142" s="52" t="n">
        <x:v>1294992</x:v>
      </x:c>
      <x:c r="G142" s="54" t="n">
        <x:v>46220</x:v>
      </x:c>
      <x:c r="H142" s="14" t="str">
        <x:f>IF(E142&lt;0,"Componente negativo — manter e investigar","OK")</x:f>
        <x:v>OK</x:v>
      </x:c>
    </x:row>
    <x:row r="143">
      <x:c r="A143" s="51" t="n">
        <x:v>38443</x:v>
      </x:c>
      <x:c r="B143" s="14" t="str">
        <x:v>Norte</x:v>
      </x:c>
      <x:c r="C143" s="14" t="str">
        <x:v>SISTEMAS ISOLADOS</x:v>
      </x:c>
      <x:c r="D143" s="53" t="str">
        <x:v>Cativo</x:v>
      </x:c>
      <x:c r="E143" s="49" t="n">
        <x:v>187066.023</x:v>
      </x:c>
      <x:c r="F143" s="52" t="n">
        <x:v>1145330</x:v>
      </x:c>
      <x:c r="G143" s="54" t="n">
        <x:v>46220</x:v>
      </x:c>
      <x:c r="H143" s="14" t="str">
        <x:f>IF(E143&lt;0,"Componente negativo — manter e investigar","OK")</x:f>
        <x:v>OK</x:v>
      </x:c>
    </x:row>
    <x:row r="144">
      <x:c r="A144" s="51" t="n">
        <x:v>38443</x:v>
      </x:c>
      <x:c r="B144" s="14" t="str">
        <x:v>Sudeste</x:v>
      </x:c>
      <x:c r="C144" s="14" t="str">
        <x:v>SUDESTE / CENTRO - OESTE</x:v>
      </x:c>
      <x:c r="D144" s="53" t="str">
        <x:v>Cativo</x:v>
      </x:c>
      <x:c r="E144" s="49" t="n">
        <x:v>3923735.0090000005</x:v>
      </x:c>
      <x:c r="F144" s="52" t="n">
        <x:v>23308907</x:v>
      </x:c>
      <x:c r="G144" s="54" t="n">
        <x:v>46220</x:v>
      </x:c>
      <x:c r="H144" s="14" t="str">
        <x:f>IF(E144&lt;0,"Componente negativo — manter e investigar","OK")</x:f>
        <x:v>OK</x:v>
      </x:c>
    </x:row>
    <x:row r="145">
      <x:c r="A145" s="51" t="n">
        <x:v>38443</x:v>
      </x:c>
      <x:c r="B145" s="14" t="str">
        <x:v>Sul</x:v>
      </x:c>
      <x:c r="C145" s="14" t="str">
        <x:v>SUL</x:v>
      </x:c>
      <x:c r="D145" s="53" t="str">
        <x:v>Cativo</x:v>
      </x:c>
      <x:c r="E145" s="49" t="n">
        <x:v>1180033.9409999999</x:v>
      </x:c>
      <x:c r="F145" s="52" t="n">
        <x:v>7022044</x:v>
      </x:c>
      <x:c r="G145" s="54" t="n">
        <x:v>46220</x:v>
      </x:c>
      <x:c r="H145" s="14" t="str">
        <x:f>IF(E145&lt;0,"Componente negativo — manter e investigar","OK")</x:f>
        <x:v>OK</x:v>
      </x:c>
    </x:row>
    <x:row r="146">
      <x:c r="A146" s="51" t="n">
        <x:v>38473</x:v>
      </x:c>
      <x:c r="B146" s="14" t="str">
        <x:v>Centro-Oeste</x:v>
      </x:c>
      <x:c r="C146" s="14" t="str">
        <x:v>SISTEMAS ISOLADOS</x:v>
      </x:c>
      <x:c r="D146" s="53" t="str">
        <x:v>Cativo</x:v>
      </x:c>
      <x:c r="E146" s="49" t="n">
        <x:v>9500.495</x:v>
      </x:c>
      <x:c r="F146" s="52" t="n">
        <x:v>59043</x:v>
      </x:c>
      <x:c r="G146" s="54" t="n">
        <x:v>46220</x:v>
      </x:c>
      <x:c r="H146" s="14" t="str">
        <x:f>IF(E146&lt;0,"Componente negativo — manter e investigar","OK")</x:f>
        <x:v>OK</x:v>
      </x:c>
    </x:row>
    <x:row r="147">
      <x:c r="A147" s="51" t="n">
        <x:v>38473</x:v>
      </x:c>
      <x:c r="B147" s="14" t="str">
        <x:v>Centro-Oeste</x:v>
      </x:c>
      <x:c r="C147" s="14" t="str">
        <x:v>SUDESTE / CENTRO - OESTE</x:v>
      </x:c>
      <x:c r="D147" s="53" t="str">
        <x:v>Cativo</x:v>
      </x:c>
      <x:c r="E147" s="49" t="n">
        <x:v>496426.845</x:v>
      </x:c>
      <x:c r="F147" s="52" t="n">
        <x:v>3334132</x:v>
      </x:c>
      <x:c r="G147" s="54" t="n">
        <x:v>46220</x:v>
      </x:c>
      <x:c r="H147" s="14" t="str">
        <x:f>IF(E147&lt;0,"Componente negativo — manter e investigar","OK")</x:f>
        <x:v>OK</x:v>
      </x:c>
    </x:row>
    <x:row r="148">
      <x:c r="A148" s="51" t="n">
        <x:v>38473</x:v>
      </x:c>
      <x:c r="B148" s="14" t="str">
        <x:v>Nordeste</x:v>
      </x:c>
      <x:c r="C148" s="14" t="str">
        <x:v>NORDESTE</x:v>
      </x:c>
      <x:c r="D148" s="53" t="str">
        <x:v>Cativo</x:v>
      </x:c>
      <x:c r="E148" s="49" t="n">
        <x:v>1028520.9629999999</x:v>
      </x:c>
      <x:c r="F148" s="52" t="n">
        <x:v>10461632</x:v>
      </x:c>
      <x:c r="G148" s="54" t="n">
        <x:v>46220</x:v>
      </x:c>
      <x:c r="H148" s="14" t="str">
        <x:f>IF(E148&lt;0,"Componente negativo — manter e investigar","OK")</x:f>
        <x:v>OK</x:v>
      </x:c>
    </x:row>
    <x:row r="149">
      <x:c r="A149" s="51" t="n">
        <x:v>38473</x:v>
      </x:c>
      <x:c r="B149" s="14" t="str">
        <x:v>Nordeste</x:v>
      </x:c>
      <x:c r="C149" s="14" t="str">
        <x:v>NORTE INTERLIGADO</x:v>
      </x:c>
      <x:c r="D149" s="53" t="str">
        <x:v>Cativo</x:v>
      </x:c>
      <x:c r="E149" s="49" t="n">
        <x:v>90187.893</x:v>
      </x:c>
      <x:c r="F149" s="52" t="n">
        <x:v>1020155</x:v>
      </x:c>
      <x:c r="G149" s="54" t="n">
        <x:v>46220</x:v>
      </x:c>
      <x:c r="H149" s="14" t="str">
        <x:f>IF(E149&lt;0,"Componente negativo — manter e investigar","OK")</x:f>
        <x:v>OK</x:v>
      </x:c>
    </x:row>
    <x:row r="150">
      <x:c r="A150" s="51" t="n">
        <x:v>38473</x:v>
      </x:c>
      <x:c r="B150" s="14" t="str">
        <x:v>Nordeste</x:v>
      </x:c>
      <x:c r="C150" s="14" t="str">
        <x:v>SISTEMAS ISOLADOS</x:v>
      </x:c>
      <x:c r="D150" s="53" t="str">
        <x:v>Cativo</x:v>
      </x:c>
      <x:c r="E150" s="49" t="n">
        <x:v>166.855</x:v>
      </x:c>
      <x:c r="F150" s="52" t="n">
        <x:v>1002</x:v>
      </x:c>
      <x:c r="G150" s="54" t="n">
        <x:v>46220</x:v>
      </x:c>
      <x:c r="H150" s="14" t="str">
        <x:f>IF(E150&lt;0,"Componente negativo — manter e investigar","OK")</x:f>
        <x:v>OK</x:v>
      </x:c>
    </x:row>
    <x:row r="151">
      <x:c r="A151" s="51" t="n">
        <x:v>38473</x:v>
      </x:c>
      <x:c r="B151" s="14" t="str">
        <x:v>Norte</x:v>
      </x:c>
      <x:c r="C151" s="14" t="str">
        <x:v>NORTE INTERLIGADO</x:v>
      </x:c>
      <x:c r="D151" s="53" t="str">
        <x:v>Cativo</x:v>
      </x:c>
      <x:c r="E151" s="49" t="n">
        <x:v>161709.254</x:v>
      </x:c>
      <x:c r="F151" s="52" t="n">
        <x:v>1298525</x:v>
      </x:c>
      <x:c r="G151" s="54" t="n">
        <x:v>46220</x:v>
      </x:c>
      <x:c r="H151" s="14" t="str">
        <x:f>IF(E151&lt;0,"Componente negativo — manter e investigar","OK")</x:f>
        <x:v>OK</x:v>
      </x:c>
    </x:row>
    <x:row r="152">
      <x:c r="A152" s="51" t="n">
        <x:v>38473</x:v>
      </x:c>
      <x:c r="B152" s="14" t="str">
        <x:v>Norte</x:v>
      </x:c>
      <x:c r="C152" s="14" t="str">
        <x:v>SISTEMAS ISOLADOS</x:v>
      </x:c>
      <x:c r="D152" s="53" t="str">
        <x:v>Cativo</x:v>
      </x:c>
      <x:c r="E152" s="49" t="n">
        <x:v>176971.684</x:v>
      </x:c>
      <x:c r="F152" s="52" t="n">
        <x:v>1136860</x:v>
      </x:c>
      <x:c r="G152" s="54" t="n">
        <x:v>46220</x:v>
      </x:c>
      <x:c r="H152" s="14" t="str">
        <x:f>IF(E152&lt;0,"Componente negativo — manter e investigar","OK")</x:f>
        <x:v>OK</x:v>
      </x:c>
    </x:row>
    <x:row r="153">
      <x:c r="A153" s="51" t="n">
        <x:v>38473</x:v>
      </x:c>
      <x:c r="B153" s="14" t="str">
        <x:v>Sudeste</x:v>
      </x:c>
      <x:c r="C153" s="14" t="str">
        <x:v>SUDESTE / CENTRO - OESTE</x:v>
      </x:c>
      <x:c r="D153" s="53" t="str">
        <x:v>Cativo</x:v>
      </x:c>
      <x:c r="E153" s="49" t="n">
        <x:v>3655561.322</x:v>
      </x:c>
      <x:c r="F153" s="52" t="n">
        <x:v>23303208</x:v>
      </x:c>
      <x:c r="G153" s="54" t="n">
        <x:v>46220</x:v>
      </x:c>
      <x:c r="H153" s="14" t="str">
        <x:f>IF(E153&lt;0,"Componente negativo — manter e investigar","OK")</x:f>
        <x:v>OK</x:v>
      </x:c>
    </x:row>
    <x:row r="154">
      <x:c r="A154" s="51" t="n">
        <x:v>38473</x:v>
      </x:c>
      <x:c r="B154" s="14" t="str">
        <x:v>Sul</x:v>
      </x:c>
      <x:c r="C154" s="14" t="str">
        <x:v>SUL</x:v>
      </x:c>
      <x:c r="D154" s="53" t="str">
        <x:v>Cativo</x:v>
      </x:c>
      <x:c r="E154" s="49" t="n">
        <x:v>1099102.026</x:v>
      </x:c>
      <x:c r="F154" s="52" t="n">
        <x:v>7031621</x:v>
      </x:c>
      <x:c r="G154" s="54" t="n">
        <x:v>46220</x:v>
      </x:c>
      <x:c r="H154" s="14" t="str">
        <x:f>IF(E154&lt;0,"Componente negativo — manter e investigar","OK")</x:f>
        <x:v>OK</x:v>
      </x:c>
    </x:row>
    <x:row r="155">
      <x:c r="A155" s="51" t="n">
        <x:v>38504</x:v>
      </x:c>
      <x:c r="B155" s="14" t="str">
        <x:v>Centro-Oeste</x:v>
      </x:c>
      <x:c r="C155" s="14" t="str">
        <x:v>SISTEMAS ISOLADOS</x:v>
      </x:c>
      <x:c r="D155" s="53" t="str">
        <x:v>Cativo</x:v>
      </x:c>
      <x:c r="E155" s="49" t="n">
        <x:v>9602.013</x:v>
      </x:c>
      <x:c r="F155" s="52" t="n">
        <x:v>59505</x:v>
      </x:c>
      <x:c r="G155" s="54" t="n">
        <x:v>46220</x:v>
      </x:c>
      <x:c r="H155" s="14" t="str">
        <x:f>IF(E155&lt;0,"Componente negativo — manter e investigar","OK")</x:f>
        <x:v>OK</x:v>
      </x:c>
    </x:row>
    <x:row r="156">
      <x:c r="A156" s="51" t="n">
        <x:v>38504</x:v>
      </x:c>
      <x:c r="B156" s="14" t="str">
        <x:v>Centro-Oeste</x:v>
      </x:c>
      <x:c r="C156" s="14" t="str">
        <x:v>SUDESTE / CENTRO - OESTE</x:v>
      </x:c>
      <x:c r="D156" s="53" t="str">
        <x:v>Cativo</x:v>
      </x:c>
      <x:c r="E156" s="49" t="n">
        <x:v>507827.143</x:v>
      </x:c>
      <x:c r="F156" s="52" t="n">
        <x:v>3341276</x:v>
      </x:c>
      <x:c r="G156" s="54" t="n">
        <x:v>46220</x:v>
      </x:c>
      <x:c r="H156" s="14" t="str">
        <x:f>IF(E156&lt;0,"Componente negativo — manter e investigar","OK")</x:f>
        <x:v>OK</x:v>
      </x:c>
    </x:row>
    <x:row r="157">
      <x:c r="A157" s="51" t="n">
        <x:v>38504</x:v>
      </x:c>
      <x:c r="B157" s="14" t="str">
        <x:v>Nordeste</x:v>
      </x:c>
      <x:c r="C157" s="14" t="str">
        <x:v>NORDESTE</x:v>
      </x:c>
      <x:c r="D157" s="53" t="str">
        <x:v>Cativo</x:v>
      </x:c>
      <x:c r="E157" s="49" t="n">
        <x:v>978041.991</x:v>
      </x:c>
      <x:c r="F157" s="52" t="n">
        <x:v>10500176</x:v>
      </x:c>
      <x:c r="G157" s="54" t="n">
        <x:v>46220</x:v>
      </x:c>
      <x:c r="H157" s="14" t="str">
        <x:f>IF(E157&lt;0,"Componente negativo — manter e investigar","OK")</x:f>
        <x:v>OK</x:v>
      </x:c>
    </x:row>
    <x:row r="158">
      <x:c r="A158" s="51" t="n">
        <x:v>38504</x:v>
      </x:c>
      <x:c r="B158" s="14" t="str">
        <x:v>Nordeste</x:v>
      </x:c>
      <x:c r="C158" s="14" t="str">
        <x:v>NORTE INTERLIGADO</x:v>
      </x:c>
      <x:c r="D158" s="53" t="str">
        <x:v>Cativo</x:v>
      </x:c>
      <x:c r="E158" s="49" t="n">
        <x:v>93255.693</x:v>
      </x:c>
      <x:c r="F158" s="52" t="n">
        <x:v>1036356</x:v>
      </x:c>
      <x:c r="G158" s="54" t="n">
        <x:v>46220</x:v>
      </x:c>
      <x:c r="H158" s="14" t="str">
        <x:f>IF(E158&lt;0,"Componente negativo — manter e investigar","OK")</x:f>
        <x:v>OK</x:v>
      </x:c>
    </x:row>
    <x:row r="159">
      <x:c r="A159" s="51" t="n">
        <x:v>38504</x:v>
      </x:c>
      <x:c r="B159" s="14" t="str">
        <x:v>Nordeste</x:v>
      </x:c>
      <x:c r="C159" s="14" t="str">
        <x:v>SISTEMAS ISOLADOS</x:v>
      </x:c>
      <x:c r="D159" s="53" t="str">
        <x:v>Cativo</x:v>
      </x:c>
      <x:c r="E159" s="49" t="n">
        <x:v>159.121</x:v>
      </x:c>
      <x:c r="F159" s="52" t="n">
        <x:v>947</x:v>
      </x:c>
      <x:c r="G159" s="54" t="n">
        <x:v>46220</x:v>
      </x:c>
      <x:c r="H159" s="14" t="str">
        <x:f>IF(E159&lt;0,"Componente negativo — manter e investigar","OK")</x:f>
        <x:v>OK</x:v>
      </x:c>
    </x:row>
    <x:row r="160">
      <x:c r="A160" s="51" t="n">
        <x:v>38504</x:v>
      </x:c>
      <x:c r="B160" s="14" t="str">
        <x:v>Norte</x:v>
      </x:c>
      <x:c r="C160" s="14" t="str">
        <x:v>NORTE INTERLIGADO</x:v>
      </x:c>
      <x:c r="D160" s="53" t="str">
        <x:v>Cativo</x:v>
      </x:c>
      <x:c r="E160" s="49" t="n">
        <x:v>165571.484</x:v>
      </x:c>
      <x:c r="F160" s="52" t="n">
        <x:v>1303691</x:v>
      </x:c>
      <x:c r="G160" s="54" t="n">
        <x:v>46220</x:v>
      </x:c>
      <x:c r="H160" s="14" t="str">
        <x:f>IF(E160&lt;0,"Componente negativo — manter e investigar","OK")</x:f>
        <x:v>OK</x:v>
      </x:c>
    </x:row>
    <x:row r="161">
      <x:c r="A161" s="51" t="n">
        <x:v>38504</x:v>
      </x:c>
      <x:c r="B161" s="14" t="str">
        <x:v>Norte</x:v>
      </x:c>
      <x:c r="C161" s="14" t="str">
        <x:v>SISTEMAS ISOLADOS</x:v>
      </x:c>
      <x:c r="D161" s="53" t="str">
        <x:v>Cativo</x:v>
      </x:c>
      <x:c r="E161" s="49" t="n">
        <x:v>187144.247</x:v>
      </x:c>
      <x:c r="F161" s="52" t="n">
        <x:v>1140905</x:v>
      </x:c>
      <x:c r="G161" s="54" t="n">
        <x:v>46220</x:v>
      </x:c>
      <x:c r="H161" s="14" t="str">
        <x:f>IF(E161&lt;0,"Componente negativo — manter e investigar","OK")</x:f>
        <x:v>OK</x:v>
      </x:c>
    </x:row>
    <x:row r="162">
      <x:c r="A162" s="51" t="n">
        <x:v>38504</x:v>
      </x:c>
      <x:c r="B162" s="14" t="str">
        <x:v>Sudeste</x:v>
      </x:c>
      <x:c r="C162" s="14" t="str">
        <x:v>SUDESTE / CENTRO - OESTE</x:v>
      </x:c>
      <x:c r="D162" s="53" t="str">
        <x:v>Cativo</x:v>
      </x:c>
      <x:c r="E162" s="49" t="n">
        <x:v>3710837.299</x:v>
      </x:c>
      <x:c r="F162" s="52" t="n">
        <x:v>23431298</x:v>
      </x:c>
      <x:c r="G162" s="54" t="n">
        <x:v>46220</x:v>
      </x:c>
      <x:c r="H162" s="14" t="str">
        <x:f>IF(E162&lt;0,"Componente negativo — manter e investigar","OK")</x:f>
        <x:v>OK</x:v>
      </x:c>
    </x:row>
    <x:row r="163">
      <x:c r="A163" s="51" t="n">
        <x:v>38504</x:v>
      </x:c>
      <x:c r="B163" s="14" t="str">
        <x:v>Sul</x:v>
      </x:c>
      <x:c r="C163" s="14" t="str">
        <x:v>SUL</x:v>
      </x:c>
      <x:c r="D163" s="53" t="str">
        <x:v>Cativo</x:v>
      </x:c>
      <x:c r="E163" s="49" t="n">
        <x:v>1124218.86</x:v>
      </x:c>
      <x:c r="F163" s="52" t="n">
        <x:v>7045184</x:v>
      </x:c>
      <x:c r="G163" s="54" t="n">
        <x:v>46220</x:v>
      </x:c>
      <x:c r="H163" s="14" t="str">
        <x:f>IF(E163&lt;0,"Componente negativo — manter e investigar","OK")</x:f>
        <x:v>OK</x:v>
      </x:c>
    </x:row>
    <x:row r="164">
      <x:c r="A164" s="51" t="n">
        <x:v>38534</x:v>
      </x:c>
      <x:c r="B164" s="14" t="str">
        <x:v>Centro-Oeste</x:v>
      </x:c>
      <x:c r="C164" s="14" t="str">
        <x:v>SISTEMAS ISOLADOS</x:v>
      </x:c>
      <x:c r="D164" s="53" t="str">
        <x:v>Cativo</x:v>
      </x:c>
      <x:c r="E164" s="49" t="n">
        <x:v>9154.812</x:v>
      </x:c>
      <x:c r="F164" s="52" t="n">
        <x:v>59979</x:v>
      </x:c>
      <x:c r="G164" s="54" t="n">
        <x:v>46220</x:v>
      </x:c>
      <x:c r="H164" s="14" t="str">
        <x:f>IF(E164&lt;0,"Componente negativo — manter e investigar","OK")</x:f>
        <x:v>OK</x:v>
      </x:c>
    </x:row>
    <x:row r="165">
      <x:c r="A165" s="51" t="n">
        <x:v>38534</x:v>
      </x:c>
      <x:c r="B165" s="14" t="str">
        <x:v>Centro-Oeste</x:v>
      </x:c>
      <x:c r="C165" s="14" t="str">
        <x:v>SUDESTE / CENTRO - OESTE</x:v>
      </x:c>
      <x:c r="D165" s="53" t="str">
        <x:v>Cativo</x:v>
      </x:c>
      <x:c r="E165" s="49" t="n">
        <x:v>492511.654</x:v>
      </x:c>
      <x:c r="F165" s="52" t="n">
        <x:v>3353403</x:v>
      </x:c>
      <x:c r="G165" s="54" t="n">
        <x:v>46220</x:v>
      </x:c>
      <x:c r="H165" s="14" t="str">
        <x:f>IF(E165&lt;0,"Componente negativo — manter e investigar","OK")</x:f>
        <x:v>OK</x:v>
      </x:c>
    </x:row>
    <x:row r="166">
      <x:c r="A166" s="51" t="n">
        <x:v>38534</x:v>
      </x:c>
      <x:c r="B166" s="14" t="str">
        <x:v>Nordeste</x:v>
      </x:c>
      <x:c r="C166" s="14" t="str">
        <x:v>NORDESTE</x:v>
      </x:c>
      <x:c r="D166" s="53" t="str">
        <x:v>Cativo</x:v>
      </x:c>
      <x:c r="E166" s="49" t="n">
        <x:v>958274.3690000001</x:v>
      </x:c>
      <x:c r="F166" s="52" t="n">
        <x:v>10535823</x:v>
      </x:c>
      <x:c r="G166" s="54" t="n">
        <x:v>46220</x:v>
      </x:c>
      <x:c r="H166" s="14" t="str">
        <x:f>IF(E166&lt;0,"Componente negativo — manter e investigar","OK")</x:f>
        <x:v>OK</x:v>
      </x:c>
    </x:row>
    <x:row r="167">
      <x:c r="A167" s="51" t="n">
        <x:v>38534</x:v>
      </x:c>
      <x:c r="B167" s="14" t="str">
        <x:v>Nordeste</x:v>
      </x:c>
      <x:c r="C167" s="14" t="str">
        <x:v>NORTE INTERLIGADO</x:v>
      </x:c>
      <x:c r="D167" s="53" t="str">
        <x:v>Cativo</x:v>
      </x:c>
      <x:c r="E167" s="49" t="n">
        <x:v>88740.452</x:v>
      </x:c>
      <x:c r="F167" s="52" t="n">
        <x:v>1046235</x:v>
      </x:c>
      <x:c r="G167" s="54" t="n">
        <x:v>46220</x:v>
      </x:c>
      <x:c r="H167" s="14" t="str">
        <x:f>IF(E167&lt;0,"Componente negativo — manter e investigar","OK")</x:f>
        <x:v>OK</x:v>
      </x:c>
    </x:row>
    <x:row r="168">
      <x:c r="A168" s="51" t="n">
        <x:v>38534</x:v>
      </x:c>
      <x:c r="B168" s="14" t="str">
        <x:v>Nordeste</x:v>
      </x:c>
      <x:c r="C168" s="14" t="str">
        <x:v>SISTEMAS ISOLADOS</x:v>
      </x:c>
      <x:c r="D168" s="53" t="str">
        <x:v>Cativo</x:v>
      </x:c>
      <x:c r="E168" s="49" t="n">
        <x:v>156.944</x:v>
      </x:c>
      <x:c r="F168" s="52" t="n">
        <x:v>948</x:v>
      </x:c>
      <x:c r="G168" s="54" t="n">
        <x:v>46220</x:v>
      </x:c>
      <x:c r="H168" s="14" t="str">
        <x:f>IF(E168&lt;0,"Componente negativo — manter e investigar","OK")</x:f>
        <x:v>OK</x:v>
      </x:c>
    </x:row>
    <x:row r="169">
      <x:c r="A169" s="51" t="n">
        <x:v>38534</x:v>
      </x:c>
      <x:c r="B169" s="14" t="str">
        <x:v>Norte</x:v>
      </x:c>
      <x:c r="C169" s="14" t="str">
        <x:v>NORTE INTERLIGADO</x:v>
      </x:c>
      <x:c r="D169" s="53" t="str">
        <x:v>Cativo</x:v>
      </x:c>
      <x:c r="E169" s="49" t="n">
        <x:v>166999.02</x:v>
      </x:c>
      <x:c r="F169" s="52" t="n">
        <x:v>1308044</x:v>
      </x:c>
      <x:c r="G169" s="54" t="n">
        <x:v>46220</x:v>
      </x:c>
      <x:c r="H169" s="14" t="str">
        <x:f>IF(E169&lt;0,"Componente negativo — manter e investigar","OK")</x:f>
        <x:v>OK</x:v>
      </x:c>
    </x:row>
    <x:row r="170">
      <x:c r="A170" s="51" t="n">
        <x:v>38534</x:v>
      </x:c>
      <x:c r="B170" s="14" t="str">
        <x:v>Norte</x:v>
      </x:c>
      <x:c r="C170" s="14" t="str">
        <x:v>SISTEMAS ISOLADOS</x:v>
      </x:c>
      <x:c r="D170" s="53" t="str">
        <x:v>Cativo</x:v>
      </x:c>
      <x:c r="E170" s="49" t="n">
        <x:v>189662.342</x:v>
      </x:c>
      <x:c r="F170" s="52" t="n">
        <x:v>1144431</x:v>
      </x:c>
      <x:c r="G170" s="54" t="n">
        <x:v>46220</x:v>
      </x:c>
      <x:c r="H170" s="14" t="str">
        <x:f>IF(E170&lt;0,"Componente negativo — manter e investigar","OK")</x:f>
        <x:v>OK</x:v>
      </x:c>
    </x:row>
    <x:row r="171">
      <x:c r="A171" s="51" t="n">
        <x:v>38534</x:v>
      </x:c>
      <x:c r="B171" s="14" t="str">
        <x:v>Sudeste</x:v>
      </x:c>
      <x:c r="C171" s="14" t="str">
        <x:v>SUDESTE / CENTRO - OESTE</x:v>
      </x:c>
      <x:c r="D171" s="53" t="str">
        <x:v>Cativo</x:v>
      </x:c>
      <x:c r="E171" s="49" t="n">
        <x:v>3626333.301</x:v>
      </x:c>
      <x:c r="F171" s="52" t="n">
        <x:v>23472197</x:v>
      </x:c>
      <x:c r="G171" s="54" t="n">
        <x:v>46220</x:v>
      </x:c>
      <x:c r="H171" s="14" t="str">
        <x:f>IF(E171&lt;0,"Componente negativo — manter e investigar","OK")</x:f>
        <x:v>OK</x:v>
      </x:c>
    </x:row>
    <x:row r="172">
      <x:c r="A172" s="51" t="n">
        <x:v>38534</x:v>
      </x:c>
      <x:c r="B172" s="14" t="str">
        <x:v>Sul</x:v>
      </x:c>
      <x:c r="C172" s="14" t="str">
        <x:v>SUL</x:v>
      </x:c>
      <x:c r="D172" s="53" t="str">
        <x:v>Cativo</x:v>
      </x:c>
      <x:c r="E172" s="49" t="n">
        <x:v>1112987.582</x:v>
      </x:c>
      <x:c r="F172" s="52" t="n">
        <x:v>7053084</x:v>
      </x:c>
      <x:c r="G172" s="54" t="n">
        <x:v>46220</x:v>
      </x:c>
      <x:c r="H172" s="14" t="str">
        <x:f>IF(E172&lt;0,"Componente negativo — manter e investigar","OK")</x:f>
        <x:v>OK</x:v>
      </x:c>
    </x:row>
    <x:row r="173">
      <x:c r="A173" s="51" t="n">
        <x:v>38565</x:v>
      </x:c>
      <x:c r="B173" s="14" t="str">
        <x:v>Centro-Oeste</x:v>
      </x:c>
      <x:c r="C173" s="14" t="str">
        <x:v>SISTEMAS ISOLADOS</x:v>
      </x:c>
      <x:c r="D173" s="53" t="str">
        <x:v>Cativo</x:v>
      </x:c>
      <x:c r="E173" s="49" t="n">
        <x:v>9038.66</x:v>
      </x:c>
      <x:c r="F173" s="52" t="n">
        <x:v>60341</x:v>
      </x:c>
      <x:c r="G173" s="54" t="n">
        <x:v>46220</x:v>
      </x:c>
      <x:c r="H173" s="14" t="str">
        <x:f>IF(E173&lt;0,"Componente negativo — manter e investigar","OK")</x:f>
        <x:v>OK</x:v>
      </x:c>
    </x:row>
    <x:row r="174">
      <x:c r="A174" s="51" t="n">
        <x:v>38565</x:v>
      </x:c>
      <x:c r="B174" s="14" t="str">
        <x:v>Centro-Oeste</x:v>
      </x:c>
      <x:c r="C174" s="14" t="str">
        <x:v>SUDESTE / CENTRO - OESTE</x:v>
      </x:c>
      <x:c r="D174" s="53" t="str">
        <x:v>Cativo</x:v>
      </x:c>
      <x:c r="E174" s="49" t="n">
        <x:v>498726.748</x:v>
      </x:c>
      <x:c r="F174" s="52" t="n">
        <x:v>3353984</x:v>
      </x:c>
      <x:c r="G174" s="54" t="n">
        <x:v>46220</x:v>
      </x:c>
      <x:c r="H174" s="14" t="str">
        <x:f>IF(E174&lt;0,"Componente negativo — manter e investigar","OK")</x:f>
        <x:v>OK</x:v>
      </x:c>
    </x:row>
    <x:row r="175">
      <x:c r="A175" s="51" t="n">
        <x:v>38565</x:v>
      </x:c>
      <x:c r="B175" s="14" t="str">
        <x:v>Nordeste</x:v>
      </x:c>
      <x:c r="C175" s="14" t="str">
        <x:v>NORDESTE</x:v>
      </x:c>
      <x:c r="D175" s="53" t="str">
        <x:v>Cativo</x:v>
      </x:c>
      <x:c r="E175" s="49" t="n">
        <x:v>972561.871</x:v>
      </x:c>
      <x:c r="F175" s="52" t="n">
        <x:v>10576313</x:v>
      </x:c>
      <x:c r="G175" s="54" t="n">
        <x:v>46220</x:v>
      </x:c>
      <x:c r="H175" s="14" t="str">
        <x:f>IF(E175&lt;0,"Componente negativo — manter e investigar","OK")</x:f>
        <x:v>OK</x:v>
      </x:c>
    </x:row>
    <x:row r="176">
      <x:c r="A176" s="51" t="n">
        <x:v>38565</x:v>
      </x:c>
      <x:c r="B176" s="14" t="str">
        <x:v>Nordeste</x:v>
      </x:c>
      <x:c r="C176" s="14" t="str">
        <x:v>NORTE INTERLIGADO</x:v>
      </x:c>
      <x:c r="D176" s="53" t="str">
        <x:v>Cativo</x:v>
      </x:c>
      <x:c r="E176" s="49" t="n">
        <x:v>98571.023</x:v>
      </x:c>
      <x:c r="F176" s="52" t="n">
        <x:v>1049318</x:v>
      </x:c>
      <x:c r="G176" s="54" t="n">
        <x:v>46220</x:v>
      </x:c>
      <x:c r="H176" s="14" t="str">
        <x:f>IF(E176&lt;0,"Componente negativo — manter e investigar","OK")</x:f>
        <x:v>OK</x:v>
      </x:c>
    </x:row>
    <x:row r="177">
      <x:c r="A177" s="51" t="n">
        <x:v>38565</x:v>
      </x:c>
      <x:c r="B177" s="14" t="str">
        <x:v>Nordeste</x:v>
      </x:c>
      <x:c r="C177" s="14" t="str">
        <x:v>SISTEMAS ISOLADOS</x:v>
      </x:c>
      <x:c r="D177" s="53" t="str">
        <x:v>Cativo</x:v>
      </x:c>
      <x:c r="E177" s="49" t="n">
        <x:v>155.771</x:v>
      </x:c>
      <x:c r="F177" s="52" t="n">
        <x:v>957</x:v>
      </x:c>
      <x:c r="G177" s="54" t="n">
        <x:v>46220</x:v>
      </x:c>
      <x:c r="H177" s="14" t="str">
        <x:f>IF(E177&lt;0,"Componente negativo — manter e investigar","OK")</x:f>
        <x:v>OK</x:v>
      </x:c>
    </x:row>
    <x:row r="178">
      <x:c r="A178" s="51" t="n">
        <x:v>38565</x:v>
      </x:c>
      <x:c r="B178" s="14" t="str">
        <x:v>Norte</x:v>
      </x:c>
      <x:c r="C178" s="14" t="str">
        <x:v>NORTE INTERLIGADO</x:v>
      </x:c>
      <x:c r="D178" s="53" t="str">
        <x:v>Cativo</x:v>
      </x:c>
      <x:c r="E178" s="49" t="n">
        <x:v>172840.237</x:v>
      </x:c>
      <x:c r="F178" s="52" t="n">
        <x:v>1313703</x:v>
      </x:c>
      <x:c r="G178" s="54" t="n">
        <x:v>46220</x:v>
      </x:c>
      <x:c r="H178" s="14" t="str">
        <x:f>IF(E178&lt;0,"Componente negativo — manter e investigar","OK")</x:f>
        <x:v>OK</x:v>
      </x:c>
    </x:row>
    <x:row r="179">
      <x:c r="A179" s="51" t="n">
        <x:v>38565</x:v>
      </x:c>
      <x:c r="B179" s="14" t="str">
        <x:v>Norte</x:v>
      </x:c>
      <x:c r="C179" s="14" t="str">
        <x:v>SISTEMAS ISOLADOS</x:v>
      </x:c>
      <x:c r="D179" s="53" t="str">
        <x:v>Cativo</x:v>
      </x:c>
      <x:c r="E179" s="49" t="n">
        <x:v>187992.448</x:v>
      </x:c>
      <x:c r="F179" s="52" t="n">
        <x:v>1149217</x:v>
      </x:c>
      <x:c r="G179" s="54" t="n">
        <x:v>46220</x:v>
      </x:c>
      <x:c r="H179" s="14" t="str">
        <x:f>IF(E179&lt;0,"Componente negativo — manter e investigar","OK")</x:f>
        <x:v>OK</x:v>
      </x:c>
    </x:row>
    <x:row r="180">
      <x:c r="A180" s="51" t="n">
        <x:v>38565</x:v>
      </x:c>
      <x:c r="B180" s="14" t="str">
        <x:v>Sudeste</x:v>
      </x:c>
      <x:c r="C180" s="14" t="str">
        <x:v>SUDESTE / CENTRO - OESTE</x:v>
      </x:c>
      <x:c r="D180" s="53" t="str">
        <x:v>Cativo</x:v>
      </x:c>
      <x:c r="E180" s="49" t="n">
        <x:v>3635143.3890000004</x:v>
      </x:c>
      <x:c r="F180" s="52" t="n">
        <x:v>23542268</x:v>
      </x:c>
      <x:c r="G180" s="54" t="n">
        <x:v>46220</x:v>
      </x:c>
      <x:c r="H180" s="14" t="str">
        <x:f>IF(E180&lt;0,"Componente negativo — manter e investigar","OK")</x:f>
        <x:v>OK</x:v>
      </x:c>
    </x:row>
    <x:row r="181">
      <x:c r="A181" s="51" t="n">
        <x:v>38565</x:v>
      </x:c>
      <x:c r="B181" s="14" t="str">
        <x:v>Sul</x:v>
      </x:c>
      <x:c r="C181" s="14" t="str">
        <x:v>SUL</x:v>
      </x:c>
      <x:c r="D181" s="53" t="str">
        <x:v>Cativo</x:v>
      </x:c>
      <x:c r="E181" s="49" t="n">
        <x:v>1129753.986</x:v>
      </x:c>
      <x:c r="F181" s="52" t="n">
        <x:v>7067678</x:v>
      </x:c>
      <x:c r="G181" s="54" t="n">
        <x:v>46220</x:v>
      </x:c>
      <x:c r="H181" s="14" t="str">
        <x:f>IF(E181&lt;0,"Componente negativo — manter e investigar","OK")</x:f>
        <x:v>OK</x:v>
      </x:c>
    </x:row>
    <x:row r="182">
      <x:c r="A182" s="51" t="n">
        <x:v>38596</x:v>
      </x:c>
      <x:c r="B182" s="14" t="str">
        <x:v>Centro-Oeste</x:v>
      </x:c>
      <x:c r="C182" s="14" t="str">
        <x:v>SISTEMAS ISOLADOS</x:v>
      </x:c>
      <x:c r="D182" s="53" t="str">
        <x:v>Cativo</x:v>
      </x:c>
      <x:c r="E182" s="49" t="n">
        <x:v>9806.962</x:v>
      </x:c>
      <x:c r="F182" s="52" t="n">
        <x:v>60618</x:v>
      </x:c>
      <x:c r="G182" s="54" t="n">
        <x:v>46220</x:v>
      </x:c>
      <x:c r="H182" s="14" t="str">
        <x:f>IF(E182&lt;0,"Componente negativo — manter e investigar","OK")</x:f>
        <x:v>OK</x:v>
      </x:c>
    </x:row>
    <x:row r="183">
      <x:c r="A183" s="51" t="n">
        <x:v>38596</x:v>
      </x:c>
      <x:c r="B183" s="14" t="str">
        <x:v>Centro-Oeste</x:v>
      </x:c>
      <x:c r="C183" s="14" t="str">
        <x:v>SUDESTE / CENTRO - OESTE</x:v>
      </x:c>
      <x:c r="D183" s="53" t="str">
        <x:v>Cativo</x:v>
      </x:c>
      <x:c r="E183" s="49" t="n">
        <x:v>529975.912</x:v>
      </x:c>
      <x:c r="F183" s="52" t="n">
        <x:v>3366627</x:v>
      </x:c>
      <x:c r="G183" s="54" t="n">
        <x:v>46220</x:v>
      </x:c>
      <x:c r="H183" s="14" t="str">
        <x:f>IF(E183&lt;0,"Componente negativo — manter e investigar","OK")</x:f>
        <x:v>OK</x:v>
      </x:c>
    </x:row>
    <x:row r="184">
      <x:c r="A184" s="51" t="n">
        <x:v>38596</x:v>
      </x:c>
      <x:c r="B184" s="14" t="str">
        <x:v>Nordeste</x:v>
      </x:c>
      <x:c r="C184" s="14" t="str">
        <x:v>NORDESTE</x:v>
      </x:c>
      <x:c r="D184" s="53" t="str">
        <x:v>Cativo</x:v>
      </x:c>
      <x:c r="E184" s="49" t="n">
        <x:v>982091.466</x:v>
      </x:c>
      <x:c r="F184" s="52" t="n">
        <x:v>10599409</x:v>
      </x:c>
      <x:c r="G184" s="54" t="n">
        <x:v>46220</x:v>
      </x:c>
      <x:c r="H184" s="14" t="str">
        <x:f>IF(E184&lt;0,"Componente negativo — manter e investigar","OK")</x:f>
        <x:v>OK</x:v>
      </x:c>
    </x:row>
    <x:row r="185">
      <x:c r="A185" s="51" t="n">
        <x:v>38596</x:v>
      </x:c>
      <x:c r="B185" s="14" t="str">
        <x:v>Nordeste</x:v>
      </x:c>
      <x:c r="C185" s="14" t="str">
        <x:v>NORTE INTERLIGADO</x:v>
      </x:c>
      <x:c r="D185" s="53" t="str">
        <x:v>Cativo</x:v>
      </x:c>
      <x:c r="E185" s="49" t="n">
        <x:v>95715.423</x:v>
      </x:c>
      <x:c r="F185" s="52" t="n">
        <x:v>1050691</x:v>
      </x:c>
      <x:c r="G185" s="54" t="n">
        <x:v>46220</x:v>
      </x:c>
      <x:c r="H185" s="14" t="str">
        <x:f>IF(E185&lt;0,"Componente negativo — manter e investigar","OK")</x:f>
        <x:v>OK</x:v>
      </x:c>
    </x:row>
    <x:row r="186">
      <x:c r="A186" s="51" t="n">
        <x:v>38596</x:v>
      </x:c>
      <x:c r="B186" s="14" t="str">
        <x:v>Nordeste</x:v>
      </x:c>
      <x:c r="C186" s="14" t="str">
        <x:v>SISTEMAS ISOLADOS</x:v>
      </x:c>
      <x:c r="D186" s="53" t="str">
        <x:v>Cativo</x:v>
      </x:c>
      <x:c r="E186" s="49" t="n">
        <x:v>179.402</x:v>
      </x:c>
      <x:c r="F186" s="52" t="n">
        <x:v>958</x:v>
      </x:c>
      <x:c r="G186" s="54" t="n">
        <x:v>46220</x:v>
      </x:c>
      <x:c r="H186" s="14" t="str">
        <x:f>IF(E186&lt;0,"Componente negativo — manter e investigar","OK")</x:f>
        <x:v>OK</x:v>
      </x:c>
    </x:row>
    <x:row r="187">
      <x:c r="A187" s="51" t="n">
        <x:v>38596</x:v>
      </x:c>
      <x:c r="B187" s="14" t="str">
        <x:v>Norte</x:v>
      </x:c>
      <x:c r="C187" s="14" t="str">
        <x:v>NORTE INTERLIGADO</x:v>
      </x:c>
      <x:c r="D187" s="53" t="str">
        <x:v>Cativo</x:v>
      </x:c>
      <x:c r="E187" s="49" t="n">
        <x:v>176853.561</x:v>
      </x:c>
      <x:c r="F187" s="52" t="n">
        <x:v>1320821</x:v>
      </x:c>
      <x:c r="G187" s="54" t="n">
        <x:v>46220</x:v>
      </x:c>
      <x:c r="H187" s="14" t="str">
        <x:f>IF(E187&lt;0,"Componente negativo — manter e investigar","OK")</x:f>
        <x:v>OK</x:v>
      </x:c>
    </x:row>
    <x:row r="188">
      <x:c r="A188" s="51" t="n">
        <x:v>38596</x:v>
      </x:c>
      <x:c r="B188" s="14" t="str">
        <x:v>Norte</x:v>
      </x:c>
      <x:c r="C188" s="14" t="str">
        <x:v>SISTEMAS ISOLADOS</x:v>
      </x:c>
      <x:c r="D188" s="53" t="str">
        <x:v>Cativo</x:v>
      </x:c>
      <x:c r="E188" s="49" t="n">
        <x:v>204701.441</x:v>
      </x:c>
      <x:c r="F188" s="52" t="n">
        <x:v>1154650</x:v>
      </x:c>
      <x:c r="G188" s="54" t="n">
        <x:v>46220</x:v>
      </x:c>
      <x:c r="H188" s="14" t="str">
        <x:f>IF(E188&lt;0,"Componente negativo — manter e investigar","OK")</x:f>
        <x:v>OK</x:v>
      </x:c>
    </x:row>
    <x:row r="189">
      <x:c r="A189" s="51" t="n">
        <x:v>38596</x:v>
      </x:c>
      <x:c r="B189" s="14" t="str">
        <x:v>Sudeste</x:v>
      </x:c>
      <x:c r="C189" s="14" t="str">
        <x:v>SUDESTE / CENTRO - OESTE</x:v>
      </x:c>
      <x:c r="D189" s="53" t="str">
        <x:v>Cativo</x:v>
      </x:c>
      <x:c r="E189" s="49" t="n">
        <x:v>3819948.141</x:v>
      </x:c>
      <x:c r="F189" s="52" t="n">
        <x:v>23596625</x:v>
      </x:c>
      <x:c r="G189" s="54" t="n">
        <x:v>46220</x:v>
      </x:c>
      <x:c r="H189" s="14" t="str">
        <x:f>IF(E189&lt;0,"Componente negativo — manter e investigar","OK")</x:f>
        <x:v>OK</x:v>
      </x:c>
    </x:row>
    <x:row r="190">
      <x:c r="A190" s="51" t="n">
        <x:v>38596</x:v>
      </x:c>
      <x:c r="B190" s="14" t="str">
        <x:v>Sul</x:v>
      </x:c>
      <x:c r="C190" s="14" t="str">
        <x:v>SUL</x:v>
      </x:c>
      <x:c r="D190" s="53" t="str">
        <x:v>Cativo</x:v>
      </x:c>
      <x:c r="E190" s="49" t="n">
        <x:v>1130082.242</x:v>
      </x:c>
      <x:c r="F190" s="52" t="n">
        <x:v>7080925</x:v>
      </x:c>
      <x:c r="G190" s="54" t="n">
        <x:v>46220</x:v>
      </x:c>
      <x:c r="H190" s="14" t="str">
        <x:f>IF(E190&lt;0,"Componente negativo — manter e investigar","OK")</x:f>
        <x:v>OK</x:v>
      </x:c>
    </x:row>
    <x:row r="191">
      <x:c r="A191" s="51" t="n">
        <x:v>38626</x:v>
      </x:c>
      <x:c r="B191" s="14" t="str">
        <x:v>Centro-Oeste</x:v>
      </x:c>
      <x:c r="C191" s="14" t="str">
        <x:v>SISTEMAS ISOLADOS</x:v>
      </x:c>
      <x:c r="D191" s="53" t="str">
        <x:v>Cativo</x:v>
      </x:c>
      <x:c r="E191" s="49" t="n">
        <x:v>9891.526</x:v>
      </x:c>
      <x:c r="F191" s="52" t="n">
        <x:v>60880</x:v>
      </x:c>
      <x:c r="G191" s="54" t="n">
        <x:v>46220</x:v>
      </x:c>
      <x:c r="H191" s="14" t="str">
        <x:f>IF(E191&lt;0,"Componente negativo — manter e investigar","OK")</x:f>
        <x:v>OK</x:v>
      </x:c>
    </x:row>
    <x:row r="192">
      <x:c r="A192" s="51" t="n">
        <x:v>38626</x:v>
      </x:c>
      <x:c r="B192" s="14" t="str">
        <x:v>Centro-Oeste</x:v>
      </x:c>
      <x:c r="C192" s="14" t="str">
        <x:v>SUDESTE / CENTRO - OESTE</x:v>
      </x:c>
      <x:c r="D192" s="53" t="str">
        <x:v>Cativo</x:v>
      </x:c>
      <x:c r="E192" s="49" t="n">
        <x:v>536791.9029999999</x:v>
      </x:c>
      <x:c r="F192" s="52" t="n">
        <x:v>3379265</x:v>
      </x:c>
      <x:c r="G192" s="54" t="n">
        <x:v>46220</x:v>
      </x:c>
      <x:c r="H192" s="14" t="str">
        <x:f>IF(E192&lt;0,"Componente negativo — manter e investigar","OK")</x:f>
        <x:v>OK</x:v>
      </x:c>
    </x:row>
    <x:row r="193">
      <x:c r="A193" s="51" t="n">
        <x:v>38626</x:v>
      </x:c>
      <x:c r="B193" s="14" t="str">
        <x:v>Nordeste</x:v>
      </x:c>
      <x:c r="C193" s="14" t="str">
        <x:v>NORDESTE</x:v>
      </x:c>
      <x:c r="D193" s="53" t="str">
        <x:v>Cativo</x:v>
      </x:c>
      <x:c r="E193" s="49" t="n">
        <x:v>1015012.1050000001</x:v>
      </x:c>
      <x:c r="F193" s="52" t="n">
        <x:v>10637326</x:v>
      </x:c>
      <x:c r="G193" s="54" t="n">
        <x:v>46220</x:v>
      </x:c>
      <x:c r="H193" s="14" t="str">
        <x:f>IF(E193&lt;0,"Componente negativo — manter e investigar","OK")</x:f>
        <x:v>OK</x:v>
      </x:c>
    </x:row>
    <x:row r="194">
      <x:c r="A194" s="51" t="n">
        <x:v>38626</x:v>
      </x:c>
      <x:c r="B194" s="14" t="str">
        <x:v>Nordeste</x:v>
      </x:c>
      <x:c r="C194" s="14" t="str">
        <x:v>NORTE INTERLIGADO</x:v>
      </x:c>
      <x:c r="D194" s="53" t="str">
        <x:v>Cativo</x:v>
      </x:c>
      <x:c r="E194" s="49" t="n">
        <x:v>96921.333</x:v>
      </x:c>
      <x:c r="F194" s="52" t="n">
        <x:v>1059115</x:v>
      </x:c>
      <x:c r="G194" s="54" t="n">
        <x:v>46220</x:v>
      </x:c>
      <x:c r="H194" s="14" t="str">
        <x:f>IF(E194&lt;0,"Componente negativo — manter e investigar","OK")</x:f>
        <x:v>OK</x:v>
      </x:c>
    </x:row>
    <x:row r="195">
      <x:c r="A195" s="51" t="n">
        <x:v>38626</x:v>
      </x:c>
      <x:c r="B195" s="14" t="str">
        <x:v>Nordeste</x:v>
      </x:c>
      <x:c r="C195" s="14" t="str">
        <x:v>SISTEMAS ISOLADOS</x:v>
      </x:c>
      <x:c r="D195" s="53" t="str">
        <x:v>Cativo</x:v>
      </x:c>
      <x:c r="E195" s="49" t="n">
        <x:v>177.714</x:v>
      </x:c>
      <x:c r="F195" s="52" t="n">
        <x:v>949</x:v>
      </x:c>
      <x:c r="G195" s="54" t="n">
        <x:v>46220</x:v>
      </x:c>
      <x:c r="H195" s="14" t="str">
        <x:f>IF(E195&lt;0,"Componente negativo — manter e investigar","OK")</x:f>
        <x:v>OK</x:v>
      </x:c>
    </x:row>
    <x:row r="196">
      <x:c r="A196" s="51" t="n">
        <x:v>38626</x:v>
      </x:c>
      <x:c r="B196" s="14" t="str">
        <x:v>Norte</x:v>
      </x:c>
      <x:c r="C196" s="14" t="str">
        <x:v>NORTE INTERLIGADO</x:v>
      </x:c>
      <x:c r="D196" s="53" t="str">
        <x:v>Cativo</x:v>
      </x:c>
      <x:c r="E196" s="49" t="n">
        <x:v>174004.086</x:v>
      </x:c>
      <x:c r="F196" s="52" t="n">
        <x:v>1322151</x:v>
      </x:c>
      <x:c r="G196" s="54" t="n">
        <x:v>46220</x:v>
      </x:c>
      <x:c r="H196" s="14" t="str">
        <x:f>IF(E196&lt;0,"Componente negativo — manter e investigar","OK")</x:f>
        <x:v>OK</x:v>
      </x:c>
    </x:row>
    <x:row r="197">
      <x:c r="A197" s="51" t="n">
        <x:v>38626</x:v>
      </x:c>
      <x:c r="B197" s="14" t="str">
        <x:v>Norte</x:v>
      </x:c>
      <x:c r="C197" s="14" t="str">
        <x:v>SISTEMAS ISOLADOS</x:v>
      </x:c>
      <x:c r="D197" s="53" t="str">
        <x:v>Cativo</x:v>
      </x:c>
      <x:c r="E197" s="49" t="n">
        <x:v>198752.447</x:v>
      </x:c>
      <x:c r="F197" s="52" t="n">
        <x:v>1159937</x:v>
      </x:c>
      <x:c r="G197" s="54" t="n">
        <x:v>46220</x:v>
      </x:c>
      <x:c r="H197" s="14" t="str">
        <x:f>IF(E197&lt;0,"Componente negativo — manter e investigar","OK")</x:f>
        <x:v>OK</x:v>
      </x:c>
    </x:row>
    <x:row r="198">
      <x:c r="A198" s="51" t="n">
        <x:v>38626</x:v>
      </x:c>
      <x:c r="B198" s="14" t="str">
        <x:v>Sudeste</x:v>
      </x:c>
      <x:c r="C198" s="14" t="str">
        <x:v>SUDESTE / CENTRO - OESTE</x:v>
      </x:c>
      <x:c r="D198" s="53" t="str">
        <x:v>Cativo</x:v>
      </x:c>
      <x:c r="E198" s="49" t="n">
        <x:v>3773673.0700000003</x:v>
      </x:c>
      <x:c r="F198" s="52" t="n">
        <x:v>23652402</x:v>
      </x:c>
      <x:c r="G198" s="54" t="n">
        <x:v>46220</x:v>
      </x:c>
      <x:c r="H198" s="14" t="str">
        <x:f>IF(E198&lt;0,"Componente negativo — manter e investigar","OK")</x:f>
        <x:v>OK</x:v>
      </x:c>
    </x:row>
    <x:row r="199">
      <x:c r="A199" s="51" t="n">
        <x:v>38626</x:v>
      </x:c>
      <x:c r="B199" s="14" t="str">
        <x:v>Sul</x:v>
      </x:c>
      <x:c r="C199" s="14" t="str">
        <x:v>SUL</x:v>
      </x:c>
      <x:c r="D199" s="53" t="str">
        <x:v>Cativo</x:v>
      </x:c>
      <x:c r="E199" s="49" t="n">
        <x:v>1112763.339</x:v>
      </x:c>
      <x:c r="F199" s="52" t="n">
        <x:v>7092486</x:v>
      </x:c>
      <x:c r="G199" s="54" t="n">
        <x:v>46220</x:v>
      </x:c>
      <x:c r="H199" s="14" t="str">
        <x:f>IF(E199&lt;0,"Componente negativo — manter e investigar","OK")</x:f>
        <x:v>OK</x:v>
      </x:c>
    </x:row>
    <x:row r="200">
      <x:c r="A200" s="51" t="n">
        <x:v>38657</x:v>
      </x:c>
      <x:c r="B200" s="14" t="str">
        <x:v>Centro-Oeste</x:v>
      </x:c>
      <x:c r="C200" s="14" t="str">
        <x:v>SISTEMAS ISOLADOS</x:v>
      </x:c>
      <x:c r="D200" s="53" t="str">
        <x:v>Cativo</x:v>
      </x:c>
      <x:c r="E200" s="49" t="n">
        <x:v>9971.744</x:v>
      </x:c>
      <x:c r="F200" s="52" t="n">
        <x:v>61167</x:v>
      </x:c>
      <x:c r="G200" s="54" t="n">
        <x:v>46220</x:v>
      </x:c>
      <x:c r="H200" s="14" t="str">
        <x:f>IF(E200&lt;0,"Componente negativo — manter e investigar","OK")</x:f>
        <x:v>OK</x:v>
      </x:c>
    </x:row>
    <x:row r="201">
      <x:c r="A201" s="51" t="n">
        <x:v>38657</x:v>
      </x:c>
      <x:c r="B201" s="14" t="str">
        <x:v>Centro-Oeste</x:v>
      </x:c>
      <x:c r="C201" s="14" t="str">
        <x:v>SUDESTE / CENTRO - OESTE</x:v>
      </x:c>
      <x:c r="D201" s="53" t="str">
        <x:v>Cativo</x:v>
      </x:c>
      <x:c r="E201" s="49" t="n">
        <x:v>540976.122</x:v>
      </x:c>
      <x:c r="F201" s="52" t="n">
        <x:v>3389158</x:v>
      </x:c>
      <x:c r="G201" s="54" t="n">
        <x:v>46220</x:v>
      </x:c>
      <x:c r="H201" s="14" t="str">
        <x:f>IF(E201&lt;0,"Componente negativo — manter e investigar","OK")</x:f>
        <x:v>OK</x:v>
      </x:c>
    </x:row>
    <x:row r="202">
      <x:c r="A202" s="51" t="n">
        <x:v>38657</x:v>
      </x:c>
      <x:c r="B202" s="14" t="str">
        <x:v>Nordeste</x:v>
      </x:c>
      <x:c r="C202" s="14" t="str">
        <x:v>NORDESTE</x:v>
      </x:c>
      <x:c r="D202" s="53" t="str">
        <x:v>Cativo</x:v>
      </x:c>
      <x:c r="E202" s="49" t="n">
        <x:v>1048068.7999999999</x:v>
      </x:c>
      <x:c r="F202" s="52" t="n">
        <x:v>10670644</x:v>
      </x:c>
      <x:c r="G202" s="54" t="n">
        <x:v>46220</x:v>
      </x:c>
      <x:c r="H202" s="14" t="str">
        <x:f>IF(E202&lt;0,"Componente negativo — manter e investigar","OK")</x:f>
        <x:v>OK</x:v>
      </x:c>
    </x:row>
    <x:row r="203">
      <x:c r="A203" s="51" t="n">
        <x:v>38657</x:v>
      </x:c>
      <x:c r="B203" s="14" t="str">
        <x:v>Nordeste</x:v>
      </x:c>
      <x:c r="C203" s="14" t="str">
        <x:v>NORTE INTERLIGADO</x:v>
      </x:c>
      <x:c r="D203" s="53" t="str">
        <x:v>Cativo</x:v>
      </x:c>
      <x:c r="E203" s="49" t="n">
        <x:v>101426.249</x:v>
      </x:c>
      <x:c r="F203" s="52" t="n">
        <x:v>1069973</x:v>
      </x:c>
      <x:c r="G203" s="54" t="n">
        <x:v>46220</x:v>
      </x:c>
      <x:c r="H203" s="14" t="str">
        <x:f>IF(E203&lt;0,"Componente negativo — manter e investigar","OK")</x:f>
        <x:v>OK</x:v>
      </x:c>
    </x:row>
    <x:row r="204">
      <x:c r="A204" s="51" t="n">
        <x:v>38657</x:v>
      </x:c>
      <x:c r="B204" s="14" t="str">
        <x:v>Nordeste</x:v>
      </x:c>
      <x:c r="C204" s="14" t="str">
        <x:v>SISTEMAS ISOLADOS</x:v>
      </x:c>
      <x:c r="D204" s="53" t="str">
        <x:v>Cativo</x:v>
      </x:c>
      <x:c r="E204" s="49" t="n">
        <x:v>173.243</x:v>
      </x:c>
      <x:c r="F204" s="52" t="n">
        <x:v>930</x:v>
      </x:c>
      <x:c r="G204" s="54" t="n">
        <x:v>46220</x:v>
      </x:c>
      <x:c r="H204" s="14" t="str">
        <x:f>IF(E204&lt;0,"Componente negativo — manter e investigar","OK")</x:f>
        <x:v>OK</x:v>
      </x:c>
    </x:row>
    <x:row r="205">
      <x:c r="A205" s="51" t="n">
        <x:v>38657</x:v>
      </x:c>
      <x:c r="B205" s="14" t="str">
        <x:v>Norte</x:v>
      </x:c>
      <x:c r="C205" s="14" t="str">
        <x:v>NORTE INTERLIGADO</x:v>
      </x:c>
      <x:c r="D205" s="53" t="str">
        <x:v>Cativo</x:v>
      </x:c>
      <x:c r="E205" s="49" t="n">
        <x:v>174966.705</x:v>
      </x:c>
      <x:c r="F205" s="52" t="n">
        <x:v>1321375</x:v>
      </x:c>
      <x:c r="G205" s="54" t="n">
        <x:v>46220</x:v>
      </x:c>
      <x:c r="H205" s="14" t="str">
        <x:f>IF(E205&lt;0,"Componente negativo — manter e investigar","OK")</x:f>
        <x:v>OK</x:v>
      </x:c>
    </x:row>
    <x:row r="206">
      <x:c r="A206" s="51" t="n">
        <x:v>38657</x:v>
      </x:c>
      <x:c r="B206" s="14" t="str">
        <x:v>Norte</x:v>
      </x:c>
      <x:c r="C206" s="14" t="str">
        <x:v>SISTEMAS ISOLADOS</x:v>
      </x:c>
      <x:c r="D206" s="53" t="str">
        <x:v>Cativo</x:v>
      </x:c>
      <x:c r="E206" s="49" t="n">
        <x:v>209595.441</x:v>
      </x:c>
      <x:c r="F206" s="52" t="n">
        <x:v>1163332</x:v>
      </x:c>
      <x:c r="G206" s="54" t="n">
        <x:v>46220</x:v>
      </x:c>
      <x:c r="H206" s="14" t="str">
        <x:f>IF(E206&lt;0,"Componente negativo — manter e investigar","OK")</x:f>
        <x:v>OK</x:v>
      </x:c>
    </x:row>
    <x:row r="207">
      <x:c r="A207" s="51" t="n">
        <x:v>38657</x:v>
      </x:c>
      <x:c r="B207" s="14" t="str">
        <x:v>Sudeste</x:v>
      </x:c>
      <x:c r="C207" s="14" t="str">
        <x:v>SUDESTE / CENTRO - OESTE</x:v>
      </x:c>
      <x:c r="D207" s="53" t="str">
        <x:v>Cativo</x:v>
      </x:c>
      <x:c r="E207" s="49" t="n">
        <x:v>3774517.6829999997</x:v>
      </x:c>
      <x:c r="F207" s="52" t="n">
        <x:v>23694791</x:v>
      </x:c>
      <x:c r="G207" s="54" t="n">
        <x:v>46220</x:v>
      </x:c>
      <x:c r="H207" s="14" t="str">
        <x:f>IF(E207&lt;0,"Componente negativo — manter e investigar","OK")</x:f>
        <x:v>OK</x:v>
      </x:c>
    </x:row>
    <x:row r="208">
      <x:c r="A208" s="51" t="n">
        <x:v>38657</x:v>
      </x:c>
      <x:c r="B208" s="14" t="str">
        <x:v>Sul</x:v>
      </x:c>
      <x:c r="C208" s="14" t="str">
        <x:v>SUL</x:v>
      </x:c>
      <x:c r="D208" s="53" t="str">
        <x:v>Cativo</x:v>
      </x:c>
      <x:c r="E208" s="49" t="n">
        <x:v>1116744.918</x:v>
      </x:c>
      <x:c r="F208" s="52" t="n">
        <x:v>7106368</x:v>
      </x:c>
      <x:c r="G208" s="54" t="n">
        <x:v>46220</x:v>
      </x:c>
      <x:c r="H208" s="14" t="str">
        <x:f>IF(E208&lt;0,"Componente negativo — manter e investigar","OK")</x:f>
        <x:v>OK</x:v>
      </x:c>
    </x:row>
    <x:row r="209">
      <x:c r="A209" s="51" t="n">
        <x:v>38687</x:v>
      </x:c>
      <x:c r="B209" s="14" t="str">
        <x:v>Centro-Oeste</x:v>
      </x:c>
      <x:c r="C209" s="14" t="str">
        <x:v>SISTEMAS ISOLADOS</x:v>
      </x:c>
      <x:c r="D209" s="53" t="str">
        <x:v>Cativo</x:v>
      </x:c>
      <x:c r="E209" s="49" t="n">
        <x:v>9501.358</x:v>
      </x:c>
      <x:c r="F209" s="52" t="n">
        <x:v>61867</x:v>
      </x:c>
      <x:c r="G209" s="54" t="n">
        <x:v>46220</x:v>
      </x:c>
      <x:c r="H209" s="14" t="str">
        <x:f>IF(E209&lt;0,"Componente negativo — manter e investigar","OK")</x:f>
        <x:v>OK</x:v>
      </x:c>
    </x:row>
    <x:row r="210">
      <x:c r="A210" s="51" t="n">
        <x:v>38687</x:v>
      </x:c>
      <x:c r="B210" s="14" t="str">
        <x:v>Centro-Oeste</x:v>
      </x:c>
      <x:c r="C210" s="14" t="str">
        <x:v>SUDESTE / CENTRO - OESTE</x:v>
      </x:c>
      <x:c r="D210" s="53" t="str">
        <x:v>Cativo</x:v>
      </x:c>
      <x:c r="E210" s="49" t="n">
        <x:v>519273.6890000001</x:v>
      </x:c>
      <x:c r="F210" s="52" t="n">
        <x:v>3401865</x:v>
      </x:c>
      <x:c r="G210" s="54" t="n">
        <x:v>46220</x:v>
      </x:c>
      <x:c r="H210" s="14" t="str">
        <x:f>IF(E210&lt;0,"Componente negativo — manter e investigar","OK")</x:f>
        <x:v>OK</x:v>
      </x:c>
    </x:row>
    <x:row r="211">
      <x:c r="A211" s="51" t="n">
        <x:v>38687</x:v>
      </x:c>
      <x:c r="B211" s="14" t="str">
        <x:v>Nordeste</x:v>
      </x:c>
      <x:c r="C211" s="14" t="str">
        <x:v>NORDESTE</x:v>
      </x:c>
      <x:c r="D211" s="53" t="str">
        <x:v>Cativo</x:v>
      </x:c>
      <x:c r="E211" s="49" t="n">
        <x:v>1061179.679</x:v>
      </x:c>
      <x:c r="F211" s="52" t="n">
        <x:v>10713608</x:v>
      </x:c>
      <x:c r="G211" s="54" t="n">
        <x:v>46220</x:v>
      </x:c>
      <x:c r="H211" s="14" t="str">
        <x:f>IF(E211&lt;0,"Componente negativo — manter e investigar","OK")</x:f>
        <x:v>OK</x:v>
      </x:c>
    </x:row>
    <x:row r="212">
      <x:c r="A212" s="51" t="n">
        <x:v>38687</x:v>
      </x:c>
      <x:c r="B212" s="14" t="str">
        <x:v>Nordeste</x:v>
      </x:c>
      <x:c r="C212" s="14" t="str">
        <x:v>NORTE INTERLIGADO</x:v>
      </x:c>
      <x:c r="D212" s="53" t="str">
        <x:v>Cativo</x:v>
      </x:c>
      <x:c r="E212" s="49" t="n">
        <x:v>100276.898</x:v>
      </x:c>
      <x:c r="F212" s="52" t="n">
        <x:v>1080252</x:v>
      </x:c>
      <x:c r="G212" s="54" t="n">
        <x:v>46220</x:v>
      </x:c>
      <x:c r="H212" s="14" t="str">
        <x:f>IF(E212&lt;0,"Componente negativo — manter e investigar","OK")</x:f>
        <x:v>OK</x:v>
      </x:c>
    </x:row>
    <x:row r="213">
      <x:c r="A213" s="51" t="n">
        <x:v>38687</x:v>
      </x:c>
      <x:c r="B213" s="14" t="str">
        <x:v>Nordeste</x:v>
      </x:c>
      <x:c r="C213" s="14" t="str">
        <x:v>SISTEMAS ISOLADOS</x:v>
      </x:c>
      <x:c r="D213" s="53" t="str">
        <x:v>Cativo</x:v>
      </x:c>
      <x:c r="E213" s="49" t="n">
        <x:v>192.496</x:v>
      </x:c>
      <x:c r="F213" s="52" t="n">
        <x:v>942</x:v>
      </x:c>
      <x:c r="G213" s="54" t="n">
        <x:v>46220</x:v>
      </x:c>
      <x:c r="H213" s="14" t="str">
        <x:f>IF(E213&lt;0,"Componente negativo — manter e investigar","OK")</x:f>
        <x:v>OK</x:v>
      </x:c>
    </x:row>
    <x:row r="214">
      <x:c r="A214" s="51" t="n">
        <x:v>38687</x:v>
      </x:c>
      <x:c r="B214" s="14" t="str">
        <x:v>Norte</x:v>
      </x:c>
      <x:c r="C214" s="14" t="str">
        <x:v>NORTE INTERLIGADO</x:v>
      </x:c>
      <x:c r="D214" s="53" t="str">
        <x:v>Cativo</x:v>
      </x:c>
      <x:c r="E214" s="49" t="n">
        <x:v>168984.012</x:v>
      </x:c>
      <x:c r="F214" s="52" t="n">
        <x:v>1324992</x:v>
      </x:c>
      <x:c r="G214" s="54" t="n">
        <x:v>46220</x:v>
      </x:c>
      <x:c r="H214" s="14" t="str">
        <x:f>IF(E214&lt;0,"Componente negativo — manter e investigar","OK")</x:f>
        <x:v>OK</x:v>
      </x:c>
    </x:row>
    <x:row r="215">
      <x:c r="A215" s="51" t="n">
        <x:v>38687</x:v>
      </x:c>
      <x:c r="B215" s="14" t="str">
        <x:v>Norte</x:v>
      </x:c>
      <x:c r="C215" s="14" t="str">
        <x:v>SISTEMAS ISOLADOS</x:v>
      </x:c>
      <x:c r="D215" s="53" t="str">
        <x:v>Cativo</x:v>
      </x:c>
      <x:c r="E215" s="49" t="n">
        <x:v>191968.903</x:v>
      </x:c>
      <x:c r="F215" s="52" t="n">
        <x:v>1166074</x:v>
      </x:c>
      <x:c r="G215" s="54" t="n">
        <x:v>46220</x:v>
      </x:c>
      <x:c r="H215" s="14" t="str">
        <x:f>IF(E215&lt;0,"Componente negativo — manter e investigar","OK")</x:f>
        <x:v>OK</x:v>
      </x:c>
    </x:row>
    <x:row r="216">
      <x:c r="A216" s="51" t="n">
        <x:v>38687</x:v>
      </x:c>
      <x:c r="B216" s="14" t="str">
        <x:v>Sudeste</x:v>
      </x:c>
      <x:c r="C216" s="14" t="str">
        <x:v>SUDESTE / CENTRO - OESTE</x:v>
      </x:c>
      <x:c r="D216" s="53" t="str">
        <x:v>Cativo</x:v>
      </x:c>
      <x:c r="E216" s="49" t="n">
        <x:v>3869508.3239999996</x:v>
      </x:c>
      <x:c r="F216" s="52" t="n">
        <x:v>23748325</x:v>
      </x:c>
      <x:c r="G216" s="54" t="n">
        <x:v>46220</x:v>
      </x:c>
      <x:c r="H216" s="14" t="str">
        <x:f>IF(E216&lt;0,"Componente negativo — manter e investigar","OK")</x:f>
        <x:v>OK</x:v>
      </x:c>
    </x:row>
    <x:row r="217">
      <x:c r="A217" s="51" t="n">
        <x:v>38687</x:v>
      </x:c>
      <x:c r="B217" s="14" t="str">
        <x:v>Sul</x:v>
      </x:c>
      <x:c r="C217" s="14" t="str">
        <x:v>SUL</x:v>
      </x:c>
      <x:c r="D217" s="53" t="str">
        <x:v>Cativo</x:v>
      </x:c>
      <x:c r="E217" s="49" t="n">
        <x:v>1156844.191</x:v>
      </x:c>
      <x:c r="F217" s="52" t="n">
        <x:v>7122993</x:v>
      </x:c>
      <x:c r="G217" s="54" t="n">
        <x:v>46220</x:v>
      </x:c>
      <x:c r="H217" s="14" t="str">
        <x:f>IF(E217&lt;0,"Componente negativo — manter e investigar","OK")</x:f>
        <x:v>OK</x:v>
      </x:c>
    </x:row>
    <x:row r="218">
      <x:c r="A218" s="51" t="n">
        <x:v>38718</x:v>
      </x:c>
      <x:c r="B218" s="14" t="str">
        <x:v>Centro-Oeste</x:v>
      </x:c>
      <x:c r="C218" s="14" t="str">
        <x:v>SISTEMAS ISOLADOS</x:v>
      </x:c>
      <x:c r="D218" s="53" t="str">
        <x:v>Cativo</x:v>
      </x:c>
      <x:c r="E218" s="49" t="n">
        <x:v>5484.238</x:v>
      </x:c>
      <x:c r="F218" s="52" t="n">
        <x:v>37486</x:v>
      </x:c>
      <x:c r="G218" s="54" t="n">
        <x:v>46220</x:v>
      </x:c>
      <x:c r="H218" s="14" t="str">
        <x:f>IF(E218&lt;0,"Componente negativo — manter e investigar","OK")</x:f>
        <x:v>OK</x:v>
      </x:c>
    </x:row>
    <x:row r="219">
      <x:c r="A219" s="51" t="n">
        <x:v>38718</x:v>
      </x:c>
      <x:c r="B219" s="14" t="str">
        <x:v>Centro-Oeste</x:v>
      </x:c>
      <x:c r="C219" s="14" t="str">
        <x:v>SUDESTE / CENTRO - OESTE</x:v>
      </x:c>
      <x:c r="D219" s="53" t="str">
        <x:v>Cativo</x:v>
      </x:c>
      <x:c r="E219" s="49" t="n">
        <x:v>521739.516</x:v>
      </x:c>
      <x:c r="F219" s="52" t="n">
        <x:v>3433599</x:v>
      </x:c>
      <x:c r="G219" s="54" t="n">
        <x:v>46220</x:v>
      </x:c>
      <x:c r="H219" s="14" t="str">
        <x:f>IF(E219&lt;0,"Componente negativo — manter e investigar","OK")</x:f>
        <x:v>OK</x:v>
      </x:c>
    </x:row>
    <x:row r="220">
      <x:c r="A220" s="51" t="n">
        <x:v>38718</x:v>
      </x:c>
      <x:c r="B220" s="14" t="str">
        <x:v>Nordeste</x:v>
      </x:c>
      <x:c r="C220" s="14" t="str">
        <x:v>NORDESTE</x:v>
      </x:c>
      <x:c r="D220" s="53" t="str">
        <x:v>Cativo</x:v>
      </x:c>
      <x:c r="E220" s="49" t="n">
        <x:v>1076942.523</x:v>
      </x:c>
      <x:c r="F220" s="52" t="n">
        <x:v>10758294</x:v>
      </x:c>
      <x:c r="G220" s="54" t="n">
        <x:v>46220</x:v>
      </x:c>
      <x:c r="H220" s="14" t="str">
        <x:f>IF(E220&lt;0,"Componente negativo — manter e investigar","OK")</x:f>
        <x:v>OK</x:v>
      </x:c>
    </x:row>
    <x:row r="221">
      <x:c r="A221" s="51" t="n">
        <x:v>38718</x:v>
      </x:c>
      <x:c r="B221" s="14" t="str">
        <x:v>Nordeste</x:v>
      </x:c>
      <x:c r="C221" s="14" t="str">
        <x:v>NORTE INTERLIGADO</x:v>
      </x:c>
      <x:c r="D221" s="53" t="str">
        <x:v>Cativo</x:v>
      </x:c>
      <x:c r="E221" s="49" t="n">
        <x:v>98453.704</x:v>
      </x:c>
      <x:c r="F221" s="52" t="n">
        <x:v>1087623</x:v>
      </x:c>
      <x:c r="G221" s="54" t="n">
        <x:v>46220</x:v>
      </x:c>
      <x:c r="H221" s="14" t="str">
        <x:f>IF(E221&lt;0,"Componente negativo — manter e investigar","OK")</x:f>
        <x:v>OK</x:v>
      </x:c>
    </x:row>
    <x:row r="222">
      <x:c r="A222" s="51" t="n">
        <x:v>38718</x:v>
      </x:c>
      <x:c r="B222" s="14" t="str">
        <x:v>Nordeste</x:v>
      </x:c>
      <x:c r="C222" s="14" t="str">
        <x:v>SISTEMAS ISOLADOS</x:v>
      </x:c>
      <x:c r="D222" s="53" t="str">
        <x:v>Cativo</x:v>
      </x:c>
      <x:c r="E222" s="49" t="n">
        <x:v>179.974</x:v>
      </x:c>
      <x:c r="F222" s="52" t="n">
        <x:v>948</x:v>
      </x:c>
      <x:c r="G222" s="54" t="n">
        <x:v>46220</x:v>
      </x:c>
      <x:c r="H222" s="14" t="str">
        <x:f>IF(E222&lt;0,"Componente negativo — manter e investigar","OK")</x:f>
        <x:v>OK</x:v>
      </x:c>
    </x:row>
    <x:row r="223">
      <x:c r="A223" s="51" t="n">
        <x:v>38718</x:v>
      </x:c>
      <x:c r="B223" s="14" t="str">
        <x:v>Norte</x:v>
      </x:c>
      <x:c r="C223" s="14" t="str">
        <x:v>NORTE INTERLIGADO</x:v>
      </x:c>
      <x:c r="D223" s="53" t="str">
        <x:v>Cativo</x:v>
      </x:c>
      <x:c r="E223" s="49" t="n">
        <x:v>165418.596</x:v>
      </x:c>
      <x:c r="F223" s="52" t="n">
        <x:v>1332397</x:v>
      </x:c>
      <x:c r="G223" s="54" t="n">
        <x:v>46220</x:v>
      </x:c>
      <x:c r="H223" s="14" t="str">
        <x:f>IF(E223&lt;0,"Componente negativo — manter e investigar","OK")</x:f>
        <x:v>OK</x:v>
      </x:c>
    </x:row>
    <x:row r="224">
      <x:c r="A224" s="51" t="n">
        <x:v>38718</x:v>
      </x:c>
      <x:c r="B224" s="14" t="str">
        <x:v>Norte</x:v>
      </x:c>
      <x:c r="C224" s="14" t="str">
        <x:v>SISTEMAS ISOLADOS</x:v>
      </x:c>
      <x:c r="D224" s="53" t="str">
        <x:v>Cativo</x:v>
      </x:c>
      <x:c r="E224" s="49" t="n">
        <x:v>186667.274</x:v>
      </x:c>
      <x:c r="F224" s="52" t="n">
        <x:v>1170169</x:v>
      </x:c>
      <x:c r="G224" s="54" t="n">
        <x:v>46220</x:v>
      </x:c>
      <x:c r="H224" s="14" t="str">
        <x:f>IF(E224&lt;0,"Componente negativo — manter e investigar","OK")</x:f>
        <x:v>OK</x:v>
      </x:c>
    </x:row>
    <x:row r="225">
      <x:c r="A225" s="51" t="n">
        <x:v>38718</x:v>
      </x:c>
      <x:c r="B225" s="14" t="str">
        <x:v>Sudeste</x:v>
      </x:c>
      <x:c r="C225" s="14" t="str">
        <x:v>SUDESTE / CENTRO - OESTE</x:v>
      </x:c>
      <x:c r="D225" s="53" t="str">
        <x:v>Cativo</x:v>
      </x:c>
      <x:c r="E225" s="49" t="n">
        <x:v>3895001.6289999997</x:v>
      </x:c>
      <x:c r="F225" s="52" t="n">
        <x:v>23865976</x:v>
      </x:c>
      <x:c r="G225" s="54" t="n">
        <x:v>46220</x:v>
      </x:c>
      <x:c r="H225" s="14" t="str">
        <x:f>IF(E225&lt;0,"Componente negativo — manter e investigar","OK")</x:f>
        <x:v>OK</x:v>
      </x:c>
    </x:row>
    <x:row r="226">
      <x:c r="A226" s="51" t="n">
        <x:v>38718</x:v>
      </x:c>
      <x:c r="B226" s="14" t="str">
        <x:v>Sul</x:v>
      </x:c>
      <x:c r="C226" s="14" t="str">
        <x:v>SUL</x:v>
      </x:c>
      <x:c r="D226" s="53" t="str">
        <x:v>Cativo</x:v>
      </x:c>
      <x:c r="E226" s="49" t="n">
        <x:v>1217744.498</x:v>
      </x:c>
      <x:c r="F226" s="52" t="n">
        <x:v>7146190</x:v>
      </x:c>
      <x:c r="G226" s="54" t="n">
        <x:v>46220</x:v>
      </x:c>
      <x:c r="H226" s="14" t="str">
        <x:f>IF(E226&lt;0,"Componente negativo — manter e investigar","OK")</x:f>
        <x:v>OK</x:v>
      </x:c>
    </x:row>
    <x:row r="227">
      <x:c r="A227" s="51" t="n">
        <x:v>38749</x:v>
      </x:c>
      <x:c r="B227" s="14" t="str">
        <x:v>Centro-Oeste</x:v>
      </x:c>
      <x:c r="C227" s="14" t="str">
        <x:v>SISTEMAS ISOLADOS</x:v>
      </x:c>
      <x:c r="D227" s="53" t="str">
        <x:v>Cativo</x:v>
      </x:c>
      <x:c r="E227" s="49" t="n">
        <x:v>5643.025</x:v>
      </x:c>
      <x:c r="F227" s="52" t="n">
        <x:v>36769</x:v>
      </x:c>
      <x:c r="G227" s="54" t="n">
        <x:v>46220</x:v>
      </x:c>
      <x:c r="H227" s="14" t="str">
        <x:f>IF(E227&lt;0,"Componente negativo — manter e investigar","OK")</x:f>
        <x:v>OK</x:v>
      </x:c>
    </x:row>
    <x:row r="228">
      <x:c r="A228" s="51" t="n">
        <x:v>38749</x:v>
      </x:c>
      <x:c r="B228" s="14" t="str">
        <x:v>Centro-Oeste</x:v>
      </x:c>
      <x:c r="C228" s="14" t="str">
        <x:v>SUDESTE / CENTRO - OESTE</x:v>
      </x:c>
      <x:c r="D228" s="53" t="str">
        <x:v>Cativo</x:v>
      </x:c>
      <x:c r="E228" s="49" t="n">
        <x:v>527441.22</x:v>
      </x:c>
      <x:c r="F228" s="52" t="n">
        <x:v>3439387</x:v>
      </x:c>
      <x:c r="G228" s="54" t="n">
        <x:v>46220</x:v>
      </x:c>
      <x:c r="H228" s="14" t="str">
        <x:f>IF(E228&lt;0,"Componente negativo — manter e investigar","OK")</x:f>
        <x:v>OK</x:v>
      </x:c>
    </x:row>
    <x:row r="229">
      <x:c r="A229" s="51" t="n">
        <x:v>38749</x:v>
      </x:c>
      <x:c r="B229" s="14" t="str">
        <x:v>Nordeste</x:v>
      </x:c>
      <x:c r="C229" s="14" t="str">
        <x:v>NORDESTE</x:v>
      </x:c>
      <x:c r="D229" s="53" t="str">
        <x:v>Cativo</x:v>
      </x:c>
      <x:c r="E229" s="49" t="n">
        <x:v>1035015.978</x:v>
      </x:c>
      <x:c r="F229" s="52" t="n">
        <x:v>10799007</x:v>
      </x:c>
      <x:c r="G229" s="54" t="n">
        <x:v>46220</x:v>
      </x:c>
      <x:c r="H229" s="14" t="str">
        <x:f>IF(E229&lt;0,"Componente negativo — manter e investigar","OK")</x:f>
        <x:v>OK</x:v>
      </x:c>
    </x:row>
    <x:row r="230">
      <x:c r="A230" s="51" t="n">
        <x:v>38749</x:v>
      </x:c>
      <x:c r="B230" s="14" t="str">
        <x:v>Nordeste</x:v>
      </x:c>
      <x:c r="C230" s="14" t="str">
        <x:v>NORTE INTERLIGADO</x:v>
      </x:c>
      <x:c r="D230" s="53" t="str">
        <x:v>Cativo</x:v>
      </x:c>
      <x:c r="E230" s="49" t="n">
        <x:v>91533.356</x:v>
      </x:c>
      <x:c r="F230" s="52" t="n">
        <x:v>1093106</x:v>
      </x:c>
      <x:c r="G230" s="54" t="n">
        <x:v>46220</x:v>
      </x:c>
      <x:c r="H230" s="14" t="str">
        <x:f>IF(E230&lt;0,"Componente negativo — manter e investigar","OK")</x:f>
        <x:v>OK</x:v>
      </x:c>
    </x:row>
    <x:row r="231">
      <x:c r="A231" s="51" t="n">
        <x:v>38749</x:v>
      </x:c>
      <x:c r="B231" s="14" t="str">
        <x:v>Nordeste</x:v>
      </x:c>
      <x:c r="C231" s="14" t="str">
        <x:v>SISTEMAS ISOLADOS</x:v>
      </x:c>
      <x:c r="D231" s="53" t="str">
        <x:v>Cativo</x:v>
      </x:c>
      <x:c r="E231" s="49" t="n">
        <x:v>204.074</x:v>
      </x:c>
      <x:c r="F231" s="52" t="n">
        <x:v>957</x:v>
      </x:c>
      <x:c r="G231" s="54" t="n">
        <x:v>46220</x:v>
      </x:c>
      <x:c r="H231" s="14" t="str">
        <x:f>IF(E231&lt;0,"Componente negativo — manter e investigar","OK")</x:f>
        <x:v>OK</x:v>
      </x:c>
    </x:row>
    <x:row r="232">
      <x:c r="A232" s="51" t="n">
        <x:v>38749</x:v>
      </x:c>
      <x:c r="B232" s="14" t="str">
        <x:v>Norte</x:v>
      </x:c>
      <x:c r="C232" s="14" t="str">
        <x:v>NORTE INTERLIGADO</x:v>
      </x:c>
      <x:c r="D232" s="53" t="str">
        <x:v>Cativo</x:v>
      </x:c>
      <x:c r="E232" s="49" t="n">
        <x:v>159608.985</x:v>
      </x:c>
      <x:c r="F232" s="52" t="n">
        <x:v>1339221</x:v>
      </x:c>
      <x:c r="G232" s="54" t="n">
        <x:v>46220</x:v>
      </x:c>
      <x:c r="H232" s="14" t="str">
        <x:f>IF(E232&lt;0,"Componente negativo — manter e investigar","OK")</x:f>
        <x:v>OK</x:v>
      </x:c>
    </x:row>
    <x:row r="233">
      <x:c r="A233" s="51" t="n">
        <x:v>38749</x:v>
      </x:c>
      <x:c r="B233" s="14" t="str">
        <x:v>Norte</x:v>
      </x:c>
      <x:c r="C233" s="14" t="str">
        <x:v>SISTEMAS ISOLADOS</x:v>
      </x:c>
      <x:c r="D233" s="53" t="str">
        <x:v>Cativo</x:v>
      </x:c>
      <x:c r="E233" s="49" t="n">
        <x:v>183393.253</x:v>
      </x:c>
      <x:c r="F233" s="52" t="n">
        <x:v>1175076</x:v>
      </x:c>
      <x:c r="G233" s="54" t="n">
        <x:v>46220</x:v>
      </x:c>
      <x:c r="H233" s="14" t="str">
        <x:f>IF(E233&lt;0,"Componente negativo — manter e investigar","OK")</x:f>
        <x:v>OK</x:v>
      </x:c>
    </x:row>
    <x:row r="234">
      <x:c r="A234" s="51" t="n">
        <x:v>38749</x:v>
      </x:c>
      <x:c r="B234" s="14" t="str">
        <x:v>Sudeste</x:v>
      </x:c>
      <x:c r="C234" s="14" t="str">
        <x:v>SUDESTE / CENTRO - OESTE</x:v>
      </x:c>
      <x:c r="D234" s="53" t="str">
        <x:v>Cativo</x:v>
      </x:c>
      <x:c r="E234" s="49" t="n">
        <x:v>3891194.9120000005</x:v>
      </x:c>
      <x:c r="F234" s="52" t="n">
        <x:v>23904695</x:v>
      </x:c>
      <x:c r="G234" s="54" t="n">
        <x:v>46220</x:v>
      </x:c>
      <x:c r="H234" s="14" t="str">
        <x:f>IF(E234&lt;0,"Componente negativo — manter e investigar","OK")</x:f>
        <x:v>OK</x:v>
      </x:c>
    </x:row>
    <x:row r="235">
      <x:c r="A235" s="51" t="n">
        <x:v>38749</x:v>
      </x:c>
      <x:c r="B235" s="14" t="str">
        <x:v>Sul</x:v>
      </x:c>
      <x:c r="C235" s="14" t="str">
        <x:v>SUL</x:v>
      </x:c>
      <x:c r="D235" s="53" t="str">
        <x:v>Cativo</x:v>
      </x:c>
      <x:c r="E235" s="49" t="n">
        <x:v>1237780.735</x:v>
      </x:c>
      <x:c r="F235" s="52" t="n">
        <x:v>7161437</x:v>
      </x:c>
      <x:c r="G235" s="54" t="n">
        <x:v>46220</x:v>
      </x:c>
      <x:c r="H235" s="14" t="str">
        <x:f>IF(E235&lt;0,"Componente negativo — manter e investigar","OK")</x:f>
        <x:v>OK</x:v>
      </x:c>
    </x:row>
    <x:row r="236">
      <x:c r="A236" s="51" t="n">
        <x:v>38777</x:v>
      </x:c>
      <x:c r="B236" s="14" t="str">
        <x:v>Centro-Oeste</x:v>
      </x:c>
      <x:c r="C236" s="14" t="str">
        <x:v>SISTEMAS ISOLADOS</x:v>
      </x:c>
      <x:c r="D236" s="53" t="str">
        <x:v>Cativo</x:v>
      </x:c>
      <x:c r="E236" s="49" t="n">
        <x:v>5535.408</x:v>
      </x:c>
      <x:c r="F236" s="52" t="n">
        <x:v>37147</x:v>
      </x:c>
      <x:c r="G236" s="54" t="n">
        <x:v>46220</x:v>
      </x:c>
      <x:c r="H236" s="14" t="str">
        <x:f>IF(E236&lt;0,"Componente negativo — manter e investigar","OK")</x:f>
        <x:v>OK</x:v>
      </x:c>
    </x:row>
    <x:row r="237">
      <x:c r="A237" s="51" t="n">
        <x:v>38777</x:v>
      </x:c>
      <x:c r="B237" s="14" t="str">
        <x:v>Centro-Oeste</x:v>
      </x:c>
      <x:c r="C237" s="14" t="str">
        <x:v>SUDESTE / CENTRO - OESTE</x:v>
      </x:c>
      <x:c r="D237" s="53" t="str">
        <x:v>Cativo</x:v>
      </x:c>
      <x:c r="E237" s="49" t="n">
        <x:v>525811.702</x:v>
      </x:c>
      <x:c r="F237" s="52" t="n">
        <x:v>3450167</x:v>
      </x:c>
      <x:c r="G237" s="54" t="n">
        <x:v>46220</x:v>
      </x:c>
      <x:c r="H237" s="14" t="str">
        <x:f>IF(E237&lt;0,"Componente negativo — manter e investigar","OK")</x:f>
        <x:v>OK</x:v>
      </x:c>
    </x:row>
    <x:row r="238">
      <x:c r="A238" s="51" t="n">
        <x:v>38777</x:v>
      </x:c>
      <x:c r="B238" s="14" t="str">
        <x:v>Nordeste</x:v>
      </x:c>
      <x:c r="C238" s="14" t="str">
        <x:v>NORDESTE</x:v>
      </x:c>
      <x:c r="D238" s="53" t="str">
        <x:v>Cativo</x:v>
      </x:c>
      <x:c r="E238" s="49" t="n">
        <x:v>1112221.398</x:v>
      </x:c>
      <x:c r="F238" s="52" t="n">
        <x:v>10843218</x:v>
      </x:c>
      <x:c r="G238" s="54" t="n">
        <x:v>46220</x:v>
      </x:c>
      <x:c r="H238" s="14" t="str">
        <x:f>IF(E238&lt;0,"Componente negativo — manter e investigar","OK")</x:f>
        <x:v>OK</x:v>
      </x:c>
    </x:row>
    <x:row r="239">
      <x:c r="A239" s="51" t="n">
        <x:v>38777</x:v>
      </x:c>
      <x:c r="B239" s="14" t="str">
        <x:v>Nordeste</x:v>
      </x:c>
      <x:c r="C239" s="14" t="str">
        <x:v>NORTE INTERLIGADO</x:v>
      </x:c>
      <x:c r="D239" s="53" t="str">
        <x:v>Cativo</x:v>
      </x:c>
      <x:c r="E239" s="49" t="n">
        <x:v>92436.612</x:v>
      </x:c>
      <x:c r="F239" s="52" t="n">
        <x:v>1101070</x:v>
      </x:c>
      <x:c r="G239" s="54" t="n">
        <x:v>46220</x:v>
      </x:c>
      <x:c r="H239" s="14" t="str">
        <x:f>IF(E239&lt;0,"Componente negativo — manter e investigar","OK")</x:f>
        <x:v>OK</x:v>
      </x:c>
    </x:row>
    <x:row r="240">
      <x:c r="A240" s="51" t="n">
        <x:v>38777</x:v>
      </x:c>
      <x:c r="B240" s="14" t="str">
        <x:v>Nordeste</x:v>
      </x:c>
      <x:c r="C240" s="14" t="str">
        <x:v>SISTEMAS ISOLADOS</x:v>
      </x:c>
      <x:c r="D240" s="53" t="str">
        <x:v>Cativo</x:v>
      </x:c>
      <x:c r="E240" s="49" t="n">
        <x:v>185.089</x:v>
      </x:c>
      <x:c r="F240" s="52" t="n">
        <x:v>969</x:v>
      </x:c>
      <x:c r="G240" s="54" t="n">
        <x:v>46220</x:v>
      </x:c>
      <x:c r="H240" s="14" t="str">
        <x:f>IF(E240&lt;0,"Componente negativo — manter e investigar","OK")</x:f>
        <x:v>OK</x:v>
      </x:c>
    </x:row>
    <x:row r="241">
      <x:c r="A241" s="51" t="n">
        <x:v>38777</x:v>
      </x:c>
      <x:c r="B241" s="14" t="str">
        <x:v>Norte</x:v>
      </x:c>
      <x:c r="C241" s="14" t="str">
        <x:v>NORTE INTERLIGADO</x:v>
      </x:c>
      <x:c r="D241" s="53" t="str">
        <x:v>Cativo</x:v>
      </x:c>
      <x:c r="E241" s="49" t="n">
        <x:v>158130.806</x:v>
      </x:c>
      <x:c r="F241" s="52" t="n">
        <x:v>1344059</x:v>
      </x:c>
      <x:c r="G241" s="54" t="n">
        <x:v>46220</x:v>
      </x:c>
      <x:c r="H241" s="14" t="str">
        <x:f>IF(E241&lt;0,"Componente negativo — manter e investigar","OK")</x:f>
        <x:v>OK</x:v>
      </x:c>
    </x:row>
    <x:row r="242">
      <x:c r="A242" s="51" t="n">
        <x:v>38777</x:v>
      </x:c>
      <x:c r="B242" s="14" t="str">
        <x:v>Norte</x:v>
      </x:c>
      <x:c r="C242" s="14" t="str">
        <x:v>SISTEMAS ISOLADOS</x:v>
      </x:c>
      <x:c r="D242" s="53" t="str">
        <x:v>Cativo</x:v>
      </x:c>
      <x:c r="E242" s="49" t="n">
        <x:v>186281.951</x:v>
      </x:c>
      <x:c r="F242" s="52" t="n">
        <x:v>1180483</x:v>
      </x:c>
      <x:c r="G242" s="54" t="n">
        <x:v>46220</x:v>
      </x:c>
      <x:c r="H242" s="14" t="str">
        <x:f>IF(E242&lt;0,"Componente negativo — manter e investigar","OK")</x:f>
        <x:v>OK</x:v>
      </x:c>
    </x:row>
    <x:row r="243">
      <x:c r="A243" s="51" t="n">
        <x:v>38777</x:v>
      </x:c>
      <x:c r="B243" s="14" t="str">
        <x:v>Sudeste</x:v>
      </x:c>
      <x:c r="C243" s="14" t="str">
        <x:v>SUDESTE / CENTRO - OESTE</x:v>
      </x:c>
      <x:c r="D243" s="53" t="str">
        <x:v>Cativo</x:v>
      </x:c>
      <x:c r="E243" s="49" t="n">
        <x:v>4121516.4790000007</x:v>
      </x:c>
      <x:c r="F243" s="52" t="n">
        <x:v>24005599</x:v>
      </x:c>
      <x:c r="G243" s="54" t="n">
        <x:v>46220</x:v>
      </x:c>
      <x:c r="H243" s="14" t="str">
        <x:f>IF(E243&lt;0,"Componente negativo — manter e investigar","OK")</x:f>
        <x:v>OK</x:v>
      </x:c>
    </x:row>
    <x:row r="244">
      <x:c r="A244" s="51" t="n">
        <x:v>38777</x:v>
      </x:c>
      <x:c r="B244" s="14" t="str">
        <x:v>Sul</x:v>
      </x:c>
      <x:c r="C244" s="14" t="str">
        <x:v>SUL</x:v>
      </x:c>
      <x:c r="D244" s="53" t="str">
        <x:v>Cativo</x:v>
      </x:c>
      <x:c r="E244" s="49" t="n">
        <x:v>1206397.2360000003</x:v>
      </x:c>
      <x:c r="F244" s="52" t="n">
        <x:v>7179711</x:v>
      </x:c>
      <x:c r="G244" s="54" t="n">
        <x:v>46220</x:v>
      </x:c>
      <x:c r="H244" s="14" t="str">
        <x:f>IF(E244&lt;0,"Componente negativo — manter e investigar","OK")</x:f>
        <x:v>OK</x:v>
      </x:c>
    </x:row>
    <x:row r="245">
      <x:c r="A245" s="51" t="n">
        <x:v>38808</x:v>
      </x:c>
      <x:c r="B245" s="14" t="str">
        <x:v>Centro-Oeste</x:v>
      </x:c>
      <x:c r="C245" s="14" t="str">
        <x:v>SISTEMAS ISOLADOS</x:v>
      </x:c>
      <x:c r="D245" s="53" t="str">
        <x:v>Cativo</x:v>
      </x:c>
      <x:c r="E245" s="49" t="n">
        <x:v>5575.709</x:v>
      </x:c>
      <x:c r="F245" s="52" t="n">
        <x:v>37428</x:v>
      </x:c>
      <x:c r="G245" s="54" t="n">
        <x:v>46220</x:v>
      </x:c>
      <x:c r="H245" s="14" t="str">
        <x:f>IF(E245&lt;0,"Componente negativo — manter e investigar","OK")</x:f>
        <x:v>OK</x:v>
      </x:c>
    </x:row>
    <x:row r="246">
      <x:c r="A246" s="51" t="n">
        <x:v>38808</x:v>
      </x:c>
      <x:c r="B246" s="14" t="str">
        <x:v>Centro-Oeste</x:v>
      </x:c>
      <x:c r="C246" s="14" t="str">
        <x:v>SUDESTE / CENTRO - OESTE</x:v>
      </x:c>
      <x:c r="D246" s="53" t="str">
        <x:v>Cativo</x:v>
      </x:c>
      <x:c r="E246" s="49" t="n">
        <x:v>550218.138</x:v>
      </x:c>
      <x:c r="F246" s="52" t="n">
        <x:v>3457903</x:v>
      </x:c>
      <x:c r="G246" s="54" t="n">
        <x:v>46220</x:v>
      </x:c>
      <x:c r="H246" s="14" t="str">
        <x:f>IF(E246&lt;0,"Componente negativo — manter e investigar","OK")</x:f>
        <x:v>OK</x:v>
      </x:c>
    </x:row>
    <x:row r="247">
      <x:c r="A247" s="51" t="n">
        <x:v>38808</x:v>
      </x:c>
      <x:c r="B247" s="14" t="str">
        <x:v>Nordeste</x:v>
      </x:c>
      <x:c r="C247" s="14" t="str">
        <x:v>NORDESTE</x:v>
      </x:c>
      <x:c r="D247" s="53" t="str">
        <x:v>Cativo</x:v>
      </x:c>
      <x:c r="E247" s="49" t="n">
        <x:v>1083456.0289999999</x:v>
      </x:c>
      <x:c r="F247" s="52" t="n">
        <x:v>10884214</x:v>
      </x:c>
      <x:c r="G247" s="54" t="n">
        <x:v>46220</x:v>
      </x:c>
      <x:c r="H247" s="14" t="str">
        <x:f>IF(E247&lt;0,"Componente negativo — manter e investigar","OK")</x:f>
        <x:v>OK</x:v>
      </x:c>
    </x:row>
    <x:row r="248">
      <x:c r="A248" s="51" t="n">
        <x:v>38808</x:v>
      </x:c>
      <x:c r="B248" s="14" t="str">
        <x:v>Nordeste</x:v>
      </x:c>
      <x:c r="C248" s="14" t="str">
        <x:v>NORTE INTERLIGADO</x:v>
      </x:c>
      <x:c r="D248" s="53" t="str">
        <x:v>Cativo</x:v>
      </x:c>
      <x:c r="E248" s="49" t="n">
        <x:v>100294.294</x:v>
      </x:c>
      <x:c r="F248" s="52" t="n">
        <x:v>1111045</x:v>
      </x:c>
      <x:c r="G248" s="54" t="n">
        <x:v>46220</x:v>
      </x:c>
      <x:c r="H248" s="14" t="str">
        <x:f>IF(E248&lt;0,"Componente negativo — manter e investigar","OK")</x:f>
        <x:v>OK</x:v>
      </x:c>
    </x:row>
    <x:row r="249">
      <x:c r="A249" s="51" t="n">
        <x:v>38808</x:v>
      </x:c>
      <x:c r="B249" s="14" t="str">
        <x:v>Nordeste</x:v>
      </x:c>
      <x:c r="C249" s="14" t="str">
        <x:v>SISTEMAS ISOLADOS</x:v>
      </x:c>
      <x:c r="D249" s="53" t="str">
        <x:v>Cativo</x:v>
      </x:c>
      <x:c r="E249" s="49" t="n">
        <x:v>195.718</x:v>
      </x:c>
      <x:c r="F249" s="52" t="n">
        <x:v>966</x:v>
      </x:c>
      <x:c r="G249" s="54" t="n">
        <x:v>46220</x:v>
      </x:c>
      <x:c r="H249" s="14" t="str">
        <x:f>IF(E249&lt;0,"Componente negativo — manter e investigar","OK")</x:f>
        <x:v>OK</x:v>
      </x:c>
    </x:row>
    <x:row r="250">
      <x:c r="A250" s="51" t="n">
        <x:v>38808</x:v>
      </x:c>
      <x:c r="B250" s="14" t="str">
        <x:v>Norte</x:v>
      </x:c>
      <x:c r="C250" s="14" t="str">
        <x:v>NORTE INTERLIGADO</x:v>
      </x:c>
      <x:c r="D250" s="53" t="str">
        <x:v>Cativo</x:v>
      </x:c>
      <x:c r="E250" s="49" t="n">
        <x:v>163251.686</x:v>
      </x:c>
      <x:c r="F250" s="52" t="n">
        <x:v>1348498</x:v>
      </x:c>
      <x:c r="G250" s="54" t="n">
        <x:v>46220</x:v>
      </x:c>
      <x:c r="H250" s="14" t="str">
        <x:f>IF(E250&lt;0,"Componente negativo — manter e investigar","OK")</x:f>
        <x:v>OK</x:v>
      </x:c>
    </x:row>
    <x:row r="251">
      <x:c r="A251" s="51" t="n">
        <x:v>38808</x:v>
      </x:c>
      <x:c r="B251" s="14" t="str">
        <x:v>Norte</x:v>
      </x:c>
      <x:c r="C251" s="14" t="str">
        <x:v>SISTEMAS ISOLADOS</x:v>
      </x:c>
      <x:c r="D251" s="53" t="str">
        <x:v>Cativo</x:v>
      </x:c>
      <x:c r="E251" s="49" t="n">
        <x:v>184899.974</x:v>
      </x:c>
      <x:c r="F251" s="52" t="n">
        <x:v>1184451</x:v>
      </x:c>
      <x:c r="G251" s="54" t="n">
        <x:v>46220</x:v>
      </x:c>
      <x:c r="H251" s="14" t="str">
        <x:f>IF(E251&lt;0,"Componente negativo — manter e investigar","OK")</x:f>
        <x:v>OK</x:v>
      </x:c>
    </x:row>
    <x:row r="252">
      <x:c r="A252" s="51" t="n">
        <x:v>38808</x:v>
      </x:c>
      <x:c r="B252" s="14" t="str">
        <x:v>Sudeste</x:v>
      </x:c>
      <x:c r="C252" s="14" t="str">
        <x:v>SUDESTE / CENTRO - OESTE</x:v>
      </x:c>
      <x:c r="D252" s="53" t="str">
        <x:v>Cativo</x:v>
      </x:c>
      <x:c r="E252" s="49" t="n">
        <x:v>3957603.684</x:v>
      </x:c>
      <x:c r="F252" s="52" t="n">
        <x:v>24005373</x:v>
      </x:c>
      <x:c r="G252" s="54" t="n">
        <x:v>46220</x:v>
      </x:c>
      <x:c r="H252" s="14" t="str">
        <x:f>IF(E252&lt;0,"Componente negativo — manter e investigar","OK")</x:f>
        <x:v>OK</x:v>
      </x:c>
    </x:row>
    <x:row r="253">
      <x:c r="A253" s="51" t="n">
        <x:v>38808</x:v>
      </x:c>
      <x:c r="B253" s="14" t="str">
        <x:v>Sul</x:v>
      </x:c>
      <x:c r="C253" s="14" t="str">
        <x:v>SUL</x:v>
      </x:c>
      <x:c r="D253" s="53" t="str">
        <x:v>Cativo</x:v>
      </x:c>
      <x:c r="E253" s="49" t="n">
        <x:v>1184330.5860000001</x:v>
      </x:c>
      <x:c r="F253" s="52" t="n">
        <x:v>7194078</x:v>
      </x:c>
      <x:c r="G253" s="54" t="n">
        <x:v>46220</x:v>
      </x:c>
      <x:c r="H253" s="14" t="str">
        <x:f>IF(E253&lt;0,"Componente negativo — manter e investigar","OK")</x:f>
        <x:v>OK</x:v>
      </x:c>
    </x:row>
    <x:row r="254">
      <x:c r="A254" s="51" t="n">
        <x:v>38838</x:v>
      </x:c>
      <x:c r="B254" s="14" t="str">
        <x:v>Centro-Oeste</x:v>
      </x:c>
      <x:c r="C254" s="14" t="str">
        <x:v>SISTEMAS ISOLADOS</x:v>
      </x:c>
      <x:c r="D254" s="53" t="str">
        <x:v>Cativo</x:v>
      </x:c>
      <x:c r="E254" s="49" t="n">
        <x:v>5582.36</x:v>
      </x:c>
      <x:c r="F254" s="52" t="n">
        <x:v>37599</x:v>
      </x:c>
      <x:c r="G254" s="54" t="n">
        <x:v>46220</x:v>
      </x:c>
      <x:c r="H254" s="14" t="str">
        <x:f>IF(E254&lt;0,"Componente negativo — manter e investigar","OK")</x:f>
        <x:v>OK</x:v>
      </x:c>
    </x:row>
    <x:row r="255">
      <x:c r="A255" s="51" t="n">
        <x:v>38838</x:v>
      </x:c>
      <x:c r="B255" s="14" t="str">
        <x:v>Centro-Oeste</x:v>
      </x:c>
      <x:c r="C255" s="14" t="str">
        <x:v>SUDESTE / CENTRO - OESTE</x:v>
      </x:c>
      <x:c r="D255" s="53" t="str">
        <x:v>Cativo</x:v>
      </x:c>
      <x:c r="E255" s="49" t="n">
        <x:v>521438.04</x:v>
      </x:c>
      <x:c r="F255" s="52" t="n">
        <x:v>3465961</x:v>
      </x:c>
      <x:c r="G255" s="54" t="n">
        <x:v>46220</x:v>
      </x:c>
      <x:c r="H255" s="14" t="str">
        <x:f>IF(E255&lt;0,"Componente negativo — manter e investigar","OK")</x:f>
        <x:v>OK</x:v>
      </x:c>
    </x:row>
    <x:row r="256">
      <x:c r="A256" s="51" t="n">
        <x:v>38838</x:v>
      </x:c>
      <x:c r="B256" s="14" t="str">
        <x:v>Nordeste</x:v>
      </x:c>
      <x:c r="C256" s="14" t="str">
        <x:v>NORDESTE</x:v>
      </x:c>
      <x:c r="D256" s="53" t="str">
        <x:v>Cativo</x:v>
      </x:c>
      <x:c r="E256" s="49" t="n">
        <x:v>1058620.4849999999</x:v>
      </x:c>
      <x:c r="F256" s="52" t="n">
        <x:v>10931973</x:v>
      </x:c>
      <x:c r="G256" s="54" t="n">
        <x:v>46220</x:v>
      </x:c>
      <x:c r="H256" s="14" t="str">
        <x:f>IF(E256&lt;0,"Componente negativo — manter e investigar","OK")</x:f>
        <x:v>OK</x:v>
      </x:c>
    </x:row>
    <x:row r="257">
      <x:c r="A257" s="51" t="n">
        <x:v>38838</x:v>
      </x:c>
      <x:c r="B257" s="14" t="str">
        <x:v>Nordeste</x:v>
      </x:c>
      <x:c r="C257" s="14" t="str">
        <x:v>NORTE INTERLIGADO</x:v>
      </x:c>
      <x:c r="D257" s="53" t="str">
        <x:v>Cativo</x:v>
      </x:c>
      <x:c r="E257" s="49" t="n">
        <x:v>94271.7</x:v>
      </x:c>
      <x:c r="F257" s="52" t="n">
        <x:v>1115997</x:v>
      </x:c>
      <x:c r="G257" s="54" t="n">
        <x:v>46220</x:v>
      </x:c>
      <x:c r="H257" s="14" t="str">
        <x:f>IF(E257&lt;0,"Componente negativo — manter e investigar","OK")</x:f>
        <x:v>OK</x:v>
      </x:c>
    </x:row>
    <x:row r="258">
      <x:c r="A258" s="51" t="n">
        <x:v>38838</x:v>
      </x:c>
      <x:c r="B258" s="14" t="str">
        <x:v>Nordeste</x:v>
      </x:c>
      <x:c r="C258" s="14" t="str">
        <x:v>SISTEMAS ISOLADOS</x:v>
      </x:c>
      <x:c r="D258" s="53" t="str">
        <x:v>Cativo</x:v>
      </x:c>
      <x:c r="E258" s="49" t="n">
        <x:v>188.18</x:v>
      </x:c>
      <x:c r="F258" s="52" t="n">
        <x:v>970</x:v>
      </x:c>
      <x:c r="G258" s="54" t="n">
        <x:v>46220</x:v>
      </x:c>
      <x:c r="H258" s="14" t="str">
        <x:f>IF(E258&lt;0,"Componente negativo — manter e investigar","OK")</x:f>
        <x:v>OK</x:v>
      </x:c>
    </x:row>
    <x:row r="259">
      <x:c r="A259" s="51" t="n">
        <x:v>38838</x:v>
      </x:c>
      <x:c r="B259" s="14" t="str">
        <x:v>Norte</x:v>
      </x:c>
      <x:c r="C259" s="14" t="str">
        <x:v>NORTE INTERLIGADO</x:v>
      </x:c>
      <x:c r="D259" s="53" t="str">
        <x:v>Cativo</x:v>
      </x:c>
      <x:c r="E259" s="49" t="n">
        <x:v>161232.03</x:v>
      </x:c>
      <x:c r="F259" s="52" t="n">
        <x:v>1353778</x:v>
      </x:c>
      <x:c r="G259" s="54" t="n">
        <x:v>46220</x:v>
      </x:c>
      <x:c r="H259" s="14" t="str">
        <x:f>IF(E259&lt;0,"Componente negativo — manter e investigar","OK")</x:f>
        <x:v>OK</x:v>
      </x:c>
    </x:row>
    <x:row r="260">
      <x:c r="A260" s="51" t="n">
        <x:v>38838</x:v>
      </x:c>
      <x:c r="B260" s="14" t="str">
        <x:v>Norte</x:v>
      </x:c>
      <x:c r="C260" s="14" t="str">
        <x:v>SISTEMAS ISOLADOS</x:v>
      </x:c>
      <x:c r="D260" s="53" t="str">
        <x:v>Cativo</x:v>
      </x:c>
      <x:c r="E260" s="49" t="n">
        <x:v>183905.513</x:v>
      </x:c>
      <x:c r="F260" s="52" t="n">
        <x:v>1189323</x:v>
      </x:c>
      <x:c r="G260" s="54" t="n">
        <x:v>46220</x:v>
      </x:c>
      <x:c r="H260" s="14" t="str">
        <x:f>IF(E260&lt;0,"Componente negativo — manter e investigar","OK")</x:f>
        <x:v>OK</x:v>
      </x:c>
    </x:row>
    <x:row r="261">
      <x:c r="A261" s="51" t="n">
        <x:v>38838</x:v>
      </x:c>
      <x:c r="B261" s="14" t="str">
        <x:v>Sudeste</x:v>
      </x:c>
      <x:c r="C261" s="14" t="str">
        <x:v>SUDESTE / CENTRO - OESTE</x:v>
      </x:c>
      <x:c r="D261" s="53" t="str">
        <x:v>Cativo</x:v>
      </x:c>
      <x:c r="E261" s="49" t="n">
        <x:v>3811707.817</x:v>
      </x:c>
      <x:c r="F261" s="52" t="n">
        <x:v>24083789</x:v>
      </x:c>
      <x:c r="G261" s="54" t="n">
        <x:v>46220</x:v>
      </x:c>
      <x:c r="H261" s="14" t="str">
        <x:f>IF(E261&lt;0,"Componente negativo — manter e investigar","OK")</x:f>
        <x:v>OK</x:v>
      </x:c>
    </x:row>
    <x:row r="262">
      <x:c r="A262" s="51" t="n">
        <x:v>38838</x:v>
      </x:c>
      <x:c r="B262" s="14" t="str">
        <x:v>Sul</x:v>
      </x:c>
      <x:c r="C262" s="14" t="str">
        <x:v>SUL</x:v>
      </x:c>
      <x:c r="D262" s="53" t="str">
        <x:v>Cativo</x:v>
      </x:c>
      <x:c r="E262" s="49" t="n">
        <x:v>1096409.4880000001</x:v>
      </x:c>
      <x:c r="F262" s="52" t="n">
        <x:v>7202503</x:v>
      </x:c>
      <x:c r="G262" s="54" t="n">
        <x:v>46220</x:v>
      </x:c>
      <x:c r="H262" s="14" t="str">
        <x:f>IF(E262&lt;0,"Componente negativo — manter e investigar","OK")</x:f>
        <x:v>OK</x:v>
      </x:c>
    </x:row>
    <x:row r="263">
      <x:c r="A263" s="51" t="n">
        <x:v>38869</x:v>
      </x:c>
      <x:c r="B263" s="14" t="str">
        <x:v>Centro-Oeste</x:v>
      </x:c>
      <x:c r="C263" s="14" t="str">
        <x:v>SISTEMAS ISOLADOS</x:v>
      </x:c>
      <x:c r="D263" s="53" t="str">
        <x:v>Cativo</x:v>
      </x:c>
      <x:c r="E263" s="49" t="n">
        <x:v>5640.263</x:v>
      </x:c>
      <x:c r="F263" s="52" t="n">
        <x:v>37833</x:v>
      </x:c>
      <x:c r="G263" s="54" t="n">
        <x:v>46220</x:v>
      </x:c>
      <x:c r="H263" s="14" t="str">
        <x:f>IF(E263&lt;0,"Componente negativo — manter e investigar","OK")</x:f>
        <x:v>OK</x:v>
      </x:c>
    </x:row>
    <x:row r="264">
      <x:c r="A264" s="51" t="n">
        <x:v>38869</x:v>
      </x:c>
      <x:c r="B264" s="14" t="str">
        <x:v>Centro-Oeste</x:v>
      </x:c>
      <x:c r="C264" s="14" t="str">
        <x:v>SUDESTE / CENTRO - OESTE</x:v>
      </x:c>
      <x:c r="D264" s="53" t="str">
        <x:v>Cativo</x:v>
      </x:c>
      <x:c r="E264" s="49" t="n">
        <x:v>509051.439</x:v>
      </x:c>
      <x:c r="F264" s="52" t="n">
        <x:v>3474120</x:v>
      </x:c>
      <x:c r="G264" s="54" t="n">
        <x:v>46220</x:v>
      </x:c>
      <x:c r="H264" s="14" t="str">
        <x:f>IF(E264&lt;0,"Componente negativo — manter e investigar","OK")</x:f>
        <x:v>OK</x:v>
      </x:c>
    </x:row>
    <x:row r="265">
      <x:c r="A265" s="51" t="n">
        <x:v>38869</x:v>
      </x:c>
      <x:c r="B265" s="14" t="str">
        <x:v>Nordeste</x:v>
      </x:c>
      <x:c r="C265" s="14" t="str">
        <x:v>NORDESTE</x:v>
      </x:c>
      <x:c r="D265" s="53" t="str">
        <x:v>Cativo</x:v>
      </x:c>
      <x:c r="E265" s="49" t="n">
        <x:v>1022015.5569999999</x:v>
      </x:c>
      <x:c r="F265" s="52" t="n">
        <x:v>10973816</x:v>
      </x:c>
      <x:c r="G265" s="54" t="n">
        <x:v>46220</x:v>
      </x:c>
      <x:c r="H265" s="14" t="str">
        <x:f>IF(E265&lt;0,"Componente negativo — manter e investigar","OK")</x:f>
        <x:v>OK</x:v>
      </x:c>
    </x:row>
    <x:row r="266">
      <x:c r="A266" s="51" t="n">
        <x:v>38869</x:v>
      </x:c>
      <x:c r="B266" s="14" t="str">
        <x:v>Nordeste</x:v>
      </x:c>
      <x:c r="C266" s="14" t="str">
        <x:v>NORTE INTERLIGADO</x:v>
      </x:c>
      <x:c r="D266" s="53" t="str">
        <x:v>Cativo</x:v>
      </x:c>
      <x:c r="E266" s="49" t="n">
        <x:v>98014.464</x:v>
      </x:c>
      <x:c r="F266" s="52" t="n">
        <x:v>1121024</x:v>
      </x:c>
      <x:c r="G266" s="54" t="n">
        <x:v>46220</x:v>
      </x:c>
      <x:c r="H266" s="14" t="str">
        <x:f>IF(E266&lt;0,"Componente negativo — manter e investigar","OK")</x:f>
        <x:v>OK</x:v>
      </x:c>
    </x:row>
    <x:row r="267">
      <x:c r="A267" s="51" t="n">
        <x:v>38869</x:v>
      </x:c>
      <x:c r="B267" s="14" t="str">
        <x:v>Nordeste</x:v>
      </x:c>
      <x:c r="C267" s="14" t="str">
        <x:v>SISTEMAS ISOLADOS</x:v>
      </x:c>
      <x:c r="D267" s="53" t="str">
        <x:v>Cativo</x:v>
      </x:c>
      <x:c r="E267" s="49" t="n">
        <x:v>173.994</x:v>
      </x:c>
      <x:c r="F267" s="52" t="n">
        <x:v>971</x:v>
      </x:c>
      <x:c r="G267" s="54" t="n">
        <x:v>46220</x:v>
      </x:c>
      <x:c r="H267" s="14" t="str">
        <x:f>IF(E267&lt;0,"Componente negativo — manter e investigar","OK")</x:f>
        <x:v>OK</x:v>
      </x:c>
    </x:row>
    <x:row r="268">
      <x:c r="A268" s="51" t="n">
        <x:v>38869</x:v>
      </x:c>
      <x:c r="B268" s="14" t="str">
        <x:v>Norte</x:v>
      </x:c>
      <x:c r="C268" s="14" t="str">
        <x:v>NORTE INTERLIGADO</x:v>
      </x:c>
      <x:c r="D268" s="53" t="str">
        <x:v>Cativo</x:v>
      </x:c>
      <x:c r="E268" s="49" t="n">
        <x:v>169634.765</x:v>
      </x:c>
      <x:c r="F268" s="52" t="n">
        <x:v>1357198</x:v>
      </x:c>
      <x:c r="G268" s="54" t="n">
        <x:v>46220</x:v>
      </x:c>
      <x:c r="H268" s="14" t="str">
        <x:f>IF(E268&lt;0,"Componente negativo — manter e investigar","OK")</x:f>
        <x:v>OK</x:v>
      </x:c>
    </x:row>
    <x:row r="269">
      <x:c r="A269" s="51" t="n">
        <x:v>38869</x:v>
      </x:c>
      <x:c r="B269" s="14" t="str">
        <x:v>Norte</x:v>
      </x:c>
      <x:c r="C269" s="14" t="str">
        <x:v>SISTEMAS ISOLADOS</x:v>
      </x:c>
      <x:c r="D269" s="53" t="str">
        <x:v>Cativo</x:v>
      </x:c>
      <x:c r="E269" s="49" t="n">
        <x:v>185498.436</x:v>
      </x:c>
      <x:c r="F269" s="52" t="n">
        <x:v>1193255</x:v>
      </x:c>
      <x:c r="G269" s="54" t="n">
        <x:v>46220</x:v>
      </x:c>
      <x:c r="H269" s="14" t="str">
        <x:f>IF(E269&lt;0,"Componente negativo — manter e investigar","OK")</x:f>
        <x:v>OK</x:v>
      </x:c>
    </x:row>
    <x:row r="270">
      <x:c r="A270" s="51" t="n">
        <x:v>38869</x:v>
      </x:c>
      <x:c r="B270" s="14" t="str">
        <x:v>Sudeste</x:v>
      </x:c>
      <x:c r="C270" s="14" t="str">
        <x:v>SUDESTE / CENTRO - OESTE</x:v>
      </x:c>
      <x:c r="D270" s="53" t="str">
        <x:v>Cativo</x:v>
      </x:c>
      <x:c r="E270" s="49" t="n">
        <x:v>3828065.9450000003</x:v>
      </x:c>
      <x:c r="F270" s="52" t="n">
        <x:v>24113741</x:v>
      </x:c>
      <x:c r="G270" s="54" t="n">
        <x:v>46220</x:v>
      </x:c>
      <x:c r="H270" s="14" t="str">
        <x:f>IF(E270&lt;0,"Componente negativo — manter e investigar","OK")</x:f>
        <x:v>OK</x:v>
      </x:c>
    </x:row>
    <x:row r="271">
      <x:c r="A271" s="51" t="n">
        <x:v>38869</x:v>
      </x:c>
      <x:c r="B271" s="14" t="str">
        <x:v>Sul</x:v>
      </x:c>
      <x:c r="C271" s="14" t="str">
        <x:v>SUL</x:v>
      </x:c>
      <x:c r="D271" s="53" t="str">
        <x:v>Cativo</x:v>
      </x:c>
      <x:c r="E271" s="49" t="n">
        <x:v>1145519.916</x:v>
      </x:c>
      <x:c r="F271" s="52" t="n">
        <x:v>7216806</x:v>
      </x:c>
      <x:c r="G271" s="54" t="n">
        <x:v>46220</x:v>
      </x:c>
      <x:c r="H271" s="14" t="str">
        <x:f>IF(E271&lt;0,"Componente negativo — manter e investigar","OK")</x:f>
        <x:v>OK</x:v>
      </x:c>
    </x:row>
    <x:row r="272">
      <x:c r="A272" s="51" t="n">
        <x:v>38899</x:v>
      </x:c>
      <x:c r="B272" s="14" t="str">
        <x:v>Centro-Oeste</x:v>
      </x:c>
      <x:c r="C272" s="14" t="str">
        <x:v>SISTEMAS ISOLADOS</x:v>
      </x:c>
      <x:c r="D272" s="53" t="str">
        <x:v>Cativo</x:v>
      </x:c>
      <x:c r="E272" s="49" t="n">
        <x:v>5533.821</x:v>
      </x:c>
      <x:c r="F272" s="52" t="n">
        <x:v>37941</x:v>
      </x:c>
      <x:c r="G272" s="54" t="n">
        <x:v>46220</x:v>
      </x:c>
      <x:c r="H272" s="14" t="str">
        <x:f>IF(E272&lt;0,"Componente negativo — manter e investigar","OK")</x:f>
        <x:v>OK</x:v>
      </x:c>
    </x:row>
    <x:row r="273">
      <x:c r="A273" s="51" t="n">
        <x:v>38899</x:v>
      </x:c>
      <x:c r="B273" s="14" t="str">
        <x:v>Centro-Oeste</x:v>
      </x:c>
      <x:c r="C273" s="14" t="str">
        <x:v>SUDESTE / CENTRO - OESTE</x:v>
      </x:c>
      <x:c r="D273" s="53" t="str">
        <x:v>Cativo</x:v>
      </x:c>
      <x:c r="E273" s="49" t="n">
        <x:v>506459.194</x:v>
      </x:c>
      <x:c r="F273" s="52" t="n">
        <x:v>3485062</x:v>
      </x:c>
      <x:c r="G273" s="54" t="n">
        <x:v>46220</x:v>
      </x:c>
      <x:c r="H273" s="14" t="str">
        <x:f>IF(E273&lt;0,"Componente negativo — manter e investigar","OK")</x:f>
        <x:v>OK</x:v>
      </x:c>
    </x:row>
    <x:row r="274">
      <x:c r="A274" s="51" t="n">
        <x:v>38899</x:v>
      </x:c>
      <x:c r="B274" s="14" t="str">
        <x:v>Nordeste</x:v>
      </x:c>
      <x:c r="C274" s="14" t="str">
        <x:v>NORDESTE</x:v>
      </x:c>
      <x:c r="D274" s="53" t="str">
        <x:v>Cativo</x:v>
      </x:c>
      <x:c r="E274" s="49" t="n">
        <x:v>1009316.354</x:v>
      </x:c>
      <x:c r="F274" s="52" t="n">
        <x:v>11017573</x:v>
      </x:c>
      <x:c r="G274" s="54" t="n">
        <x:v>46220</x:v>
      </x:c>
      <x:c r="H274" s="14" t="str">
        <x:f>IF(E274&lt;0,"Componente negativo — manter e investigar","OK")</x:f>
        <x:v>OK</x:v>
      </x:c>
    </x:row>
    <x:row r="275">
      <x:c r="A275" s="51" t="n">
        <x:v>38899</x:v>
      </x:c>
      <x:c r="B275" s="14" t="str">
        <x:v>Nordeste</x:v>
      </x:c>
      <x:c r="C275" s="14" t="str">
        <x:v>NORTE INTERLIGADO</x:v>
      </x:c>
      <x:c r="D275" s="53" t="str">
        <x:v>Cativo</x:v>
      </x:c>
      <x:c r="E275" s="49" t="n">
        <x:v>95244.095</x:v>
      </x:c>
      <x:c r="F275" s="52" t="n">
        <x:v>1124915</x:v>
      </x:c>
      <x:c r="G275" s="54" t="n">
        <x:v>46220</x:v>
      </x:c>
      <x:c r="H275" s="14" t="str">
        <x:f>IF(E275&lt;0,"Componente negativo — manter e investigar","OK")</x:f>
        <x:v>OK</x:v>
      </x:c>
    </x:row>
    <x:row r="276">
      <x:c r="A276" s="51" t="n">
        <x:v>38899</x:v>
      </x:c>
      <x:c r="B276" s="14" t="str">
        <x:v>Nordeste</x:v>
      </x:c>
      <x:c r="C276" s="14" t="str">
        <x:v>SISTEMAS ISOLADOS</x:v>
      </x:c>
      <x:c r="D276" s="53" t="str">
        <x:v>Cativo</x:v>
      </x:c>
      <x:c r="E276" s="49" t="n">
        <x:v>165.568</x:v>
      </x:c>
      <x:c r="F276" s="52" t="n">
        <x:v>980</x:v>
      </x:c>
      <x:c r="G276" s="54" t="n">
        <x:v>46220</x:v>
      </x:c>
      <x:c r="H276" s="14" t="str">
        <x:f>IF(E276&lt;0,"Componente negativo — manter e investigar","OK")</x:f>
        <x:v>OK</x:v>
      </x:c>
    </x:row>
    <x:row r="277">
      <x:c r="A277" s="51" t="n">
        <x:v>38899</x:v>
      </x:c>
      <x:c r="B277" s="14" t="str">
        <x:v>Norte</x:v>
      </x:c>
      <x:c r="C277" s="14" t="str">
        <x:v>NORTE INTERLIGADO</x:v>
      </x:c>
      <x:c r="D277" s="53" t="str">
        <x:v>Cativo</x:v>
      </x:c>
      <x:c r="E277" s="49" t="n">
        <x:v>169136.117</x:v>
      </x:c>
      <x:c r="F277" s="52" t="n">
        <x:v>1362012</x:v>
      </x:c>
      <x:c r="G277" s="54" t="n">
        <x:v>46220</x:v>
      </x:c>
      <x:c r="H277" s="14" t="str">
        <x:f>IF(E277&lt;0,"Componente negativo — manter e investigar","OK")</x:f>
        <x:v>OK</x:v>
      </x:c>
    </x:row>
    <x:row r="278">
      <x:c r="A278" s="51" t="n">
        <x:v>38899</x:v>
      </x:c>
      <x:c r="B278" s="14" t="str">
        <x:v>Norte</x:v>
      </x:c>
      <x:c r="C278" s="14" t="str">
        <x:v>SISTEMAS ISOLADOS</x:v>
      </x:c>
      <x:c r="D278" s="53" t="str">
        <x:v>Cativo</x:v>
      </x:c>
      <x:c r="E278" s="49" t="n">
        <x:v>200195.572</x:v>
      </x:c>
      <x:c r="F278" s="52" t="n">
        <x:v>1197857</x:v>
      </x:c>
      <x:c r="G278" s="54" t="n">
        <x:v>46220</x:v>
      </x:c>
      <x:c r="H278" s="14" t="str">
        <x:f>IF(E278&lt;0,"Componente negativo — manter e investigar","OK")</x:f>
        <x:v>OK</x:v>
      </x:c>
    </x:row>
    <x:row r="279">
      <x:c r="A279" s="51" t="n">
        <x:v>38899</x:v>
      </x:c>
      <x:c r="B279" s="14" t="str">
        <x:v>Sudeste</x:v>
      </x:c>
      <x:c r="C279" s="14" t="str">
        <x:v>SUDESTE / CENTRO - OESTE</x:v>
      </x:c>
      <x:c r="D279" s="53" t="str">
        <x:v>Cativo</x:v>
      </x:c>
      <x:c r="E279" s="49" t="n">
        <x:v>3768572.1499999994</x:v>
      </x:c>
      <x:c r="F279" s="52" t="n">
        <x:v>24162787</x:v>
      </x:c>
      <x:c r="G279" s="54" t="n">
        <x:v>46220</x:v>
      </x:c>
      <x:c r="H279" s="14" t="str">
        <x:f>IF(E279&lt;0,"Componente negativo — manter e investigar","OK")</x:f>
        <x:v>OK</x:v>
      </x:c>
    </x:row>
    <x:row r="280">
      <x:c r="A280" s="51" t="n">
        <x:v>38899</x:v>
      </x:c>
      <x:c r="B280" s="14" t="str">
        <x:v>Sul</x:v>
      </x:c>
      <x:c r="C280" s="14" t="str">
        <x:v>SUL</x:v>
      </x:c>
      <x:c r="D280" s="53" t="str">
        <x:v>Cativo</x:v>
      </x:c>
      <x:c r="E280" s="49" t="n">
        <x:v>1138292.497</x:v>
      </x:c>
      <x:c r="F280" s="52" t="n">
        <x:v>7230405</x:v>
      </x:c>
      <x:c r="G280" s="54" t="n">
        <x:v>46220</x:v>
      </x:c>
      <x:c r="H280" s="14" t="str">
        <x:f>IF(E280&lt;0,"Componente negativo — manter e investigar","OK")</x:f>
        <x:v>OK</x:v>
      </x:c>
    </x:row>
    <x:row r="281">
      <x:c r="A281" s="51" t="n">
        <x:v>38930</x:v>
      </x:c>
      <x:c r="B281" s="14" t="str">
        <x:v>Centro-Oeste</x:v>
      </x:c>
      <x:c r="C281" s="14" t="str">
        <x:v>SISTEMAS ISOLADOS</x:v>
      </x:c>
      <x:c r="D281" s="53" t="str">
        <x:v>Cativo</x:v>
      </x:c>
      <x:c r="E281" s="49" t="n">
        <x:v>5636.535</x:v>
      </x:c>
      <x:c r="F281" s="52" t="n">
        <x:v>38073</x:v>
      </x:c>
      <x:c r="G281" s="54" t="n">
        <x:v>46220</x:v>
      </x:c>
      <x:c r="H281" s="14" t="str">
        <x:f>IF(E281&lt;0,"Componente negativo — manter e investigar","OK")</x:f>
        <x:v>OK</x:v>
      </x:c>
    </x:row>
    <x:row r="282">
      <x:c r="A282" s="51" t="n">
        <x:v>38930</x:v>
      </x:c>
      <x:c r="B282" s="14" t="str">
        <x:v>Centro-Oeste</x:v>
      </x:c>
      <x:c r="C282" s="14" t="str">
        <x:v>SUDESTE / CENTRO - OESTE</x:v>
      </x:c>
      <x:c r="D282" s="53" t="str">
        <x:v>Cativo</x:v>
      </x:c>
      <x:c r="E282" s="49" t="n">
        <x:v>528452.487</x:v>
      </x:c>
      <x:c r="F282" s="52" t="n">
        <x:v>3496404</x:v>
      </x:c>
      <x:c r="G282" s="54" t="n">
        <x:v>46220</x:v>
      </x:c>
      <x:c r="H282" s="14" t="str">
        <x:f>IF(E282&lt;0,"Componente negativo — manter e investigar","OK")</x:f>
        <x:v>OK</x:v>
      </x:c>
    </x:row>
    <x:row r="283">
      <x:c r="A283" s="51" t="n">
        <x:v>38930</x:v>
      </x:c>
      <x:c r="B283" s="14" t="str">
        <x:v>Nordeste</x:v>
      </x:c>
      <x:c r="C283" s="14" t="str">
        <x:v>NORDESTE</x:v>
      </x:c>
      <x:c r="D283" s="53" t="str">
        <x:v>Cativo</x:v>
      </x:c>
      <x:c r="E283" s="49" t="n">
        <x:v>1008141.792</x:v>
      </x:c>
      <x:c r="F283" s="52" t="n">
        <x:v>11055347</x:v>
      </x:c>
      <x:c r="G283" s="54" t="n">
        <x:v>46220</x:v>
      </x:c>
      <x:c r="H283" s="14" t="str">
        <x:f>IF(E283&lt;0,"Componente negativo — manter e investigar","OK")</x:f>
        <x:v>OK</x:v>
      </x:c>
    </x:row>
    <x:row r="284">
      <x:c r="A284" s="51" t="n">
        <x:v>38930</x:v>
      </x:c>
      <x:c r="B284" s="14" t="str">
        <x:v>Nordeste</x:v>
      </x:c>
      <x:c r="C284" s="14" t="str">
        <x:v>NORTE INTERLIGADO</x:v>
      </x:c>
      <x:c r="D284" s="53" t="str">
        <x:v>Cativo</x:v>
      </x:c>
      <x:c r="E284" s="49" t="n">
        <x:v>99799.569</x:v>
      </x:c>
      <x:c r="F284" s="52" t="n">
        <x:v>1128423</x:v>
      </x:c>
      <x:c r="G284" s="54" t="n">
        <x:v>46220</x:v>
      </x:c>
      <x:c r="H284" s="14" t="str">
        <x:f>IF(E284&lt;0,"Componente negativo — manter e investigar","OK")</x:f>
        <x:v>OK</x:v>
      </x:c>
    </x:row>
    <x:row r="285">
      <x:c r="A285" s="51" t="n">
        <x:v>38930</x:v>
      </x:c>
      <x:c r="B285" s="14" t="str">
        <x:v>Nordeste</x:v>
      </x:c>
      <x:c r="C285" s="14" t="str">
        <x:v>SISTEMAS ISOLADOS</x:v>
      </x:c>
      <x:c r="D285" s="53" t="str">
        <x:v>Cativo</x:v>
      </x:c>
      <x:c r="E285" s="49" t="n">
        <x:v>168.619</x:v>
      </x:c>
      <x:c r="F285" s="52" t="n">
        <x:v>985</x:v>
      </x:c>
      <x:c r="G285" s="54" t="n">
        <x:v>46220</x:v>
      </x:c>
      <x:c r="H285" s="14" t="str">
        <x:f>IF(E285&lt;0,"Componente negativo — manter e investigar","OK")</x:f>
        <x:v>OK</x:v>
      </x:c>
    </x:row>
    <x:row r="286">
      <x:c r="A286" s="51" t="n">
        <x:v>38930</x:v>
      </x:c>
      <x:c r="B286" s="14" t="str">
        <x:v>Norte</x:v>
      </x:c>
      <x:c r="C286" s="14" t="str">
        <x:v>NORTE INTERLIGADO</x:v>
      </x:c>
      <x:c r="D286" s="53" t="str">
        <x:v>Cativo</x:v>
      </x:c>
      <x:c r="E286" s="49" t="n">
        <x:v>172735.352</x:v>
      </x:c>
      <x:c r="F286" s="52" t="n">
        <x:v>1366928</x:v>
      </x:c>
      <x:c r="G286" s="54" t="n">
        <x:v>46220</x:v>
      </x:c>
      <x:c r="H286" s="14" t="str">
        <x:f>IF(E286&lt;0,"Componente negativo — manter e investigar","OK")</x:f>
        <x:v>OK</x:v>
      </x:c>
    </x:row>
    <x:row r="287">
      <x:c r="A287" s="51" t="n">
        <x:v>38930</x:v>
      </x:c>
      <x:c r="B287" s="14" t="str">
        <x:v>Norte</x:v>
      </x:c>
      <x:c r="C287" s="14" t="str">
        <x:v>SISTEMAS ISOLADOS</x:v>
      </x:c>
      <x:c r="D287" s="53" t="str">
        <x:v>Cativo</x:v>
      </x:c>
      <x:c r="E287" s="49" t="n">
        <x:v>199418.159</x:v>
      </x:c>
      <x:c r="F287" s="52" t="n">
        <x:v>1203386</x:v>
      </x:c>
      <x:c r="G287" s="54" t="n">
        <x:v>46220</x:v>
      </x:c>
      <x:c r="H287" s="14" t="str">
        <x:f>IF(E287&lt;0,"Componente negativo — manter e investigar","OK")</x:f>
        <x:v>OK</x:v>
      </x:c>
    </x:row>
    <x:row r="288">
      <x:c r="A288" s="51" t="n">
        <x:v>38930</x:v>
      </x:c>
      <x:c r="B288" s="14" t="str">
        <x:v>Sudeste</x:v>
      </x:c>
      <x:c r="C288" s="14" t="str">
        <x:v>SUDESTE / CENTRO - OESTE</x:v>
      </x:c>
      <x:c r="D288" s="53" t="str">
        <x:v>Cativo</x:v>
      </x:c>
      <x:c r="E288" s="49" t="n">
        <x:v>3774739.3659999995</x:v>
      </x:c>
      <x:c r="F288" s="52" t="n">
        <x:v>24240440</x:v>
      </x:c>
      <x:c r="G288" s="54" t="n">
        <x:v>46220</x:v>
      </x:c>
      <x:c r="H288" s="14" t="str">
        <x:f>IF(E288&lt;0,"Componente negativo — manter e investigar","OK")</x:f>
        <x:v>OK</x:v>
      </x:c>
    </x:row>
    <x:row r="289">
      <x:c r="A289" s="51" t="n">
        <x:v>38930</x:v>
      </x:c>
      <x:c r="B289" s="14" t="str">
        <x:v>Sul</x:v>
      </x:c>
      <x:c r="C289" s="14" t="str">
        <x:v>SUL</x:v>
      </x:c>
      <x:c r="D289" s="53" t="str">
        <x:v>Cativo</x:v>
      </x:c>
      <x:c r="E289" s="49" t="n">
        <x:v>1150879.668</x:v>
      </x:c>
      <x:c r="F289" s="52" t="n">
        <x:v>7245931</x:v>
      </x:c>
      <x:c r="G289" s="54" t="n">
        <x:v>46220</x:v>
      </x:c>
      <x:c r="H289" s="14" t="str">
        <x:f>IF(E289&lt;0,"Componente negativo — manter e investigar","OK")</x:f>
        <x:v>OK</x:v>
      </x:c>
    </x:row>
    <x:row r="290">
      <x:c r="A290" s="51" t="n">
        <x:v>38961</x:v>
      </x:c>
      <x:c r="B290" s="14" t="str">
        <x:v>Centro-Oeste</x:v>
      </x:c>
      <x:c r="C290" s="14" t="str">
        <x:v>SISTEMAS ISOLADOS</x:v>
      </x:c>
      <x:c r="D290" s="53" t="str">
        <x:v>Cativo</x:v>
      </x:c>
      <x:c r="E290" s="49" t="n">
        <x:v>6106.434</x:v>
      </x:c>
      <x:c r="F290" s="52" t="n">
        <x:v>38319</x:v>
      </x:c>
      <x:c r="G290" s="54" t="n">
        <x:v>46220</x:v>
      </x:c>
      <x:c r="H290" s="14" t="str">
        <x:f>IF(E290&lt;0,"Componente negativo — manter e investigar","OK")</x:f>
        <x:v>OK</x:v>
      </x:c>
    </x:row>
    <x:row r="291">
      <x:c r="A291" s="51" t="n">
        <x:v>38961</x:v>
      </x:c>
      <x:c r="B291" s="14" t="str">
        <x:v>Centro-Oeste</x:v>
      </x:c>
      <x:c r="C291" s="14" t="str">
        <x:v>SUDESTE / CENTRO - OESTE</x:v>
      </x:c>
      <x:c r="D291" s="53" t="str">
        <x:v>Cativo</x:v>
      </x:c>
      <x:c r="E291" s="49" t="n">
        <x:v>557848.182</x:v>
      </x:c>
      <x:c r="F291" s="52" t="n">
        <x:v>3509704</x:v>
      </x:c>
      <x:c r="G291" s="54" t="n">
        <x:v>46220</x:v>
      </x:c>
      <x:c r="H291" s="14" t="str">
        <x:f>IF(E291&lt;0,"Componente negativo — manter e investigar","OK")</x:f>
        <x:v>OK</x:v>
      </x:c>
    </x:row>
    <x:row r="292">
      <x:c r="A292" s="51" t="n">
        <x:v>38961</x:v>
      </x:c>
      <x:c r="B292" s="14" t="str">
        <x:v>Nordeste</x:v>
      </x:c>
      <x:c r="C292" s="14" t="str">
        <x:v>NORDESTE</x:v>
      </x:c>
      <x:c r="D292" s="53" t="str">
        <x:v>Cativo</x:v>
      </x:c>
      <x:c r="E292" s="49" t="n">
        <x:v>1032258.9040000001</x:v>
      </x:c>
      <x:c r="F292" s="52" t="n">
        <x:v>11104752</x:v>
      </x:c>
      <x:c r="G292" s="54" t="n">
        <x:v>46220</x:v>
      </x:c>
      <x:c r="H292" s="14" t="str">
        <x:f>IF(E292&lt;0,"Componente negativo — manter e investigar","OK")</x:f>
        <x:v>OK</x:v>
      </x:c>
    </x:row>
    <x:row r="293">
      <x:c r="A293" s="51" t="n">
        <x:v>38961</x:v>
      </x:c>
      <x:c r="B293" s="14" t="str">
        <x:v>Nordeste</x:v>
      </x:c>
      <x:c r="C293" s="14" t="str">
        <x:v>NORTE INTERLIGADO</x:v>
      </x:c>
      <x:c r="D293" s="53" t="str">
        <x:v>Cativo</x:v>
      </x:c>
      <x:c r="E293" s="49" t="n">
        <x:v>105298.123</x:v>
      </x:c>
      <x:c r="F293" s="52" t="n">
        <x:v>1135764</x:v>
      </x:c>
      <x:c r="G293" s="54" t="n">
        <x:v>46220</x:v>
      </x:c>
      <x:c r="H293" s="14" t="str">
        <x:f>IF(E293&lt;0,"Componente negativo — manter e investigar","OK")</x:f>
        <x:v>OK</x:v>
      </x:c>
    </x:row>
    <x:row r="294">
      <x:c r="A294" s="51" t="n">
        <x:v>38961</x:v>
      </x:c>
      <x:c r="B294" s="14" t="str">
        <x:v>Nordeste</x:v>
      </x:c>
      <x:c r="C294" s="14" t="str">
        <x:v>SISTEMAS ISOLADOS</x:v>
      </x:c>
      <x:c r="D294" s="53" t="str">
        <x:v>Cativo</x:v>
      </x:c>
      <x:c r="E294" s="49" t="n">
        <x:v>172.301</x:v>
      </x:c>
      <x:c r="F294" s="52" t="n">
        <x:v>982</x:v>
      </x:c>
      <x:c r="G294" s="54" t="n">
        <x:v>46220</x:v>
      </x:c>
      <x:c r="H294" s="14" t="str">
        <x:f>IF(E294&lt;0,"Componente negativo — manter e investigar","OK")</x:f>
        <x:v>OK</x:v>
      </x:c>
    </x:row>
    <x:row r="295">
      <x:c r="A295" s="51" t="n">
        <x:v>38961</x:v>
      </x:c>
      <x:c r="B295" s="14" t="str">
        <x:v>Norte</x:v>
      </x:c>
      <x:c r="C295" s="14" t="str">
        <x:v>NORTE INTERLIGADO</x:v>
      </x:c>
      <x:c r="D295" s="53" t="str">
        <x:v>Cativo</x:v>
      </x:c>
      <x:c r="E295" s="49" t="n">
        <x:v>181970.599</x:v>
      </x:c>
      <x:c r="F295" s="52" t="n">
        <x:v>1372737</x:v>
      </x:c>
      <x:c r="G295" s="54" t="n">
        <x:v>46220</x:v>
      </x:c>
      <x:c r="H295" s="14" t="str">
        <x:f>IF(E295&lt;0,"Componente negativo — manter e investigar","OK")</x:f>
        <x:v>OK</x:v>
      </x:c>
    </x:row>
    <x:row r="296">
      <x:c r="A296" s="51" t="n">
        <x:v>38961</x:v>
      </x:c>
      <x:c r="B296" s="14" t="str">
        <x:v>Norte</x:v>
      </x:c>
      <x:c r="C296" s="14" t="str">
        <x:v>SISTEMAS ISOLADOS</x:v>
      </x:c>
      <x:c r="D296" s="53" t="str">
        <x:v>Cativo</x:v>
      </x:c>
      <x:c r="E296" s="49" t="n">
        <x:v>215941.121</x:v>
      </x:c>
      <x:c r="F296" s="52" t="n">
        <x:v>1209492</x:v>
      </x:c>
      <x:c r="G296" s="54" t="n">
        <x:v>46220</x:v>
      </x:c>
      <x:c r="H296" s="14" t="str">
        <x:f>IF(E296&lt;0,"Componente negativo — manter e investigar","OK")</x:f>
        <x:v>OK</x:v>
      </x:c>
    </x:row>
    <x:row r="297">
      <x:c r="A297" s="51" t="n">
        <x:v>38961</x:v>
      </x:c>
      <x:c r="B297" s="14" t="str">
        <x:v>Sudeste</x:v>
      </x:c>
      <x:c r="C297" s="14" t="str">
        <x:v>SUDESTE / CENTRO - OESTE</x:v>
      </x:c>
      <x:c r="D297" s="53" t="str">
        <x:v>Cativo</x:v>
      </x:c>
      <x:c r="E297" s="49" t="n">
        <x:v>3888549.472</x:v>
      </x:c>
      <x:c r="F297" s="52" t="n">
        <x:v>24299623</x:v>
      </x:c>
      <x:c r="G297" s="54" t="n">
        <x:v>46220</x:v>
      </x:c>
      <x:c r="H297" s="14" t="str">
        <x:f>IF(E297&lt;0,"Componente negativo — manter e investigar","OK")</x:f>
        <x:v>OK</x:v>
      </x:c>
    </x:row>
    <x:row r="298">
      <x:c r="A298" s="51" t="n">
        <x:v>38961</x:v>
      </x:c>
      <x:c r="B298" s="14" t="str">
        <x:v>Sul</x:v>
      </x:c>
      <x:c r="C298" s="14" t="str">
        <x:v>SUL</x:v>
      </x:c>
      <x:c r="D298" s="53" t="str">
        <x:v>Cativo</x:v>
      </x:c>
      <x:c r="E298" s="49" t="n">
        <x:v>1140225.4449999998</x:v>
      </x:c>
      <x:c r="F298" s="52" t="n">
        <x:v>7259265</x:v>
      </x:c>
      <x:c r="G298" s="54" t="n">
        <x:v>46220</x:v>
      </x:c>
      <x:c r="H298" s="14" t="str">
        <x:f>IF(E298&lt;0,"Componente negativo — manter e investigar","OK")</x:f>
        <x:v>OK</x:v>
      </x:c>
    </x:row>
    <x:row r="299">
      <x:c r="A299" s="51" t="n">
        <x:v>38991</x:v>
      </x:c>
      <x:c r="B299" s="14" t="str">
        <x:v>Centro-Oeste</x:v>
      </x:c>
      <x:c r="C299" s="14" t="str">
        <x:v>SISTEMAS ISOLADOS</x:v>
      </x:c>
      <x:c r="D299" s="53" t="str">
        <x:v>Cativo</x:v>
      </x:c>
      <x:c r="E299" s="49" t="n">
        <x:v>6068.983</x:v>
      </x:c>
      <x:c r="F299" s="52" t="n">
        <x:v>38729</x:v>
      </x:c>
      <x:c r="G299" s="54" t="n">
        <x:v>46220</x:v>
      </x:c>
      <x:c r="H299" s="14" t="str">
        <x:f>IF(E299&lt;0,"Componente negativo — manter e investigar","OK")</x:f>
        <x:v>OK</x:v>
      </x:c>
    </x:row>
    <x:row r="300">
      <x:c r="A300" s="51" t="n">
        <x:v>38991</x:v>
      </x:c>
      <x:c r="B300" s="14" t="str">
        <x:v>Centro-Oeste</x:v>
      </x:c>
      <x:c r="C300" s="14" t="str">
        <x:v>SUDESTE / CENTRO - OESTE</x:v>
      </x:c>
      <x:c r="D300" s="53" t="str">
        <x:v>Cativo</x:v>
      </x:c>
      <x:c r="E300" s="49" t="n">
        <x:v>556944.108</x:v>
      </x:c>
      <x:c r="F300" s="52" t="n">
        <x:v>3520292</x:v>
      </x:c>
      <x:c r="G300" s="54" t="n">
        <x:v>46220</x:v>
      </x:c>
      <x:c r="H300" s="14" t="str">
        <x:f>IF(E300&lt;0,"Componente negativo — manter e investigar","OK")</x:f>
        <x:v>OK</x:v>
      </x:c>
    </x:row>
    <x:row r="301">
      <x:c r="A301" s="51" t="n">
        <x:v>38991</x:v>
      </x:c>
      <x:c r="B301" s="14" t="str">
        <x:v>Nordeste</x:v>
      </x:c>
      <x:c r="C301" s="14" t="str">
        <x:v>NORDESTE</x:v>
      </x:c>
      <x:c r="D301" s="53" t="str">
        <x:v>Cativo</x:v>
      </x:c>
      <x:c r="E301" s="49" t="n">
        <x:v>1080162.3709999998</x:v>
      </x:c>
      <x:c r="F301" s="52" t="n">
        <x:v>11151764</x:v>
      </x:c>
      <x:c r="G301" s="54" t="n">
        <x:v>46220</x:v>
      </x:c>
      <x:c r="H301" s="14" t="str">
        <x:f>IF(E301&lt;0,"Componente negativo — manter e investigar","OK")</x:f>
        <x:v>OK</x:v>
      </x:c>
    </x:row>
    <x:row r="302">
      <x:c r="A302" s="51" t="n">
        <x:v>38991</x:v>
      </x:c>
      <x:c r="B302" s="14" t="str">
        <x:v>Nordeste</x:v>
      </x:c>
      <x:c r="C302" s="14" t="str">
        <x:v>NORTE INTERLIGADO</x:v>
      </x:c>
      <x:c r="D302" s="53" t="str">
        <x:v>Cativo</x:v>
      </x:c>
      <x:c r="E302" s="49" t="n">
        <x:v>109359.022</x:v>
      </x:c>
      <x:c r="F302" s="52" t="n">
        <x:v>1135364</x:v>
      </x:c>
      <x:c r="G302" s="54" t="n">
        <x:v>46220</x:v>
      </x:c>
      <x:c r="H302" s="14" t="str">
        <x:f>IF(E302&lt;0,"Componente negativo — manter e investigar","OK")</x:f>
        <x:v>OK</x:v>
      </x:c>
    </x:row>
    <x:row r="303">
      <x:c r="A303" s="51" t="n">
        <x:v>38991</x:v>
      </x:c>
      <x:c r="B303" s="14" t="str">
        <x:v>Nordeste</x:v>
      </x:c>
      <x:c r="C303" s="14" t="str">
        <x:v>SISTEMAS ISOLADOS</x:v>
      </x:c>
      <x:c r="D303" s="53" t="str">
        <x:v>Cativo</x:v>
      </x:c>
      <x:c r="E303" s="49" t="n">
        <x:v>178.113</x:v>
      </x:c>
      <x:c r="F303" s="52" t="n">
        <x:v>980</x:v>
      </x:c>
      <x:c r="G303" s="54" t="n">
        <x:v>46220</x:v>
      </x:c>
      <x:c r="H303" s="14" t="str">
        <x:f>IF(E303&lt;0,"Componente negativo — manter e investigar","OK")</x:f>
        <x:v>OK</x:v>
      </x:c>
    </x:row>
    <x:row r="304">
      <x:c r="A304" s="51" t="n">
        <x:v>38991</x:v>
      </x:c>
      <x:c r="B304" s="14" t="str">
        <x:v>Norte</x:v>
      </x:c>
      <x:c r="C304" s="14" t="str">
        <x:v>NORTE INTERLIGADO</x:v>
      </x:c>
      <x:c r="D304" s="53" t="str">
        <x:v>Cativo</x:v>
      </x:c>
      <x:c r="E304" s="49" t="n">
        <x:v>183160.923</x:v>
      </x:c>
      <x:c r="F304" s="52" t="n">
        <x:v>1380424</x:v>
      </x:c>
      <x:c r="G304" s="54" t="n">
        <x:v>46220</x:v>
      </x:c>
      <x:c r="H304" s="14" t="str">
        <x:f>IF(E304&lt;0,"Componente negativo — manter e investigar","OK")</x:f>
        <x:v>OK</x:v>
      </x:c>
    </x:row>
    <x:row r="305">
      <x:c r="A305" s="51" t="n">
        <x:v>38991</x:v>
      </x:c>
      <x:c r="B305" s="14" t="str">
        <x:v>Norte</x:v>
      </x:c>
      <x:c r="C305" s="14" t="str">
        <x:v>SISTEMAS ISOLADOS</x:v>
      </x:c>
      <x:c r="D305" s="53" t="str">
        <x:v>Cativo</x:v>
      </x:c>
      <x:c r="E305" s="49" t="n">
        <x:v>214387.704</x:v>
      </x:c>
      <x:c r="F305" s="52" t="n">
        <x:v>1218315</x:v>
      </x:c>
      <x:c r="G305" s="54" t="n">
        <x:v>46220</x:v>
      </x:c>
      <x:c r="H305" s="14" t="str">
        <x:f>IF(E305&lt;0,"Componente negativo — manter e investigar","OK")</x:f>
        <x:v>OK</x:v>
      </x:c>
    </x:row>
    <x:row r="306">
      <x:c r="A306" s="51" t="n">
        <x:v>38991</x:v>
      </x:c>
      <x:c r="B306" s="14" t="str">
        <x:v>Sudeste</x:v>
      </x:c>
      <x:c r="C306" s="14" t="str">
        <x:v>SUDESTE / CENTRO - OESTE</x:v>
      </x:c>
      <x:c r="D306" s="53" t="str">
        <x:v>Cativo</x:v>
      </x:c>
      <x:c r="E306" s="49" t="n">
        <x:v>3901043.1</x:v>
      </x:c>
      <x:c r="F306" s="52" t="n">
        <x:v>24267412</x:v>
      </x:c>
      <x:c r="G306" s="54" t="n">
        <x:v>46220</x:v>
      </x:c>
      <x:c r="H306" s="14" t="str">
        <x:f>IF(E306&lt;0,"Componente negativo — manter e investigar","OK")</x:f>
        <x:v>OK</x:v>
      </x:c>
    </x:row>
    <x:row r="307">
      <x:c r="A307" s="51" t="n">
        <x:v>38991</x:v>
      </x:c>
      <x:c r="B307" s="14" t="str">
        <x:v>Sul</x:v>
      </x:c>
      <x:c r="C307" s="14" t="str">
        <x:v>SUL</x:v>
      </x:c>
      <x:c r="D307" s="53" t="str">
        <x:v>Cativo</x:v>
      </x:c>
      <x:c r="E307" s="49" t="n">
        <x:v>1130931.6469999999</x:v>
      </x:c>
      <x:c r="F307" s="52" t="n">
        <x:v>7279988</x:v>
      </x:c>
      <x:c r="G307" s="54" t="n">
        <x:v>46220</x:v>
      </x:c>
      <x:c r="H307" s="14" t="str">
        <x:f>IF(E307&lt;0,"Componente negativo — manter e investigar","OK")</x:f>
        <x:v>OK</x:v>
      </x:c>
    </x:row>
    <x:row r="308">
      <x:c r="A308" s="51" t="n">
        <x:v>39022</x:v>
      </x:c>
      <x:c r="B308" s="14" t="str">
        <x:v>Centro-Oeste</x:v>
      </x:c>
      <x:c r="C308" s="14" t="str">
        <x:v>SISTEMAS ISOLADOS</x:v>
      </x:c>
      <x:c r="D308" s="53" t="str">
        <x:v>Cativo</x:v>
      </x:c>
      <x:c r="E308" s="49" t="n">
        <x:v>6095.197</x:v>
      </x:c>
      <x:c r="F308" s="52" t="n">
        <x:v>39191</x:v>
      </x:c>
      <x:c r="G308" s="54" t="n">
        <x:v>46220</x:v>
      </x:c>
      <x:c r="H308" s="14" t="str">
        <x:f>IF(E308&lt;0,"Componente negativo — manter e investigar","OK")</x:f>
        <x:v>OK</x:v>
      </x:c>
    </x:row>
    <x:row r="309">
      <x:c r="A309" s="51" t="n">
        <x:v>39022</x:v>
      </x:c>
      <x:c r="B309" s="14" t="str">
        <x:v>Centro-Oeste</x:v>
      </x:c>
      <x:c r="C309" s="14" t="str">
        <x:v>SUDESTE / CENTRO - OESTE</x:v>
      </x:c>
      <x:c r="D309" s="53" t="str">
        <x:v>Cativo</x:v>
      </x:c>
      <x:c r="E309" s="49" t="n">
        <x:v>576734.386</x:v>
      </x:c>
      <x:c r="F309" s="52" t="n">
        <x:v>3530952</x:v>
      </x:c>
      <x:c r="G309" s="54" t="n">
        <x:v>46220</x:v>
      </x:c>
      <x:c r="H309" s="14" t="str">
        <x:f>IF(E309&lt;0,"Componente negativo — manter e investigar","OK")</x:f>
        <x:v>OK</x:v>
      </x:c>
    </x:row>
    <x:row r="310">
      <x:c r="A310" s="51" t="n">
        <x:v>39022</x:v>
      </x:c>
      <x:c r="B310" s="14" t="str">
        <x:v>Nordeste</x:v>
      </x:c>
      <x:c r="C310" s="14" t="str">
        <x:v>NORDESTE</x:v>
      </x:c>
      <x:c r="D310" s="53" t="str">
        <x:v>Cativo</x:v>
      </x:c>
      <x:c r="E310" s="49" t="n">
        <x:v>1142476.2310000001</x:v>
      </x:c>
      <x:c r="F310" s="52" t="n">
        <x:v>11195227</x:v>
      </x:c>
      <x:c r="G310" s="54" t="n">
        <x:v>46220</x:v>
      </x:c>
      <x:c r="H310" s="14" t="str">
        <x:f>IF(E310&lt;0,"Componente negativo — manter e investigar","OK")</x:f>
        <x:v>OK</x:v>
      </x:c>
    </x:row>
    <x:row r="311">
      <x:c r="A311" s="51" t="n">
        <x:v>39022</x:v>
      </x:c>
      <x:c r="B311" s="14" t="str">
        <x:v>Nordeste</x:v>
      </x:c>
      <x:c r="C311" s="14" t="str">
        <x:v>NORTE INTERLIGADO</x:v>
      </x:c>
      <x:c r="D311" s="53" t="str">
        <x:v>Cativo</x:v>
      </x:c>
      <x:c r="E311" s="49" t="n">
        <x:v>110319.72</x:v>
      </x:c>
      <x:c r="F311" s="52" t="n">
        <x:v>1142175</x:v>
      </x:c>
      <x:c r="G311" s="54" t="n">
        <x:v>46220</x:v>
      </x:c>
      <x:c r="H311" s="14" t="str">
        <x:f>IF(E311&lt;0,"Componente negativo — manter e investigar","OK")</x:f>
        <x:v>OK</x:v>
      </x:c>
    </x:row>
    <x:row r="312">
      <x:c r="A312" s="51" t="n">
        <x:v>39022</x:v>
      </x:c>
      <x:c r="B312" s="14" t="str">
        <x:v>Nordeste</x:v>
      </x:c>
      <x:c r="C312" s="14" t="str">
        <x:v>SISTEMAS ISOLADOS</x:v>
      </x:c>
      <x:c r="D312" s="53" t="str">
        <x:v>Cativo</x:v>
      </x:c>
      <x:c r="E312" s="49" t="n">
        <x:v>179.569</x:v>
      </x:c>
      <x:c r="F312" s="52" t="n">
        <x:v>987</x:v>
      </x:c>
      <x:c r="G312" s="54" t="n">
        <x:v>46220</x:v>
      </x:c>
      <x:c r="H312" s="14" t="str">
        <x:f>IF(E312&lt;0,"Componente negativo — manter e investigar","OK")</x:f>
        <x:v>OK</x:v>
      </x:c>
    </x:row>
    <x:row r="313">
      <x:c r="A313" s="51" t="n">
        <x:v>39022</x:v>
      </x:c>
      <x:c r="B313" s="14" t="str">
        <x:v>Norte</x:v>
      </x:c>
      <x:c r="C313" s="14" t="str">
        <x:v>NORTE INTERLIGADO</x:v>
      </x:c>
      <x:c r="D313" s="53" t="str">
        <x:v>Cativo</x:v>
      </x:c>
      <x:c r="E313" s="49" t="n">
        <x:v>183356.188</x:v>
      </x:c>
      <x:c r="F313" s="52" t="n">
        <x:v>1387181</x:v>
      </x:c>
      <x:c r="G313" s="54" t="n">
        <x:v>46220</x:v>
      </x:c>
      <x:c r="H313" s="14" t="str">
        <x:f>IF(E313&lt;0,"Componente negativo — manter e investigar","OK")</x:f>
        <x:v>OK</x:v>
      </x:c>
    </x:row>
    <x:row r="314">
      <x:c r="A314" s="51" t="n">
        <x:v>39022</x:v>
      </x:c>
      <x:c r="B314" s="14" t="str">
        <x:v>Norte</x:v>
      </x:c>
      <x:c r="C314" s="14" t="str">
        <x:v>SISTEMAS ISOLADOS</x:v>
      </x:c>
      <x:c r="D314" s="53" t="str">
        <x:v>Cativo</x:v>
      </x:c>
      <x:c r="E314" s="49" t="n">
        <x:v>218736.99</x:v>
      </x:c>
      <x:c r="F314" s="52" t="n">
        <x:v>1222865</x:v>
      </x:c>
      <x:c r="G314" s="54" t="n">
        <x:v>46220</x:v>
      </x:c>
      <x:c r="H314" s="14" t="str">
        <x:f>IF(E314&lt;0,"Componente negativo — manter e investigar","OK")</x:f>
        <x:v>OK</x:v>
      </x:c>
    </x:row>
    <x:row r="315">
      <x:c r="A315" s="51" t="n">
        <x:v>39022</x:v>
      </x:c>
      <x:c r="B315" s="14" t="str">
        <x:v>Sudeste</x:v>
      </x:c>
      <x:c r="C315" s="14" t="str">
        <x:v>SUDESTE / CENTRO - OESTE</x:v>
      </x:c>
      <x:c r="D315" s="53" t="str">
        <x:v>Cativo</x:v>
      </x:c>
      <x:c r="E315" s="49" t="n">
        <x:v>3997650.4729999993</x:v>
      </x:c>
      <x:c r="F315" s="52" t="n">
        <x:v>24445521</x:v>
      </x:c>
      <x:c r="G315" s="54" t="n">
        <x:v>46220</x:v>
      </x:c>
      <x:c r="H315" s="14" t="str">
        <x:f>IF(E315&lt;0,"Componente negativo — manter e investigar","OK")</x:f>
        <x:v>OK</x:v>
      </x:c>
    </x:row>
    <x:row r="316">
      <x:c r="A316" s="51" t="n">
        <x:v>39022</x:v>
      </x:c>
      <x:c r="B316" s="14" t="str">
        <x:v>Sul</x:v>
      </x:c>
      <x:c r="C316" s="14" t="str">
        <x:v>SUL</x:v>
      </x:c>
      <x:c r="D316" s="53" t="str">
        <x:v>Cativo</x:v>
      </x:c>
      <x:c r="E316" s="49" t="n">
        <x:v>1203159.625</x:v>
      </x:c>
      <x:c r="F316" s="52" t="n">
        <x:v>7300192</x:v>
      </x:c>
      <x:c r="G316" s="54" t="n">
        <x:v>46220</x:v>
      </x:c>
      <x:c r="H316" s="14" t="str">
        <x:f>IF(E316&lt;0,"Componente negativo — manter e investigar","OK")</x:f>
        <x:v>OK</x:v>
      </x:c>
    </x:row>
    <x:row r="317">
      <x:c r="A317" s="51" t="n">
        <x:v>39052</x:v>
      </x:c>
      <x:c r="B317" s="14" t="str">
        <x:v>Centro-Oeste</x:v>
      </x:c>
      <x:c r="C317" s="14" t="str">
        <x:v>SISTEMAS ISOLADOS</x:v>
      </x:c>
      <x:c r="D317" s="53" t="str">
        <x:v>Cativo</x:v>
      </x:c>
      <x:c r="E317" s="49" t="n">
        <x:v>5795</x:v>
      </x:c>
      <x:c r="F317" s="52" t="n">
        <x:v>35728</x:v>
      </x:c>
      <x:c r="G317" s="54" t="n">
        <x:v>46220</x:v>
      </x:c>
      <x:c r="H317" s="14" t="str">
        <x:f>IF(E317&lt;0,"Componente negativo — manter e investigar","OK")</x:f>
        <x:v>OK</x:v>
      </x:c>
    </x:row>
    <x:row r="318">
      <x:c r="A318" s="51" t="n">
        <x:v>39052</x:v>
      </x:c>
      <x:c r="B318" s="14" t="str">
        <x:v>Centro-Oeste</x:v>
      </x:c>
      <x:c r="C318" s="14" t="str">
        <x:v>SUDESTE / CENTRO - OESTE</x:v>
      </x:c>
      <x:c r="D318" s="53" t="str">
        <x:v>Cativo</x:v>
      </x:c>
      <x:c r="E318" s="49" t="n">
        <x:v>551143.876</x:v>
      </x:c>
      <x:c r="F318" s="52" t="n">
        <x:v>3542892</x:v>
      </x:c>
      <x:c r="G318" s="54" t="n">
        <x:v>46220</x:v>
      </x:c>
      <x:c r="H318" s="14" t="str">
        <x:f>IF(E318&lt;0,"Componente negativo — manter e investigar","OK")</x:f>
        <x:v>OK</x:v>
      </x:c>
    </x:row>
    <x:row r="319">
      <x:c r="A319" s="51" t="n">
        <x:v>39052</x:v>
      </x:c>
      <x:c r="B319" s="14" t="str">
        <x:v>Nordeste</x:v>
      </x:c>
      <x:c r="C319" s="14" t="str">
        <x:v>NORDESTE</x:v>
      </x:c>
      <x:c r="D319" s="53" t="str">
        <x:v>Cativo</x:v>
      </x:c>
      <x:c r="E319" s="49" t="n">
        <x:v>1110571.837</x:v>
      </x:c>
      <x:c r="F319" s="52" t="n">
        <x:v>11250615</x:v>
      </x:c>
      <x:c r="G319" s="54" t="n">
        <x:v>46220</x:v>
      </x:c>
      <x:c r="H319" s="14" t="str">
        <x:f>IF(E319&lt;0,"Componente negativo — manter e investigar","OK")</x:f>
        <x:v>OK</x:v>
      </x:c>
    </x:row>
    <x:row r="320">
      <x:c r="A320" s="51" t="n">
        <x:v>39052</x:v>
      </x:c>
      <x:c r="B320" s="14" t="str">
        <x:v>Nordeste</x:v>
      </x:c>
      <x:c r="C320" s="14" t="str">
        <x:v>NORTE INTERLIGADO</x:v>
      </x:c>
      <x:c r="D320" s="53" t="str">
        <x:v>Cativo</x:v>
      </x:c>
      <x:c r="E320" s="49" t="n">
        <x:v>107345.463</x:v>
      </x:c>
      <x:c r="F320" s="52" t="n">
        <x:v>1150936</x:v>
      </x:c>
      <x:c r="G320" s="54" t="n">
        <x:v>46220</x:v>
      </x:c>
      <x:c r="H320" s="14" t="str">
        <x:f>IF(E320&lt;0,"Componente negativo — manter e investigar","OK")</x:f>
        <x:v>OK</x:v>
      </x:c>
    </x:row>
    <x:row r="321">
      <x:c r="A321" s="51" t="n">
        <x:v>39052</x:v>
      </x:c>
      <x:c r="B321" s="14" t="str">
        <x:v>Nordeste</x:v>
      </x:c>
      <x:c r="C321" s="14" t="str">
        <x:v>SISTEMAS ISOLADOS</x:v>
      </x:c>
      <x:c r="D321" s="53" t="str">
        <x:v>Cativo</x:v>
      </x:c>
      <x:c r="E321" s="49" t="n">
        <x:v>200.896</x:v>
      </x:c>
      <x:c r="F321" s="52" t="n">
        <x:v>965</x:v>
      </x:c>
      <x:c r="G321" s="54" t="n">
        <x:v>46220</x:v>
      </x:c>
      <x:c r="H321" s="14" t="str">
        <x:f>IF(E321&lt;0,"Componente negativo — manter e investigar","OK")</x:f>
        <x:v>OK</x:v>
      </x:c>
    </x:row>
    <x:row r="322">
      <x:c r="A322" s="51" t="n">
        <x:v>39052</x:v>
      </x:c>
      <x:c r="B322" s="14" t="str">
        <x:v>Norte</x:v>
      </x:c>
      <x:c r="C322" s="14" t="str">
        <x:v>NORTE INTERLIGADO</x:v>
      </x:c>
      <x:c r="D322" s="53" t="str">
        <x:v>Cativo</x:v>
      </x:c>
      <x:c r="E322" s="49" t="n">
        <x:v>173758.882</x:v>
      </x:c>
      <x:c r="F322" s="52" t="n">
        <x:v>1392020</x:v>
      </x:c>
      <x:c r="G322" s="54" t="n">
        <x:v>46220</x:v>
      </x:c>
      <x:c r="H322" s="14" t="str">
        <x:f>IF(E322&lt;0,"Componente negativo — manter e investigar","OK")</x:f>
        <x:v>OK</x:v>
      </x:c>
    </x:row>
    <x:row r="323">
      <x:c r="A323" s="51" t="n">
        <x:v>39052</x:v>
      </x:c>
      <x:c r="B323" s="14" t="str">
        <x:v>Norte</x:v>
      </x:c>
      <x:c r="C323" s="14" t="str">
        <x:v>SISTEMAS ISOLADOS</x:v>
      </x:c>
      <x:c r="D323" s="53" t="str">
        <x:v>Cativo</x:v>
      </x:c>
      <x:c r="E323" s="49" t="n">
        <x:v>206311.66</x:v>
      </x:c>
      <x:c r="F323" s="52" t="n">
        <x:v>1227810</x:v>
      </x:c>
      <x:c r="G323" s="54" t="n">
        <x:v>46220</x:v>
      </x:c>
      <x:c r="H323" s="14" t="str">
        <x:f>IF(E323&lt;0,"Componente negativo — manter e investigar","OK")</x:f>
        <x:v>OK</x:v>
      </x:c>
    </x:row>
    <x:row r="324">
      <x:c r="A324" s="51" t="n">
        <x:v>39052</x:v>
      </x:c>
      <x:c r="B324" s="14" t="str">
        <x:v>Sudeste</x:v>
      </x:c>
      <x:c r="C324" s="14" t="str">
        <x:v>SUDESTE / CENTRO - OESTE</x:v>
      </x:c>
      <x:c r="D324" s="53" t="str">
        <x:v>Cativo</x:v>
      </x:c>
      <x:c r="E324" s="49" t="n">
        <x:v>4016722.8119999995</x:v>
      </x:c>
      <x:c r="F324" s="52" t="n">
        <x:v>24399138</x:v>
      </x:c>
      <x:c r="G324" s="54" t="n">
        <x:v>46220</x:v>
      </x:c>
      <x:c r="H324" s="14" t="str">
        <x:f>IF(E324&lt;0,"Componente negativo — manter e investigar","OK")</x:f>
        <x:v>OK</x:v>
      </x:c>
    </x:row>
    <x:row r="325">
      <x:c r="A325" s="51" t="n">
        <x:v>39052</x:v>
      </x:c>
      <x:c r="B325" s="14" t="str">
        <x:v>Sul</x:v>
      </x:c>
      <x:c r="C325" s="14" t="str">
        <x:v>SUL</x:v>
      </x:c>
      <x:c r="D325" s="53" t="str">
        <x:v>Cativo</x:v>
      </x:c>
      <x:c r="E325" s="49" t="n">
        <x:v>1195034.1719999998</x:v>
      </x:c>
      <x:c r="F325" s="52" t="n">
        <x:v>7318755</x:v>
      </x:c>
      <x:c r="G325" s="54" t="n">
        <x:v>46220</x:v>
      </x:c>
      <x:c r="H325" s="14" t="str">
        <x:f>IF(E325&lt;0,"Componente negativo — manter e investigar","OK")</x:f>
        <x:v>OK</x:v>
      </x:c>
    </x:row>
    <x:row r="326">
      <x:c r="A326" s="51" t="n">
        <x:v>39083</x:v>
      </x:c>
      <x:c r="B326" s="14" t="str">
        <x:v>Centro-Oeste</x:v>
      </x:c>
      <x:c r="C326" s="14" t="str">
        <x:v>SISTEMAS ISOLADOS</x:v>
      </x:c>
      <x:c r="D326" s="53" t="str">
        <x:v>Cativo</x:v>
      </x:c>
      <x:c r="E326" s="49" t="n">
        <x:v>6201</x:v>
      </x:c>
      <x:c r="F326" s="52" t="n">
        <x:v>42552</x:v>
      </x:c>
      <x:c r="G326" s="54" t="n">
        <x:v>46220</x:v>
      </x:c>
      <x:c r="H326" s="14" t="str">
        <x:f>IF(E326&lt;0,"Componente negativo — manter e investigar","OK")</x:f>
        <x:v>OK</x:v>
      </x:c>
    </x:row>
    <x:row r="327">
      <x:c r="A327" s="51" t="n">
        <x:v>39083</x:v>
      </x:c>
      <x:c r="B327" s="14" t="str">
        <x:v>Centro-Oeste</x:v>
      </x:c>
      <x:c r="C327" s="14" t="str">
        <x:v>SUDESTE / CENTRO - OESTE</x:v>
      </x:c>
      <x:c r="D327" s="53" t="str">
        <x:v>Cativo</x:v>
      </x:c>
      <x:c r="E327" s="49" t="n">
        <x:v>556351</x:v>
      </x:c>
      <x:c r="F327" s="52" t="n">
        <x:v>3547310</x:v>
      </x:c>
      <x:c r="G327" s="54" t="n">
        <x:v>46220</x:v>
      </x:c>
      <x:c r="H327" s="14" t="str">
        <x:f>IF(E327&lt;0,"Componente negativo — manter e investigar","OK")</x:f>
        <x:v>OK</x:v>
      </x:c>
    </x:row>
    <x:row r="328">
      <x:c r="A328" s="51" t="n">
        <x:v>39083</x:v>
      </x:c>
      <x:c r="B328" s="14" t="str">
        <x:v>Nordeste</x:v>
      </x:c>
      <x:c r="C328" s="14" t="str">
        <x:v>NORDESTE</x:v>
      </x:c>
      <x:c r="D328" s="53" t="str">
        <x:v>Cativo</x:v>
      </x:c>
      <x:c r="E328" s="49" t="n">
        <x:v>1148708</x:v>
      </x:c>
      <x:c r="F328" s="52" t="n">
        <x:v>11220486</x:v>
      </x:c>
      <x:c r="G328" s="54" t="n">
        <x:v>46220</x:v>
      </x:c>
      <x:c r="H328" s="14" t="str">
        <x:f>IF(E328&lt;0,"Componente negativo — manter e investigar","OK")</x:f>
        <x:v>OK</x:v>
      </x:c>
    </x:row>
    <x:row r="329">
      <x:c r="A329" s="51" t="n">
        <x:v>39083</x:v>
      </x:c>
      <x:c r="B329" s="14" t="str">
        <x:v>Nordeste</x:v>
      </x:c>
      <x:c r="C329" s="14" t="str">
        <x:v>NORTE INTERLIGADO</x:v>
      </x:c>
      <x:c r="D329" s="53" t="str">
        <x:v>Cativo</x:v>
      </x:c>
      <x:c r="E329" s="49" t="n">
        <x:v>110664</x:v>
      </x:c>
      <x:c r="F329" s="52" t="n">
        <x:v>1156482</x:v>
      </x:c>
      <x:c r="G329" s="54" t="n">
        <x:v>46220</x:v>
      </x:c>
      <x:c r="H329" s="14" t="str">
        <x:f>IF(E329&lt;0,"Componente negativo — manter e investigar","OK")</x:f>
        <x:v>OK</x:v>
      </x:c>
    </x:row>
    <x:row r="330">
      <x:c r="A330" s="51" t="n">
        <x:v>39083</x:v>
      </x:c>
      <x:c r="B330" s="14" t="str">
        <x:v>Nordeste</x:v>
      </x:c>
      <x:c r="C330" s="14" t="str">
        <x:v>SISTEMAS ISOLADOS</x:v>
      </x:c>
      <x:c r="D330" s="53" t="str">
        <x:v>Cativo</x:v>
      </x:c>
      <x:c r="E330" s="49" t="n">
        <x:v>208</x:v>
      </x:c>
      <x:c r="F330" s="52" t="n">
        <x:v>983</x:v>
      </x:c>
      <x:c r="G330" s="54" t="n">
        <x:v>46220</x:v>
      </x:c>
      <x:c r="H330" s="14" t="str">
        <x:f>IF(E330&lt;0,"Componente negativo — manter e investigar","OK")</x:f>
        <x:v>OK</x:v>
      </x:c>
    </x:row>
    <x:row r="331">
      <x:c r="A331" s="51" t="n">
        <x:v>39083</x:v>
      </x:c>
      <x:c r="B331" s="14" t="str">
        <x:v>Norte</x:v>
      </x:c>
      <x:c r="C331" s="14" t="str">
        <x:v>NORTE INTERLIGADO</x:v>
      </x:c>
      <x:c r="D331" s="53" t="str">
        <x:v>Cativo</x:v>
      </x:c>
      <x:c r="E331" s="49" t="n">
        <x:v>173602</x:v>
      </x:c>
      <x:c r="F331" s="52" t="n">
        <x:v>1397660</x:v>
      </x:c>
      <x:c r="G331" s="54" t="n">
        <x:v>46220</x:v>
      </x:c>
      <x:c r="H331" s="14" t="str">
        <x:f>IF(E331&lt;0,"Componente negativo — manter e investigar","OK")</x:f>
        <x:v>OK</x:v>
      </x:c>
    </x:row>
    <x:row r="332">
      <x:c r="A332" s="51" t="n">
        <x:v>39083</x:v>
      </x:c>
      <x:c r="B332" s="14" t="str">
        <x:v>Norte</x:v>
      </x:c>
      <x:c r="C332" s="14" t="str">
        <x:v>SISTEMAS ISOLADOS</x:v>
      </x:c>
      <x:c r="D332" s="53" t="str">
        <x:v>Cativo</x:v>
      </x:c>
      <x:c r="E332" s="49" t="n">
        <x:v>203416</x:v>
      </x:c>
      <x:c r="F332" s="52" t="n">
        <x:v>1232107</x:v>
      </x:c>
      <x:c r="G332" s="54" t="n">
        <x:v>46220</x:v>
      </x:c>
      <x:c r="H332" s="14" t="str">
        <x:f>IF(E332&lt;0,"Componente negativo — manter e investigar","OK")</x:f>
        <x:v>OK</x:v>
      </x:c>
    </x:row>
    <x:row r="333">
      <x:c r="A333" s="51" t="n">
        <x:v>39083</x:v>
      </x:c>
      <x:c r="B333" s="14" t="str">
        <x:v>Sudeste</x:v>
      </x:c>
      <x:c r="C333" s="14" t="str">
        <x:v>SUDESTE / CENTRO - OESTE</x:v>
      </x:c>
      <x:c r="D333" s="53" t="str">
        <x:v>Cativo</x:v>
      </x:c>
      <x:c r="E333" s="49" t="n">
        <x:v>4183534</x:v>
      </x:c>
      <x:c r="F333" s="52" t="n">
        <x:v>24472442</x:v>
      </x:c>
      <x:c r="G333" s="54" t="n">
        <x:v>46220</x:v>
      </x:c>
      <x:c r="H333" s="14" t="str">
        <x:f>IF(E333&lt;0,"Componente negativo — manter e investigar","OK")</x:f>
        <x:v>OK</x:v>
      </x:c>
    </x:row>
    <x:row r="334">
      <x:c r="A334" s="51" t="n">
        <x:v>39083</x:v>
      </x:c>
      <x:c r="B334" s="14" t="str">
        <x:v>Sul</x:v>
      </x:c>
      <x:c r="C334" s="14" t="str">
        <x:v>SUL</x:v>
      </x:c>
      <x:c r="D334" s="53" t="str">
        <x:v>Cativo</x:v>
      </x:c>
      <x:c r="E334" s="49" t="n">
        <x:v>1327669</x:v>
      </x:c>
      <x:c r="F334" s="52" t="n">
        <x:v>7341765</x:v>
      </x:c>
      <x:c r="G334" s="54" t="n">
        <x:v>46220</x:v>
      </x:c>
      <x:c r="H334" s="14" t="str">
        <x:f>IF(E334&lt;0,"Componente negativo — manter e investigar","OK")</x:f>
        <x:v>OK</x:v>
      </x:c>
    </x:row>
    <x:row r="335">
      <x:c r="A335" s="51" t="n">
        <x:v>39114</x:v>
      </x:c>
      <x:c r="B335" s="14" t="str">
        <x:v>Centro-Oeste</x:v>
      </x:c>
      <x:c r="C335" s="14" t="str">
        <x:v>SISTEMAS ISOLADOS</x:v>
      </x:c>
      <x:c r="D335" s="53" t="str">
        <x:v>Cativo</x:v>
      </x:c>
      <x:c r="E335" s="49" t="n">
        <x:v>6069</x:v>
      </x:c>
      <x:c r="F335" s="52" t="n">
        <x:v>42485</x:v>
      </x:c>
      <x:c r="G335" s="54" t="n">
        <x:v>46220</x:v>
      </x:c>
      <x:c r="H335" s="14" t="str">
        <x:f>IF(E335&lt;0,"Componente negativo — manter e investigar","OK")</x:f>
        <x:v>OK</x:v>
      </x:c>
    </x:row>
    <x:row r="336">
      <x:c r="A336" s="51" t="n">
        <x:v>39114</x:v>
      </x:c>
      <x:c r="B336" s="14" t="str">
        <x:v>Centro-Oeste</x:v>
      </x:c>
      <x:c r="C336" s="14" t="str">
        <x:v>SUDESTE / CENTRO - OESTE</x:v>
      </x:c>
      <x:c r="D336" s="53" t="str">
        <x:v>Cativo</x:v>
      </x:c>
      <x:c r="E336" s="49" t="n">
        <x:v>543997</x:v>
      </x:c>
      <x:c r="F336" s="52" t="n">
        <x:v>3561649</x:v>
      </x:c>
      <x:c r="G336" s="54" t="n">
        <x:v>46220</x:v>
      </x:c>
      <x:c r="H336" s="14" t="str">
        <x:f>IF(E336&lt;0,"Componente negativo — manter e investigar","OK")</x:f>
        <x:v>OK</x:v>
      </x:c>
    </x:row>
    <x:row r="337">
      <x:c r="A337" s="51" t="n">
        <x:v>39114</x:v>
      </x:c>
      <x:c r="B337" s="14" t="str">
        <x:v>Nordeste</x:v>
      </x:c>
      <x:c r="C337" s="14" t="str">
        <x:v>NORDESTE</x:v>
      </x:c>
      <x:c r="D337" s="53" t="str">
        <x:v>Cativo</x:v>
      </x:c>
      <x:c r="E337" s="49" t="n">
        <x:v>1106651</x:v>
      </x:c>
      <x:c r="F337" s="52" t="n">
        <x:v>11374173</x:v>
      </x:c>
      <x:c r="G337" s="54" t="n">
        <x:v>46220</x:v>
      </x:c>
      <x:c r="H337" s="14" t="str">
        <x:f>IF(E337&lt;0,"Componente negativo — manter e investigar","OK")</x:f>
        <x:v>OK</x:v>
      </x:c>
    </x:row>
    <x:row r="338">
      <x:c r="A338" s="51" t="n">
        <x:v>39114</x:v>
      </x:c>
      <x:c r="B338" s="14" t="str">
        <x:v>Nordeste</x:v>
      </x:c>
      <x:c r="C338" s="14" t="str">
        <x:v>NORTE INTERLIGADO</x:v>
      </x:c>
      <x:c r="D338" s="53" t="str">
        <x:v>Cativo</x:v>
      </x:c>
      <x:c r="E338" s="49" t="n">
        <x:v>101353</x:v>
      </x:c>
      <x:c r="F338" s="52" t="n">
        <x:v>1162854</x:v>
      </x:c>
      <x:c r="G338" s="54" t="n">
        <x:v>46220</x:v>
      </x:c>
      <x:c r="H338" s="14" t="str">
        <x:f>IF(E338&lt;0,"Componente negativo — manter e investigar","OK")</x:f>
        <x:v>OK</x:v>
      </x:c>
    </x:row>
    <x:row r="339">
      <x:c r="A339" s="51" t="n">
        <x:v>39114</x:v>
      </x:c>
      <x:c r="B339" s="14" t="str">
        <x:v>Nordeste</x:v>
      </x:c>
      <x:c r="C339" s="14" t="str">
        <x:v>SISTEMAS ISOLADOS</x:v>
      </x:c>
      <x:c r="D339" s="53" t="str">
        <x:v>Cativo</x:v>
      </x:c>
      <x:c r="E339" s="49" t="n">
        <x:v>189</x:v>
      </x:c>
      <x:c r="F339" s="52" t="n">
        <x:v>1006</x:v>
      </x:c>
      <x:c r="G339" s="54" t="n">
        <x:v>46220</x:v>
      </x:c>
      <x:c r="H339" s="14" t="str">
        <x:f>IF(E339&lt;0,"Componente negativo — manter e investigar","OK")</x:f>
        <x:v>OK</x:v>
      </x:c>
    </x:row>
    <x:row r="340">
      <x:c r="A340" s="51" t="n">
        <x:v>39114</x:v>
      </x:c>
      <x:c r="B340" s="14" t="str">
        <x:v>Norte</x:v>
      </x:c>
      <x:c r="C340" s="14" t="str">
        <x:v>NORTE INTERLIGADO</x:v>
      </x:c>
      <x:c r="D340" s="53" t="str">
        <x:v>Cativo</x:v>
      </x:c>
      <x:c r="E340" s="49" t="n">
        <x:v>166789</x:v>
      </x:c>
      <x:c r="F340" s="52" t="n">
        <x:v>1400857</x:v>
      </x:c>
      <x:c r="G340" s="54" t="n">
        <x:v>46220</x:v>
      </x:c>
      <x:c r="H340" s="14" t="str">
        <x:f>IF(E340&lt;0,"Componente negativo — manter e investigar","OK")</x:f>
        <x:v>OK</x:v>
      </x:c>
    </x:row>
    <x:row r="341">
      <x:c r="A341" s="51" t="n">
        <x:v>39114</x:v>
      </x:c>
      <x:c r="B341" s="14" t="str">
        <x:v>Norte</x:v>
      </x:c>
      <x:c r="C341" s="14" t="str">
        <x:v>SISTEMAS ISOLADOS</x:v>
      </x:c>
      <x:c r="D341" s="53" t="str">
        <x:v>Cativo</x:v>
      </x:c>
      <x:c r="E341" s="49" t="n">
        <x:v>197714</x:v>
      </x:c>
      <x:c r="F341" s="52" t="n">
        <x:v>1236716</x:v>
      </x:c>
      <x:c r="G341" s="54" t="n">
        <x:v>46220</x:v>
      </x:c>
      <x:c r="H341" s="14" t="str">
        <x:f>IF(E341&lt;0,"Componente negativo — manter e investigar","OK")</x:f>
        <x:v>OK</x:v>
      </x:c>
    </x:row>
    <x:row r="342">
      <x:c r="A342" s="51" t="n">
        <x:v>39114</x:v>
      </x:c>
      <x:c r="B342" s="14" t="str">
        <x:v>Sudeste</x:v>
      </x:c>
      <x:c r="C342" s="14" t="str">
        <x:v>SUDESTE / CENTRO - OESTE</x:v>
      </x:c>
      <x:c r="D342" s="53" t="str">
        <x:v>Cativo</x:v>
      </x:c>
      <x:c r="E342" s="49" t="n">
        <x:v>4000465</x:v>
      </x:c>
      <x:c r="F342" s="52" t="n">
        <x:v>24477565</x:v>
      </x:c>
      <x:c r="G342" s="54" t="n">
        <x:v>46220</x:v>
      </x:c>
      <x:c r="H342" s="14" t="str">
        <x:f>IF(E342&lt;0,"Componente negativo — manter e investigar","OK")</x:f>
        <x:v>OK</x:v>
      </x:c>
    </x:row>
    <x:row r="343">
      <x:c r="A343" s="51" t="n">
        <x:v>39114</x:v>
      </x:c>
      <x:c r="B343" s="14" t="str">
        <x:v>Sul</x:v>
      </x:c>
      <x:c r="C343" s="14" t="str">
        <x:v>SUL</x:v>
      </x:c>
      <x:c r="D343" s="53" t="str">
        <x:v>Cativo</x:v>
      </x:c>
      <x:c r="E343" s="49" t="n">
        <x:v>1269714</x:v>
      </x:c>
      <x:c r="F343" s="52" t="n">
        <x:v>7359604</x:v>
      </x:c>
      <x:c r="G343" s="54" t="n">
        <x:v>46220</x:v>
      </x:c>
      <x:c r="H343" s="14" t="str">
        <x:f>IF(E343&lt;0,"Componente negativo — manter e investigar","OK")</x:f>
        <x:v>OK</x:v>
      </x:c>
    </x:row>
    <x:row r="344">
      <x:c r="A344" s="51" t="n">
        <x:v>39142</x:v>
      </x:c>
      <x:c r="B344" s="14" t="str">
        <x:v>Centro-Oeste</x:v>
      </x:c>
      <x:c r="C344" s="14" t="str">
        <x:v>SISTEMAS ISOLADOS</x:v>
      </x:c>
      <x:c r="D344" s="53" t="str">
        <x:v>Cativo</x:v>
      </x:c>
      <x:c r="E344" s="49" t="n">
        <x:v>5723</x:v>
      </x:c>
      <x:c r="F344" s="52" t="n">
        <x:v>38921</x:v>
      </x:c>
      <x:c r="G344" s="54" t="n">
        <x:v>46220</x:v>
      </x:c>
      <x:c r="H344" s="14" t="str">
        <x:f>IF(E344&lt;0,"Componente negativo — manter e investigar","OK")</x:f>
        <x:v>OK</x:v>
      </x:c>
    </x:row>
    <x:row r="345">
      <x:c r="A345" s="51" t="n">
        <x:v>39142</x:v>
      </x:c>
      <x:c r="B345" s="14" t="str">
        <x:v>Centro-Oeste</x:v>
      </x:c>
      <x:c r="C345" s="14" t="str">
        <x:v>SUDESTE / CENTRO - OESTE</x:v>
      </x:c>
      <x:c r="D345" s="53" t="str">
        <x:v>Cativo</x:v>
      </x:c>
      <x:c r="E345" s="49" t="n">
        <x:v>546567</x:v>
      </x:c>
      <x:c r="F345" s="52" t="n">
        <x:v>3573393</x:v>
      </x:c>
      <x:c r="G345" s="54" t="n">
        <x:v>46220</x:v>
      </x:c>
      <x:c r="H345" s="14" t="str">
        <x:f>IF(E345&lt;0,"Componente negativo — manter e investigar","OK")</x:f>
        <x:v>OK</x:v>
      </x:c>
    </x:row>
    <x:row r="346">
      <x:c r="A346" s="51" t="n">
        <x:v>39142</x:v>
      </x:c>
      <x:c r="B346" s="14" t="str">
        <x:v>Nordeste</x:v>
      </x:c>
      <x:c r="C346" s="14" t="str">
        <x:v>NORDESTE</x:v>
      </x:c>
      <x:c r="D346" s="53" t="str">
        <x:v>Cativo</x:v>
      </x:c>
      <x:c r="E346" s="49" t="n">
        <x:v>1095996</x:v>
      </x:c>
      <x:c r="F346" s="52" t="n">
        <x:v>11441802</x:v>
      </x:c>
      <x:c r="G346" s="54" t="n">
        <x:v>46220</x:v>
      </x:c>
      <x:c r="H346" s="14" t="str">
        <x:f>IF(E346&lt;0,"Componente negativo — manter e investigar","OK")</x:f>
        <x:v>OK</x:v>
      </x:c>
    </x:row>
    <x:row r="347">
      <x:c r="A347" s="51" t="n">
        <x:v>39142</x:v>
      </x:c>
      <x:c r="B347" s="14" t="str">
        <x:v>Nordeste</x:v>
      </x:c>
      <x:c r="C347" s="14" t="str">
        <x:v>NORTE INTERLIGADO</x:v>
      </x:c>
      <x:c r="D347" s="53" t="str">
        <x:v>Cativo</x:v>
      </x:c>
      <x:c r="E347" s="49" t="n">
        <x:v>98220</x:v>
      </x:c>
      <x:c r="F347" s="52" t="n">
        <x:v>1184708</x:v>
      </x:c>
      <x:c r="G347" s="54" t="n">
        <x:v>46220</x:v>
      </x:c>
      <x:c r="H347" s="14" t="str">
        <x:f>IF(E347&lt;0,"Componente negativo — manter e investigar","OK")</x:f>
        <x:v>OK</x:v>
      </x:c>
    </x:row>
    <x:row r="348">
      <x:c r="A348" s="51" t="n">
        <x:v>39142</x:v>
      </x:c>
      <x:c r="B348" s="14" t="str">
        <x:v>Nordeste</x:v>
      </x:c>
      <x:c r="C348" s="14" t="str">
        <x:v>SISTEMAS ISOLADOS</x:v>
      </x:c>
      <x:c r="D348" s="53" t="str">
        <x:v>Cativo</x:v>
      </x:c>
      <x:c r="E348" s="49" t="n">
        <x:v>214</x:v>
      </x:c>
      <x:c r="F348" s="52" t="n">
        <x:v>1011</x:v>
      </x:c>
      <x:c r="G348" s="54" t="n">
        <x:v>46220</x:v>
      </x:c>
      <x:c r="H348" s="14" t="str">
        <x:f>IF(E348&lt;0,"Componente negativo — manter e investigar","OK")</x:f>
        <x:v>OK</x:v>
      </x:c>
    </x:row>
    <x:row r="349">
      <x:c r="A349" s="51" t="n">
        <x:v>39142</x:v>
      </x:c>
      <x:c r="B349" s="14" t="str">
        <x:v>Norte</x:v>
      </x:c>
      <x:c r="C349" s="14" t="str">
        <x:v>NORTE INTERLIGADO</x:v>
      </x:c>
      <x:c r="D349" s="53" t="str">
        <x:v>Cativo</x:v>
      </x:c>
      <x:c r="E349" s="49" t="n">
        <x:v>157905</x:v>
      </x:c>
      <x:c r="F349" s="52" t="n">
        <x:v>1407921</x:v>
      </x:c>
      <x:c r="G349" s="54" t="n">
        <x:v>46220</x:v>
      </x:c>
      <x:c r="H349" s="14" t="str">
        <x:f>IF(E349&lt;0,"Componente negativo — manter e investigar","OK")</x:f>
        <x:v>OK</x:v>
      </x:c>
    </x:row>
    <x:row r="350">
      <x:c r="A350" s="51" t="n">
        <x:v>39142</x:v>
      </x:c>
      <x:c r="B350" s="14" t="str">
        <x:v>Norte</x:v>
      </x:c>
      <x:c r="C350" s="14" t="str">
        <x:v>SISTEMAS ISOLADOS</x:v>
      </x:c>
      <x:c r="D350" s="53" t="str">
        <x:v>Cativo</x:v>
      </x:c>
      <x:c r="E350" s="49" t="n">
        <x:v>194978</x:v>
      </x:c>
      <x:c r="F350" s="52" t="n">
        <x:v>1241946</x:v>
      </x:c>
      <x:c r="G350" s="54" t="n">
        <x:v>46220</x:v>
      </x:c>
      <x:c r="H350" s="14" t="str">
        <x:f>IF(E350&lt;0,"Componente negativo — manter e investigar","OK")</x:f>
        <x:v>OK</x:v>
      </x:c>
    </x:row>
    <x:row r="351">
      <x:c r="A351" s="51" t="n">
        <x:v>39142</x:v>
      </x:c>
      <x:c r="B351" s="14" t="str">
        <x:v>Sudeste</x:v>
      </x:c>
      <x:c r="C351" s="14" t="str">
        <x:v>SUDESTE / CENTRO - OESTE</x:v>
      </x:c>
      <x:c r="D351" s="53" t="str">
        <x:v>Cativo</x:v>
      </x:c>
      <x:c r="E351" s="49" t="n">
        <x:v>4219240</x:v>
      </x:c>
      <x:c r="F351" s="52" t="n">
        <x:v>24529819</x:v>
      </x:c>
      <x:c r="G351" s="54" t="n">
        <x:v>46220</x:v>
      </x:c>
      <x:c r="H351" s="14" t="str">
        <x:f>IF(E351&lt;0,"Componente negativo — manter e investigar","OK")</x:f>
        <x:v>OK</x:v>
      </x:c>
    </x:row>
    <x:row r="352">
      <x:c r="A352" s="51" t="n">
        <x:v>39142</x:v>
      </x:c>
      <x:c r="B352" s="14" t="str">
        <x:v>Sul</x:v>
      </x:c>
      <x:c r="C352" s="14" t="str">
        <x:v>SUL</x:v>
      </x:c>
      <x:c r="D352" s="53" t="str">
        <x:v>Cativo</x:v>
      </x:c>
      <x:c r="E352" s="49" t="n">
        <x:v>1275474</x:v>
      </x:c>
      <x:c r="F352" s="52" t="n">
        <x:v>7375238</x:v>
      </x:c>
      <x:c r="G352" s="54" t="n">
        <x:v>46220</x:v>
      </x:c>
      <x:c r="H352" s="14" t="str">
        <x:f>IF(E352&lt;0,"Componente negativo — manter e investigar","OK")</x:f>
        <x:v>OK</x:v>
      </x:c>
    </x:row>
    <x:row r="353">
      <x:c r="A353" s="51" t="n">
        <x:v>39173</x:v>
      </x:c>
      <x:c r="B353" s="14" t="str">
        <x:v>Centro-Oeste</x:v>
      </x:c>
      <x:c r="C353" s="14" t="str">
        <x:v>SISTEMAS ISOLADOS</x:v>
      </x:c>
      <x:c r="D353" s="53" t="str">
        <x:v>Cativo</x:v>
      </x:c>
      <x:c r="E353" s="49" t="n">
        <x:v>6057</x:v>
      </x:c>
      <x:c r="F353" s="52" t="n">
        <x:v>39202</x:v>
      </x:c>
      <x:c r="G353" s="54" t="n">
        <x:v>46220</x:v>
      </x:c>
      <x:c r="H353" s="14" t="str">
        <x:f>IF(E353&lt;0,"Componente negativo — manter e investigar","OK")</x:f>
        <x:v>OK</x:v>
      </x:c>
    </x:row>
    <x:row r="354">
      <x:c r="A354" s="51" t="n">
        <x:v>39173</x:v>
      </x:c>
      <x:c r="B354" s="14" t="str">
        <x:v>Centro-Oeste</x:v>
      </x:c>
      <x:c r="C354" s="14" t="str">
        <x:v>SUDESTE / CENTRO - OESTE</x:v>
      </x:c>
      <x:c r="D354" s="53" t="str">
        <x:v>Cativo</x:v>
      </x:c>
      <x:c r="E354" s="49" t="n">
        <x:v>590934</x:v>
      </x:c>
      <x:c r="F354" s="52" t="n">
        <x:v>3580053</x:v>
      </x:c>
      <x:c r="G354" s="54" t="n">
        <x:v>46220</x:v>
      </x:c>
      <x:c r="H354" s="14" t="str">
        <x:f>IF(E354&lt;0,"Componente negativo — manter e investigar","OK")</x:f>
        <x:v>OK</x:v>
      </x:c>
    </x:row>
    <x:row r="355">
      <x:c r="A355" s="51" t="n">
        <x:v>39173</x:v>
      </x:c>
      <x:c r="B355" s="14" t="str">
        <x:v>Nordeste</x:v>
      </x:c>
      <x:c r="C355" s="14" t="str">
        <x:v>NORDESTE</x:v>
      </x:c>
      <x:c r="D355" s="53" t="str">
        <x:v>Cativo</x:v>
      </x:c>
      <x:c r="E355" s="49" t="n">
        <x:v>1132054</x:v>
      </x:c>
      <x:c r="F355" s="52" t="n">
        <x:v>11370382</x:v>
      </x:c>
      <x:c r="G355" s="54" t="n">
        <x:v>46220</x:v>
      </x:c>
      <x:c r="H355" s="14" t="str">
        <x:f>IF(E355&lt;0,"Componente negativo — manter e investigar","OK")</x:f>
        <x:v>OK</x:v>
      </x:c>
    </x:row>
    <x:row r="356">
      <x:c r="A356" s="51" t="n">
        <x:v>39173</x:v>
      </x:c>
      <x:c r="B356" s="14" t="str">
        <x:v>Nordeste</x:v>
      </x:c>
      <x:c r="C356" s="14" t="str">
        <x:v>NORTE INTERLIGADO</x:v>
      </x:c>
      <x:c r="D356" s="53" t="str">
        <x:v>Cativo</x:v>
      </x:c>
      <x:c r="E356" s="49" t="n">
        <x:v>112209</x:v>
      </x:c>
      <x:c r="F356" s="52" t="n">
        <x:v>1201072</x:v>
      </x:c>
      <x:c r="G356" s="54" t="n">
        <x:v>46220</x:v>
      </x:c>
      <x:c r="H356" s="14" t="str">
        <x:f>IF(E356&lt;0,"Componente negativo — manter e investigar","OK")</x:f>
        <x:v>OK</x:v>
      </x:c>
    </x:row>
    <x:row r="357">
      <x:c r="A357" s="51" t="n">
        <x:v>39173</x:v>
      </x:c>
      <x:c r="B357" s="14" t="str">
        <x:v>Nordeste</x:v>
      </x:c>
      <x:c r="C357" s="14" t="str">
        <x:v>SISTEMAS ISOLADOS</x:v>
      </x:c>
      <x:c r="D357" s="53" t="str">
        <x:v>Cativo</x:v>
      </x:c>
      <x:c r="E357" s="49" t="n">
        <x:v>195</x:v>
      </x:c>
      <x:c r="F357" s="52" t="n">
        <x:v>981</x:v>
      </x:c>
      <x:c r="G357" s="54" t="n">
        <x:v>46220</x:v>
      </x:c>
      <x:c r="H357" s="14" t="str">
        <x:f>IF(E357&lt;0,"Componente negativo — manter e investigar","OK")</x:f>
        <x:v>OK</x:v>
      </x:c>
    </x:row>
    <x:row r="358">
      <x:c r="A358" s="51" t="n">
        <x:v>39173</x:v>
      </x:c>
      <x:c r="B358" s="14" t="str">
        <x:v>Norte</x:v>
      </x:c>
      <x:c r="C358" s="14" t="str">
        <x:v>NORTE INTERLIGADO</x:v>
      </x:c>
      <x:c r="D358" s="53" t="str">
        <x:v>Cativo</x:v>
      </x:c>
      <x:c r="E358" s="49" t="n">
        <x:v>173310</x:v>
      </x:c>
      <x:c r="F358" s="52" t="n">
        <x:v>1410455</x:v>
      </x:c>
      <x:c r="G358" s="54" t="n">
        <x:v>46220</x:v>
      </x:c>
      <x:c r="H358" s="14" t="str">
        <x:f>IF(E358&lt;0,"Componente negativo — manter e investigar","OK")</x:f>
        <x:v>OK</x:v>
      </x:c>
    </x:row>
    <x:row r="359">
      <x:c r="A359" s="51" t="n">
        <x:v>39173</x:v>
      </x:c>
      <x:c r="B359" s="14" t="str">
        <x:v>Norte</x:v>
      </x:c>
      <x:c r="C359" s="14" t="str">
        <x:v>SISTEMAS ISOLADOS</x:v>
      </x:c>
      <x:c r="D359" s="53" t="str">
        <x:v>Cativo</x:v>
      </x:c>
      <x:c r="E359" s="49" t="n">
        <x:v>198657</x:v>
      </x:c>
      <x:c r="F359" s="52" t="n">
        <x:v>1246557</x:v>
      </x:c>
      <x:c r="G359" s="54" t="n">
        <x:v>46220</x:v>
      </x:c>
      <x:c r="H359" s="14" t="str">
        <x:f>IF(E359&lt;0,"Componente negativo — manter e investigar","OK")</x:f>
        <x:v>OK</x:v>
      </x:c>
    </x:row>
    <x:row r="360">
      <x:c r="A360" s="51" t="n">
        <x:v>39173</x:v>
      </x:c>
      <x:c r="B360" s="14" t="str">
        <x:v>Sudeste</x:v>
      </x:c>
      <x:c r="C360" s="14" t="str">
        <x:v>SUDESTE / CENTRO - OESTE</x:v>
      </x:c>
      <x:c r="D360" s="53" t="str">
        <x:v>Cativo</x:v>
      </x:c>
      <x:c r="E360" s="49" t="n">
        <x:v>4223592</x:v>
      </x:c>
      <x:c r="F360" s="52" t="n">
        <x:v>24571546</x:v>
      </x:c>
      <x:c r="G360" s="54" t="n">
        <x:v>46220</x:v>
      </x:c>
      <x:c r="H360" s="14" t="str">
        <x:f>IF(E360&lt;0,"Componente negativo — manter e investigar","OK")</x:f>
        <x:v>OK</x:v>
      </x:c>
    </x:row>
    <x:row r="361">
      <x:c r="A361" s="51" t="n">
        <x:v>39173</x:v>
      </x:c>
      <x:c r="B361" s="14" t="str">
        <x:v>Sul</x:v>
      </x:c>
      <x:c r="C361" s="14" t="str">
        <x:v>SUL</x:v>
      </x:c>
      <x:c r="D361" s="53" t="str">
        <x:v>Cativo</x:v>
      </x:c>
      <x:c r="E361" s="49" t="n">
        <x:v>1291818</x:v>
      </x:c>
      <x:c r="F361" s="52" t="n">
        <x:v>7388920</x:v>
      </x:c>
      <x:c r="G361" s="54" t="n">
        <x:v>46220</x:v>
      </x:c>
      <x:c r="H361" s="14" t="str">
        <x:f>IF(E361&lt;0,"Componente negativo — manter e investigar","OK")</x:f>
        <x:v>OK</x:v>
      </x:c>
    </x:row>
    <x:row r="362">
      <x:c r="A362" s="51" t="n">
        <x:v>39203</x:v>
      </x:c>
      <x:c r="B362" s="14" t="str">
        <x:v>Centro-Oeste</x:v>
      </x:c>
      <x:c r="C362" s="14" t="str">
        <x:v>SISTEMAS ISOLADOS</x:v>
      </x:c>
      <x:c r="D362" s="53" t="str">
        <x:v>Cativo</x:v>
      </x:c>
      <x:c r="E362" s="49" t="n">
        <x:v>6073</x:v>
      </x:c>
      <x:c r="F362" s="52" t="n">
        <x:v>39608</x:v>
      </x:c>
      <x:c r="G362" s="54" t="n">
        <x:v>46220</x:v>
      </x:c>
      <x:c r="H362" s="14" t="str">
        <x:f>IF(E362&lt;0,"Componente negativo — manter e investigar","OK")</x:f>
        <x:v>OK</x:v>
      </x:c>
    </x:row>
    <x:row r="363">
      <x:c r="A363" s="51" t="n">
        <x:v>39203</x:v>
      </x:c>
      <x:c r="B363" s="14" t="str">
        <x:v>Centro-Oeste</x:v>
      </x:c>
      <x:c r="C363" s="14" t="str">
        <x:v>SUDESTE / CENTRO - OESTE</x:v>
      </x:c>
      <x:c r="D363" s="53" t="str">
        <x:v>Cativo</x:v>
      </x:c>
      <x:c r="E363" s="49" t="n">
        <x:v>547193</x:v>
      </x:c>
      <x:c r="F363" s="52" t="n">
        <x:v>3592916</x:v>
      </x:c>
      <x:c r="G363" s="54" t="n">
        <x:v>46220</x:v>
      </x:c>
      <x:c r="H363" s="14" t="str">
        <x:f>IF(E363&lt;0,"Componente negativo — manter e investigar","OK")</x:f>
        <x:v>OK</x:v>
      </x:c>
    </x:row>
    <x:row r="364">
      <x:c r="A364" s="51" t="n">
        <x:v>39203</x:v>
      </x:c>
      <x:c r="B364" s="14" t="str">
        <x:v>Nordeste</x:v>
      </x:c>
      <x:c r="C364" s="14" t="str">
        <x:v>NORDESTE</x:v>
      </x:c>
      <x:c r="D364" s="53" t="str">
        <x:v>Cativo</x:v>
      </x:c>
      <x:c r="E364" s="49" t="n">
        <x:v>1105296</x:v>
      </x:c>
      <x:c r="F364" s="52" t="n">
        <x:v>11415565</x:v>
      </x:c>
      <x:c r="G364" s="54" t="n">
        <x:v>46220</x:v>
      </x:c>
      <x:c r="H364" s="14" t="str">
        <x:f>IF(E364&lt;0,"Componente negativo — manter e investigar","OK")</x:f>
        <x:v>OK</x:v>
      </x:c>
    </x:row>
    <x:row r="365">
      <x:c r="A365" s="51" t="n">
        <x:v>39203</x:v>
      </x:c>
      <x:c r="B365" s="14" t="str">
        <x:v>Nordeste</x:v>
      </x:c>
      <x:c r="C365" s="14" t="str">
        <x:v>NORTE INTERLIGADO</x:v>
      </x:c>
      <x:c r="D365" s="53" t="str">
        <x:v>Cativo</x:v>
      </x:c>
      <x:c r="E365" s="49" t="n">
        <x:v>113383</x:v>
      </x:c>
      <x:c r="F365" s="52" t="n">
        <x:v>1213816</x:v>
      </x:c>
      <x:c r="G365" s="54" t="n">
        <x:v>46220</x:v>
      </x:c>
      <x:c r="H365" s="14" t="str">
        <x:f>IF(E365&lt;0,"Componente negativo — manter e investigar","OK")</x:f>
        <x:v>OK</x:v>
      </x:c>
    </x:row>
    <x:row r="366">
      <x:c r="A366" s="51" t="n">
        <x:v>39203</x:v>
      </x:c>
      <x:c r="B366" s="14" t="str">
        <x:v>Nordeste</x:v>
      </x:c>
      <x:c r="C366" s="14" t="str">
        <x:v>SISTEMAS ISOLADOS</x:v>
      </x:c>
      <x:c r="D366" s="53" t="str">
        <x:v>Cativo</x:v>
      </x:c>
      <x:c r="E366" s="49" t="n">
        <x:v>188</x:v>
      </x:c>
      <x:c r="F366" s="52" t="n">
        <x:v>981</x:v>
      </x:c>
      <x:c r="G366" s="54" t="n">
        <x:v>46220</x:v>
      </x:c>
      <x:c r="H366" s="14" t="str">
        <x:f>IF(E366&lt;0,"Componente negativo — manter e investigar","OK")</x:f>
        <x:v>OK</x:v>
      </x:c>
    </x:row>
    <x:row r="367">
      <x:c r="A367" s="51" t="n">
        <x:v>39203</x:v>
      </x:c>
      <x:c r="B367" s="14" t="str">
        <x:v>Norte</x:v>
      </x:c>
      <x:c r="C367" s="14" t="str">
        <x:v>NORTE INTERLIGADO</x:v>
      </x:c>
      <x:c r="D367" s="53" t="str">
        <x:v>Cativo</x:v>
      </x:c>
      <x:c r="E367" s="49" t="n">
        <x:v>171957</x:v>
      </x:c>
      <x:c r="F367" s="52" t="n">
        <x:v>1413633</x:v>
      </x:c>
      <x:c r="G367" s="54" t="n">
        <x:v>46220</x:v>
      </x:c>
      <x:c r="H367" s="14" t="str">
        <x:f>IF(E367&lt;0,"Componente negativo — manter e investigar","OK")</x:f>
        <x:v>OK</x:v>
      </x:c>
    </x:row>
    <x:row r="368">
      <x:c r="A368" s="51" t="n">
        <x:v>39203</x:v>
      </x:c>
      <x:c r="B368" s="14" t="str">
        <x:v>Norte</x:v>
      </x:c>
      <x:c r="C368" s="14" t="str">
        <x:v>SISTEMAS ISOLADOS</x:v>
      </x:c>
      <x:c r="D368" s="53" t="str">
        <x:v>Cativo</x:v>
      </x:c>
      <x:c r="E368" s="49" t="n">
        <x:v>199648</x:v>
      </x:c>
      <x:c r="F368" s="52" t="n">
        <x:v>1250790</x:v>
      </x:c>
      <x:c r="G368" s="54" t="n">
        <x:v>46220</x:v>
      </x:c>
      <x:c r="H368" s="14" t="str">
        <x:f>IF(E368&lt;0,"Componente negativo — manter e investigar","OK")</x:f>
        <x:v>OK</x:v>
      </x:c>
    </x:row>
    <x:row r="369">
      <x:c r="A369" s="51" t="n">
        <x:v>39203</x:v>
      </x:c>
      <x:c r="B369" s="14" t="str">
        <x:v>Sudeste</x:v>
      </x:c>
      <x:c r="C369" s="14" t="str">
        <x:v>SUDESTE / CENTRO - OESTE</x:v>
      </x:c>
      <x:c r="D369" s="53" t="str">
        <x:v>Cativo</x:v>
      </x:c>
      <x:c r="E369" s="49" t="n">
        <x:v>4104316</x:v>
      </x:c>
      <x:c r="F369" s="52" t="n">
        <x:v>24645644</x:v>
      </x:c>
      <x:c r="G369" s="54" t="n">
        <x:v>46220</x:v>
      </x:c>
      <x:c r="H369" s="14" t="str">
        <x:f>IF(E369&lt;0,"Componente negativo — manter e investigar","OK")</x:f>
        <x:v>OK</x:v>
      </x:c>
    </x:row>
    <x:row r="370">
      <x:c r="A370" s="51" t="n">
        <x:v>39203</x:v>
      </x:c>
      <x:c r="B370" s="14" t="str">
        <x:v>Sul</x:v>
      </x:c>
      <x:c r="C370" s="14" t="str">
        <x:v>SUL</x:v>
      </x:c>
      <x:c r="D370" s="53" t="str">
        <x:v>Cativo</x:v>
      </x:c>
      <x:c r="E370" s="49" t="n">
        <x:v>1243434</x:v>
      </x:c>
      <x:c r="F370" s="52" t="n">
        <x:v>7395907</x:v>
      </x:c>
      <x:c r="G370" s="54" t="n">
        <x:v>46220</x:v>
      </x:c>
      <x:c r="H370" s="14" t="str">
        <x:f>IF(E370&lt;0,"Componente negativo — manter e investigar","OK")</x:f>
        <x:v>OK</x:v>
      </x:c>
    </x:row>
    <x:row r="371">
      <x:c r="A371" s="51" t="n">
        <x:v>39234</x:v>
      </x:c>
      <x:c r="B371" s="14" t="str">
        <x:v>Centro-Oeste</x:v>
      </x:c>
      <x:c r="C371" s="14" t="str">
        <x:v>SISTEMAS ISOLADOS</x:v>
      </x:c>
      <x:c r="D371" s="53" t="str">
        <x:v>Cativo</x:v>
      </x:c>
      <x:c r="E371" s="49" t="n">
        <x:v>4998</x:v>
      </x:c>
      <x:c r="F371" s="52" t="n">
        <x:v>36290</x:v>
      </x:c>
      <x:c r="G371" s="54" t="n">
        <x:v>46220</x:v>
      </x:c>
      <x:c r="H371" s="14" t="str">
        <x:f>IF(E371&lt;0,"Componente negativo — manter e investigar","OK")</x:f>
        <x:v>OK</x:v>
      </x:c>
    </x:row>
    <x:row r="372">
      <x:c r="A372" s="51" t="n">
        <x:v>39234</x:v>
      </x:c>
      <x:c r="B372" s="14" t="str">
        <x:v>Centro-Oeste</x:v>
      </x:c>
      <x:c r="C372" s="14" t="str">
        <x:v>SUDESTE / CENTRO - OESTE</x:v>
      </x:c>
      <x:c r="D372" s="53" t="str">
        <x:v>Cativo</x:v>
      </x:c>
      <x:c r="E372" s="49" t="n">
        <x:v>531838</x:v>
      </x:c>
      <x:c r="F372" s="52" t="n">
        <x:v>3603074</x:v>
      </x:c>
      <x:c r="G372" s="54" t="n">
        <x:v>46220</x:v>
      </x:c>
      <x:c r="H372" s="14" t="str">
        <x:f>IF(E372&lt;0,"Componente negativo — manter e investigar","OK")</x:f>
        <x:v>OK</x:v>
      </x:c>
    </x:row>
    <x:row r="373">
      <x:c r="A373" s="51" t="n">
        <x:v>39234</x:v>
      </x:c>
      <x:c r="B373" s="14" t="str">
        <x:v>Nordeste</x:v>
      </x:c>
      <x:c r="C373" s="14" t="str">
        <x:v>NORDESTE</x:v>
      </x:c>
      <x:c r="D373" s="53" t="str">
        <x:v>Cativo</x:v>
      </x:c>
      <x:c r="E373" s="49" t="n">
        <x:v>1095855</x:v>
      </x:c>
      <x:c r="F373" s="52" t="n">
        <x:v>11458780</x:v>
      </x:c>
      <x:c r="G373" s="54" t="n">
        <x:v>46220</x:v>
      </x:c>
      <x:c r="H373" s="14" t="str">
        <x:f>IF(E373&lt;0,"Componente negativo — manter e investigar","OK")</x:f>
        <x:v>OK</x:v>
      </x:c>
    </x:row>
    <x:row r="374">
      <x:c r="A374" s="51" t="n">
        <x:v>39234</x:v>
      </x:c>
      <x:c r="B374" s="14" t="str">
        <x:v>Nordeste</x:v>
      </x:c>
      <x:c r="C374" s="14" t="str">
        <x:v>NORTE INTERLIGADO</x:v>
      </x:c>
      <x:c r="D374" s="53" t="str">
        <x:v>Cativo</x:v>
      </x:c>
      <x:c r="E374" s="49" t="n">
        <x:v>109673</x:v>
      </x:c>
      <x:c r="F374" s="52" t="n">
        <x:v>1220142</x:v>
      </x:c>
      <x:c r="G374" s="54" t="n">
        <x:v>46220</x:v>
      </x:c>
      <x:c r="H374" s="14" t="str">
        <x:f>IF(E374&lt;0,"Componente negativo — manter e investigar","OK")</x:f>
        <x:v>OK</x:v>
      </x:c>
    </x:row>
    <x:row r="375">
      <x:c r="A375" s="51" t="n">
        <x:v>39234</x:v>
      </x:c>
      <x:c r="B375" s="14" t="str">
        <x:v>Nordeste</x:v>
      </x:c>
      <x:c r="C375" s="14" t="str">
        <x:v>SISTEMAS ISOLADOS</x:v>
      </x:c>
      <x:c r="D375" s="53" t="str">
        <x:v>Cativo</x:v>
      </x:c>
      <x:c r="E375" s="49" t="n">
        <x:v>177</x:v>
      </x:c>
      <x:c r="F375" s="52" t="n">
        <x:v>986</x:v>
      </x:c>
      <x:c r="G375" s="54" t="n">
        <x:v>46220</x:v>
      </x:c>
      <x:c r="H375" s="14" t="str">
        <x:f>IF(E375&lt;0,"Componente negativo — manter e investigar","OK")</x:f>
        <x:v>OK</x:v>
      </x:c>
    </x:row>
    <x:row r="376">
      <x:c r="A376" s="51" t="n">
        <x:v>39234</x:v>
      </x:c>
      <x:c r="B376" s="14" t="str">
        <x:v>Norte</x:v>
      </x:c>
      <x:c r="C376" s="14" t="str">
        <x:v>NORTE INTERLIGADO</x:v>
      </x:c>
      <x:c r="D376" s="53" t="str">
        <x:v>Cativo</x:v>
      </x:c>
      <x:c r="E376" s="49" t="n">
        <x:v>180636</x:v>
      </x:c>
      <x:c r="F376" s="52" t="n">
        <x:v>1417369</x:v>
      </x:c>
      <x:c r="G376" s="54" t="n">
        <x:v>46220</x:v>
      </x:c>
      <x:c r="H376" s="14" t="str">
        <x:f>IF(E376&lt;0,"Componente negativo — manter e investigar","OK")</x:f>
        <x:v>OK</x:v>
      </x:c>
    </x:row>
    <x:row r="377">
      <x:c r="A377" s="51" t="n">
        <x:v>39234</x:v>
      </x:c>
      <x:c r="B377" s="14" t="str">
        <x:v>Norte</x:v>
      </x:c>
      <x:c r="C377" s="14" t="str">
        <x:v>SISTEMAS ISOLADOS</x:v>
      </x:c>
      <x:c r="D377" s="53" t="str">
        <x:v>Cativo</x:v>
      </x:c>
      <x:c r="E377" s="49" t="n">
        <x:v>200652</x:v>
      </x:c>
      <x:c r="F377" s="52" t="n">
        <x:v>1256016</x:v>
      </x:c>
      <x:c r="G377" s="54" t="n">
        <x:v>46220</x:v>
      </x:c>
      <x:c r="H377" s="14" t="str">
        <x:f>IF(E377&lt;0,"Componente negativo — manter e investigar","OK")</x:f>
        <x:v>OK</x:v>
      </x:c>
    </x:row>
    <x:row r="378">
      <x:c r="A378" s="51" t="n">
        <x:v>39234</x:v>
      </x:c>
      <x:c r="B378" s="14" t="str">
        <x:v>Sudeste</x:v>
      </x:c>
      <x:c r="C378" s="14" t="str">
        <x:v>SUDESTE / CENTRO - OESTE</x:v>
      </x:c>
      <x:c r="D378" s="53" t="str">
        <x:v>Cativo</x:v>
      </x:c>
      <x:c r="E378" s="49" t="n">
        <x:v>3887323</x:v>
      </x:c>
      <x:c r="F378" s="52" t="n">
        <x:v>24722235</x:v>
      </x:c>
      <x:c r="G378" s="54" t="n">
        <x:v>46220</x:v>
      </x:c>
      <x:c r="H378" s="14" t="str">
        <x:f>IF(E378&lt;0,"Componente negativo — manter e investigar","OK")</x:f>
        <x:v>OK</x:v>
      </x:c>
    </x:row>
    <x:row r="379">
      <x:c r="A379" s="51" t="n">
        <x:v>39234</x:v>
      </x:c>
      <x:c r="B379" s="14" t="str">
        <x:v>Sul</x:v>
      </x:c>
      <x:c r="C379" s="14" t="str">
        <x:v>SUL</x:v>
      </x:c>
      <x:c r="D379" s="53" t="str">
        <x:v>Cativo</x:v>
      </x:c>
      <x:c r="E379" s="49" t="n">
        <x:v>1193009</x:v>
      </x:c>
      <x:c r="F379" s="52" t="n">
        <x:v>7406053</x:v>
      </x:c>
      <x:c r="G379" s="54" t="n">
        <x:v>46220</x:v>
      </x:c>
      <x:c r="H379" s="14" t="str">
        <x:f>IF(E379&lt;0,"Componente negativo — manter e investigar","OK")</x:f>
        <x:v>OK</x:v>
      </x:c>
    </x:row>
    <x:row r="380">
      <x:c r="A380" s="51" t="n">
        <x:v>39264</x:v>
      </x:c>
      <x:c r="B380" s="14" t="str">
        <x:v>Centro-Oeste</x:v>
      </x:c>
      <x:c r="C380" s="14" t="str">
        <x:v>SISTEMAS ISOLADOS</x:v>
      </x:c>
      <x:c r="D380" s="53" t="str">
        <x:v>Cativo</x:v>
      </x:c>
      <x:c r="E380" s="49" t="n">
        <x:v>4954</x:v>
      </x:c>
      <x:c r="F380" s="52" t="n">
        <x:v>36963</x:v>
      </x:c>
      <x:c r="G380" s="54" t="n">
        <x:v>46220</x:v>
      </x:c>
      <x:c r="H380" s="14" t="str">
        <x:f>IF(E380&lt;0,"Componente negativo — manter e investigar","OK")</x:f>
        <x:v>OK</x:v>
      </x:c>
    </x:row>
    <x:row r="381">
      <x:c r="A381" s="51" t="n">
        <x:v>39264</x:v>
      </x:c>
      <x:c r="B381" s="14" t="str">
        <x:v>Centro-Oeste</x:v>
      </x:c>
      <x:c r="C381" s="14" t="str">
        <x:v>SUDESTE / CENTRO - OESTE</x:v>
      </x:c>
      <x:c r="D381" s="53" t="str">
        <x:v>Cativo</x:v>
      </x:c>
      <x:c r="E381" s="49" t="n">
        <x:v>528693</x:v>
      </x:c>
      <x:c r="F381" s="52" t="n">
        <x:v>3616847</x:v>
      </x:c>
      <x:c r="G381" s="54" t="n">
        <x:v>46220</x:v>
      </x:c>
      <x:c r="H381" s="14" t="str">
        <x:f>IF(E381&lt;0,"Componente negativo — manter e investigar","OK")</x:f>
        <x:v>OK</x:v>
      </x:c>
    </x:row>
    <x:row r="382">
      <x:c r="A382" s="51" t="n">
        <x:v>39264</x:v>
      </x:c>
      <x:c r="B382" s="14" t="str">
        <x:v>Nordeste</x:v>
      </x:c>
      <x:c r="C382" s="14" t="str">
        <x:v>NORDESTE</x:v>
      </x:c>
      <x:c r="D382" s="53" t="str">
        <x:v>Cativo</x:v>
      </x:c>
      <x:c r="E382" s="49" t="n">
        <x:v>1066305</x:v>
      </x:c>
      <x:c r="F382" s="52" t="n">
        <x:v>11499017</x:v>
      </x:c>
      <x:c r="G382" s="54" t="n">
        <x:v>46220</x:v>
      </x:c>
      <x:c r="H382" s="14" t="str">
        <x:f>IF(E382&lt;0,"Componente negativo — manter e investigar","OK")</x:f>
        <x:v>OK</x:v>
      </x:c>
    </x:row>
    <x:row r="383">
      <x:c r="A383" s="51" t="n">
        <x:v>39264</x:v>
      </x:c>
      <x:c r="B383" s="14" t="str">
        <x:v>Nordeste</x:v>
      </x:c>
      <x:c r="C383" s="14" t="str">
        <x:v>NORTE INTERLIGADO</x:v>
      </x:c>
      <x:c r="D383" s="53" t="str">
        <x:v>Cativo</x:v>
      </x:c>
      <x:c r="E383" s="49" t="n">
        <x:v>110880</x:v>
      </x:c>
      <x:c r="F383" s="52" t="n">
        <x:v>1227808</x:v>
      </x:c>
      <x:c r="G383" s="54" t="n">
        <x:v>46220</x:v>
      </x:c>
      <x:c r="H383" s="14" t="str">
        <x:f>IF(E383&lt;0,"Componente negativo — manter e investigar","OK")</x:f>
        <x:v>OK</x:v>
      </x:c>
    </x:row>
    <x:row r="384">
      <x:c r="A384" s="51" t="n">
        <x:v>39264</x:v>
      </x:c>
      <x:c r="B384" s="14" t="str">
        <x:v>Nordeste</x:v>
      </x:c>
      <x:c r="C384" s="14" t="str">
        <x:v>SISTEMAS ISOLADOS</x:v>
      </x:c>
      <x:c r="D384" s="53" t="str">
        <x:v>Cativo</x:v>
      </x:c>
      <x:c r="E384" s="49" t="n">
        <x:v>177</x:v>
      </x:c>
      <x:c r="F384" s="52" t="n">
        <x:v>979</x:v>
      </x:c>
      <x:c r="G384" s="54" t="n">
        <x:v>46220</x:v>
      </x:c>
      <x:c r="H384" s="14" t="str">
        <x:f>IF(E384&lt;0,"Componente negativo — manter e investigar","OK")</x:f>
        <x:v>OK</x:v>
      </x:c>
    </x:row>
    <x:row r="385">
      <x:c r="A385" s="51" t="n">
        <x:v>39264</x:v>
      </x:c>
      <x:c r="B385" s="14" t="str">
        <x:v>Norte</x:v>
      </x:c>
      <x:c r="C385" s="14" t="str">
        <x:v>NORTE INTERLIGADO</x:v>
      </x:c>
      <x:c r="D385" s="53" t="str">
        <x:v>Cativo</x:v>
      </x:c>
      <x:c r="E385" s="49" t="n">
        <x:v>171503</x:v>
      </x:c>
      <x:c r="F385" s="52" t="n">
        <x:v>1425247</x:v>
      </x:c>
      <x:c r="G385" s="54" t="n">
        <x:v>46220</x:v>
      </x:c>
      <x:c r="H385" s="14" t="str">
        <x:f>IF(E385&lt;0,"Componente negativo — manter e investigar","OK")</x:f>
        <x:v>OK</x:v>
      </x:c>
    </x:row>
    <x:row r="386">
      <x:c r="A386" s="51" t="n">
        <x:v>39264</x:v>
      </x:c>
      <x:c r="B386" s="14" t="str">
        <x:v>Norte</x:v>
      </x:c>
      <x:c r="C386" s="14" t="str">
        <x:v>SISTEMAS ISOLADOS</x:v>
      </x:c>
      <x:c r="D386" s="53" t="str">
        <x:v>Cativo</x:v>
      </x:c>
      <x:c r="E386" s="49" t="n">
        <x:v>202510</x:v>
      </x:c>
      <x:c r="F386" s="52" t="n">
        <x:v>1261306</x:v>
      </x:c>
      <x:c r="G386" s="54" t="n">
        <x:v>46220</x:v>
      </x:c>
      <x:c r="H386" s="14" t="str">
        <x:f>IF(E386&lt;0,"Componente negativo — manter e investigar","OK")</x:f>
        <x:v>OK</x:v>
      </x:c>
    </x:row>
    <x:row r="387">
      <x:c r="A387" s="51" t="n">
        <x:v>39264</x:v>
      </x:c>
      <x:c r="B387" s="14" t="str">
        <x:v>Sudeste</x:v>
      </x:c>
      <x:c r="C387" s="14" t="str">
        <x:v>SUDESTE / CENTRO - OESTE</x:v>
      </x:c>
      <x:c r="D387" s="53" t="str">
        <x:v>Cativo</x:v>
      </x:c>
      <x:c r="E387" s="49" t="n">
        <x:v>3813598</x:v>
      </x:c>
      <x:c r="F387" s="52" t="n">
        <x:v>24750504</x:v>
      </x:c>
      <x:c r="G387" s="54" t="n">
        <x:v>46220</x:v>
      </x:c>
      <x:c r="H387" s="14" t="str">
        <x:f>IF(E387&lt;0,"Componente negativo — manter e investigar","OK")</x:f>
        <x:v>OK</x:v>
      </x:c>
    </x:row>
    <x:row r="388">
      <x:c r="A388" s="51" t="n">
        <x:v>39264</x:v>
      </x:c>
      <x:c r="B388" s="14" t="str">
        <x:v>Sul</x:v>
      </x:c>
      <x:c r="C388" s="14" t="str">
        <x:v>SUL</x:v>
      </x:c>
      <x:c r="D388" s="53" t="str">
        <x:v>Cativo</x:v>
      </x:c>
      <x:c r="E388" s="49" t="n">
        <x:v>1172657</x:v>
      </x:c>
      <x:c r="F388" s="52" t="n">
        <x:v>7398315</x:v>
      </x:c>
      <x:c r="G388" s="54" t="n">
        <x:v>46220</x:v>
      </x:c>
      <x:c r="H388" s="14" t="str">
        <x:f>IF(E388&lt;0,"Componente negativo — manter e investigar","OK")</x:f>
        <x:v>OK</x:v>
      </x:c>
    </x:row>
    <x:row r="389">
      <x:c r="A389" s="51" t="n">
        <x:v>39295</x:v>
      </x:c>
      <x:c r="B389" s="14" t="str">
        <x:v>Centro-Oeste</x:v>
      </x:c>
      <x:c r="C389" s="14" t="str">
        <x:v>SISTEMAS ISOLADOS</x:v>
      </x:c>
      <x:c r="D389" s="53" t="str">
        <x:v>Cativo</x:v>
      </x:c>
      <x:c r="E389" s="49" t="n">
        <x:v>4954</x:v>
      </x:c>
      <x:c r="F389" s="52" t="n">
        <x:v>36963</x:v>
      </x:c>
      <x:c r="G389" s="54" t="n">
        <x:v>46220</x:v>
      </x:c>
      <x:c r="H389" s="14" t="str">
        <x:f>IF(E389&lt;0,"Componente negativo — manter e investigar","OK")</x:f>
        <x:v>OK</x:v>
      </x:c>
    </x:row>
    <x:row r="390">
      <x:c r="A390" s="51" t="n">
        <x:v>39295</x:v>
      </x:c>
      <x:c r="B390" s="14" t="str">
        <x:v>Centro-Oeste</x:v>
      </x:c>
      <x:c r="C390" s="14" t="str">
        <x:v>SUDESTE / CENTRO - OESTE</x:v>
      </x:c>
      <x:c r="D390" s="53" t="str">
        <x:v>Cativo</x:v>
      </x:c>
      <x:c r="E390" s="49" t="n">
        <x:v>532817</x:v>
      </x:c>
      <x:c r="F390" s="52" t="n">
        <x:v>3626896</x:v>
      </x:c>
      <x:c r="G390" s="54" t="n">
        <x:v>46220</x:v>
      </x:c>
      <x:c r="H390" s="14" t="str">
        <x:f>IF(E390&lt;0,"Componente negativo — manter e investigar","OK")</x:f>
        <x:v>OK</x:v>
      </x:c>
    </x:row>
    <x:row r="391">
      <x:c r="A391" s="51" t="n">
        <x:v>39295</x:v>
      </x:c>
      <x:c r="B391" s="14" t="str">
        <x:v>Nordeste</x:v>
      </x:c>
      <x:c r="C391" s="14" t="str">
        <x:v>NORDESTE</x:v>
      </x:c>
      <x:c r="D391" s="53" t="str">
        <x:v>Cativo</x:v>
      </x:c>
      <x:c r="E391" s="49" t="n">
        <x:v>1068375</x:v>
      </x:c>
      <x:c r="F391" s="52" t="n">
        <x:v>11548346</x:v>
      </x:c>
      <x:c r="G391" s="54" t="n">
        <x:v>46220</x:v>
      </x:c>
      <x:c r="H391" s="14" t="str">
        <x:f>IF(E391&lt;0,"Componente negativo — manter e investigar","OK")</x:f>
        <x:v>OK</x:v>
      </x:c>
    </x:row>
    <x:row r="392">
      <x:c r="A392" s="51" t="n">
        <x:v>39295</x:v>
      </x:c>
      <x:c r="B392" s="14" t="str">
        <x:v>Nordeste</x:v>
      </x:c>
      <x:c r="C392" s="14" t="str">
        <x:v>NORTE INTERLIGADO</x:v>
      </x:c>
      <x:c r="D392" s="53" t="str">
        <x:v>Cativo</x:v>
      </x:c>
      <x:c r="E392" s="49" t="n">
        <x:v>117038</x:v>
      </x:c>
      <x:c r="F392" s="52" t="n">
        <x:v>1231678</x:v>
      </x:c>
      <x:c r="G392" s="54" t="n">
        <x:v>46220</x:v>
      </x:c>
      <x:c r="H392" s="14" t="str">
        <x:f>IF(E392&lt;0,"Componente negativo — manter e investigar","OK")</x:f>
        <x:v>OK</x:v>
      </x:c>
    </x:row>
    <x:row r="393">
      <x:c r="A393" s="51" t="n">
        <x:v>39295</x:v>
      </x:c>
      <x:c r="B393" s="14" t="str">
        <x:v>Nordeste</x:v>
      </x:c>
      <x:c r="C393" s="14" t="str">
        <x:v>SISTEMAS ISOLADOS</x:v>
      </x:c>
      <x:c r="D393" s="53" t="str">
        <x:v>Cativo</x:v>
      </x:c>
      <x:c r="E393" s="49" t="n">
        <x:v>171</x:v>
      </x:c>
      <x:c r="F393" s="52" t="n">
        <x:v>983</x:v>
      </x:c>
      <x:c r="G393" s="54" t="n">
        <x:v>46220</x:v>
      </x:c>
      <x:c r="H393" s="14" t="str">
        <x:f>IF(E393&lt;0,"Componente negativo — manter e investigar","OK")</x:f>
        <x:v>OK</x:v>
      </x:c>
    </x:row>
    <x:row r="394">
      <x:c r="A394" s="51" t="n">
        <x:v>39295</x:v>
      </x:c>
      <x:c r="B394" s="14" t="str">
        <x:v>Norte</x:v>
      </x:c>
      <x:c r="C394" s="14" t="str">
        <x:v>NORTE INTERLIGADO</x:v>
      </x:c>
      <x:c r="D394" s="53" t="str">
        <x:v>Cativo</x:v>
      </x:c>
      <x:c r="E394" s="49" t="n">
        <x:v>182321</x:v>
      </x:c>
      <x:c r="F394" s="52" t="n">
        <x:v>1435507</x:v>
      </x:c>
      <x:c r="G394" s="54" t="n">
        <x:v>46220</x:v>
      </x:c>
      <x:c r="H394" s="14" t="str">
        <x:f>IF(E394&lt;0,"Componente negativo — manter e investigar","OK")</x:f>
        <x:v>OK</x:v>
      </x:c>
    </x:row>
    <x:row r="395">
      <x:c r="A395" s="51" t="n">
        <x:v>39295</x:v>
      </x:c>
      <x:c r="B395" s="14" t="str">
        <x:v>Norte</x:v>
      </x:c>
      <x:c r="C395" s="14" t="str">
        <x:v>SISTEMAS ISOLADOS</x:v>
      </x:c>
      <x:c r="D395" s="53" t="str">
        <x:v>Cativo</x:v>
      </x:c>
      <x:c r="E395" s="49" t="n">
        <x:v>210567</x:v>
      </x:c>
      <x:c r="F395" s="52" t="n">
        <x:v>1265481</x:v>
      </x:c>
      <x:c r="G395" s="54" t="n">
        <x:v>46220</x:v>
      </x:c>
      <x:c r="H395" s="14" t="str">
        <x:f>IF(E395&lt;0,"Componente negativo — manter e investigar","OK")</x:f>
        <x:v>OK</x:v>
      </x:c>
    </x:row>
    <x:row r="396">
      <x:c r="A396" s="51" t="n">
        <x:v>39295</x:v>
      </x:c>
      <x:c r="B396" s="14" t="str">
        <x:v>Sudeste</x:v>
      </x:c>
      <x:c r="C396" s="14" t="str">
        <x:v>SUDESTE / CENTRO - OESTE</x:v>
      </x:c>
      <x:c r="D396" s="53" t="str">
        <x:v>Cativo</x:v>
      </x:c>
      <x:c r="E396" s="49" t="n">
        <x:v>3979163</x:v>
      </x:c>
      <x:c r="F396" s="52" t="n">
        <x:v>24832137</x:v>
      </x:c>
      <x:c r="G396" s="54" t="n">
        <x:v>46220</x:v>
      </x:c>
      <x:c r="H396" s="14" t="str">
        <x:f>IF(E396&lt;0,"Componente negativo — manter e investigar","OK")</x:f>
        <x:v>OK</x:v>
      </x:c>
    </x:row>
    <x:row r="397">
      <x:c r="A397" s="51" t="n">
        <x:v>39295</x:v>
      </x:c>
      <x:c r="B397" s="14" t="str">
        <x:v>Sul</x:v>
      </x:c>
      <x:c r="C397" s="14" t="str">
        <x:v>SUL</x:v>
      </x:c>
      <x:c r="D397" s="53" t="str">
        <x:v>Cativo</x:v>
      </x:c>
      <x:c r="E397" s="49" t="n">
        <x:v>1249110</x:v>
      </x:c>
      <x:c r="F397" s="52" t="n">
        <x:v>7442935</x:v>
      </x:c>
      <x:c r="G397" s="54" t="n">
        <x:v>46220</x:v>
      </x:c>
      <x:c r="H397" s="14" t="str">
        <x:f>IF(E397&lt;0,"Componente negativo — manter e investigar","OK")</x:f>
        <x:v>OK</x:v>
      </x:c>
    </x:row>
    <x:row r="398">
      <x:c r="A398" s="51" t="n">
        <x:v>39326</x:v>
      </x:c>
      <x:c r="B398" s="14" t="str">
        <x:v>Centro-Oeste</x:v>
      </x:c>
      <x:c r="C398" s="14" t="str">
        <x:v>SISTEMAS ISOLADOS</x:v>
      </x:c>
      <x:c r="D398" s="53" t="str">
        <x:v>Cativo</x:v>
      </x:c>
      <x:c r="E398" s="49" t="n">
        <x:v>5530</x:v>
      </x:c>
      <x:c r="F398" s="52" t="n">
        <x:v>37581</x:v>
      </x:c>
      <x:c r="G398" s="54" t="n">
        <x:v>46220</x:v>
      </x:c>
      <x:c r="H398" s="14" t="str">
        <x:f>IF(E398&lt;0,"Componente negativo — manter e investigar","OK")</x:f>
        <x:v>OK</x:v>
      </x:c>
    </x:row>
    <x:row r="399">
      <x:c r="A399" s="51" t="n">
        <x:v>39326</x:v>
      </x:c>
      <x:c r="B399" s="14" t="str">
        <x:v>Centro-Oeste</x:v>
      </x:c>
      <x:c r="C399" s="14" t="str">
        <x:v>SUDESTE / CENTRO - OESTE</x:v>
      </x:c>
      <x:c r="D399" s="53" t="str">
        <x:v>Cativo</x:v>
      </x:c>
      <x:c r="E399" s="49" t="n">
        <x:v>573892</x:v>
      </x:c>
      <x:c r="F399" s="52" t="n">
        <x:v>3633248</x:v>
      </x:c>
      <x:c r="G399" s="54" t="n">
        <x:v>46220</x:v>
      </x:c>
      <x:c r="H399" s="14" t="str">
        <x:f>IF(E399&lt;0,"Componente negativo — manter e investigar","OK")</x:f>
        <x:v>OK</x:v>
      </x:c>
    </x:row>
    <x:row r="400">
      <x:c r="A400" s="51" t="n">
        <x:v>39326</x:v>
      </x:c>
      <x:c r="B400" s="14" t="str">
        <x:v>Nordeste</x:v>
      </x:c>
      <x:c r="C400" s="14" t="str">
        <x:v>NORDESTE</x:v>
      </x:c>
      <x:c r="D400" s="53" t="str">
        <x:v>Cativo</x:v>
      </x:c>
      <x:c r="E400" s="49" t="n">
        <x:v>1048518</x:v>
      </x:c>
      <x:c r="F400" s="52" t="n">
        <x:v>11566630</x:v>
      </x:c>
      <x:c r="G400" s="54" t="n">
        <x:v>46220</x:v>
      </x:c>
      <x:c r="H400" s="14" t="str">
        <x:f>IF(E400&lt;0,"Componente negativo — manter e investigar","OK")</x:f>
        <x:v>OK</x:v>
      </x:c>
    </x:row>
    <x:row r="401">
      <x:c r="A401" s="51" t="n">
        <x:v>39326</x:v>
      </x:c>
      <x:c r="B401" s="14" t="str">
        <x:v>Nordeste</x:v>
      </x:c>
      <x:c r="C401" s="14" t="str">
        <x:v>NORTE INTERLIGADO</x:v>
      </x:c>
      <x:c r="D401" s="53" t="str">
        <x:v>Cativo</x:v>
      </x:c>
      <x:c r="E401" s="49" t="n">
        <x:v>116057</x:v>
      </x:c>
      <x:c r="F401" s="52" t="n">
        <x:v>1234823</x:v>
      </x:c>
      <x:c r="G401" s="54" t="n">
        <x:v>46220</x:v>
      </x:c>
      <x:c r="H401" s="14" t="str">
        <x:f>IF(E401&lt;0,"Componente negativo — manter e investigar","OK")</x:f>
        <x:v>OK</x:v>
      </x:c>
    </x:row>
    <x:row r="402">
      <x:c r="A402" s="51" t="n">
        <x:v>39326</x:v>
      </x:c>
      <x:c r="B402" s="14" t="str">
        <x:v>Nordeste</x:v>
      </x:c>
      <x:c r="C402" s="14" t="str">
        <x:v>SISTEMAS ISOLADOS</x:v>
      </x:c>
      <x:c r="D402" s="53" t="str">
        <x:v>Cativo</x:v>
      </x:c>
      <x:c r="E402" s="49" t="n">
        <x:v>183</x:v>
      </x:c>
      <x:c r="F402" s="52" t="n">
        <x:v>984</x:v>
      </x:c>
      <x:c r="G402" s="54" t="n">
        <x:v>46220</x:v>
      </x:c>
      <x:c r="H402" s="14" t="str">
        <x:f>IF(E402&lt;0,"Componente negativo — manter e investigar","OK")</x:f>
        <x:v>OK</x:v>
      </x:c>
    </x:row>
    <x:row r="403">
      <x:c r="A403" s="51" t="n">
        <x:v>39326</x:v>
      </x:c>
      <x:c r="B403" s="14" t="str">
        <x:v>Norte</x:v>
      </x:c>
      <x:c r="C403" s="14" t="str">
        <x:v>NORTE INTERLIGADO</x:v>
      </x:c>
      <x:c r="D403" s="53" t="str">
        <x:v>Cativo</x:v>
      </x:c>
      <x:c r="E403" s="49" t="n">
        <x:v>189488</x:v>
      </x:c>
      <x:c r="F403" s="52" t="n">
        <x:v>1443888</x:v>
      </x:c>
      <x:c r="G403" s="54" t="n">
        <x:v>46220</x:v>
      </x:c>
      <x:c r="H403" s="14" t="str">
        <x:f>IF(E403&lt;0,"Componente negativo — manter e investigar","OK")</x:f>
        <x:v>OK</x:v>
      </x:c>
    </x:row>
    <x:row r="404">
      <x:c r="A404" s="51" t="n">
        <x:v>39326</x:v>
      </x:c>
      <x:c r="B404" s="14" t="str">
        <x:v>Norte</x:v>
      </x:c>
      <x:c r="C404" s="14" t="str">
        <x:v>SISTEMAS ISOLADOS</x:v>
      </x:c>
      <x:c r="D404" s="53" t="str">
        <x:v>Cativo</x:v>
      </x:c>
      <x:c r="E404" s="49" t="n">
        <x:v>218816</x:v>
      </x:c>
      <x:c r="F404" s="52" t="n">
        <x:v>1267966</x:v>
      </x:c>
      <x:c r="G404" s="54" t="n">
        <x:v>46220</x:v>
      </x:c>
      <x:c r="H404" s="14" t="str">
        <x:f>IF(E404&lt;0,"Componente negativo — manter e investigar","OK")</x:f>
        <x:v>OK</x:v>
      </x:c>
    </x:row>
    <x:row r="405">
      <x:c r="A405" s="51" t="n">
        <x:v>39326</x:v>
      </x:c>
      <x:c r="B405" s="14" t="str">
        <x:v>Sudeste</x:v>
      </x:c>
      <x:c r="C405" s="14" t="str">
        <x:v>SUDESTE / CENTRO - OESTE</x:v>
      </x:c>
      <x:c r="D405" s="53" t="str">
        <x:v>Cativo</x:v>
      </x:c>
      <x:c r="E405" s="49" t="n">
        <x:v>4058552</x:v>
      </x:c>
      <x:c r="F405" s="52" t="n">
        <x:v>24881050</x:v>
      </x:c>
      <x:c r="G405" s="54" t="n">
        <x:v>46220</x:v>
      </x:c>
      <x:c r="H405" s="14" t="str">
        <x:f>IF(E405&lt;0,"Componente negativo — manter e investigar","OK")</x:f>
        <x:v>OK</x:v>
      </x:c>
    </x:row>
    <x:row r="406">
      <x:c r="A406" s="51" t="n">
        <x:v>39326</x:v>
      </x:c>
      <x:c r="B406" s="14" t="str">
        <x:v>Sul</x:v>
      </x:c>
      <x:c r="C406" s="14" t="str">
        <x:v>SUL</x:v>
      </x:c>
      <x:c r="D406" s="53" t="str">
        <x:v>Cativo</x:v>
      </x:c>
      <x:c r="E406" s="49" t="n">
        <x:v>1238276</x:v>
      </x:c>
      <x:c r="F406" s="52" t="n">
        <x:v>7452648</x:v>
      </x:c>
      <x:c r="G406" s="54" t="n">
        <x:v>46220</x:v>
      </x:c>
      <x:c r="H406" s="14" t="str">
        <x:f>IF(E406&lt;0,"Componente negativo — manter e investigar","OK")</x:f>
        <x:v>OK</x:v>
      </x:c>
    </x:row>
    <x:row r="407">
      <x:c r="A407" s="51" t="n">
        <x:v>39356</x:v>
      </x:c>
      <x:c r="B407" s="14" t="str">
        <x:v>Centro-Oeste</x:v>
      </x:c>
      <x:c r="C407" s="14" t="str">
        <x:v>SISTEMAS ISOLADOS</x:v>
      </x:c>
      <x:c r="D407" s="53" t="str">
        <x:v>Cativo</x:v>
      </x:c>
      <x:c r="E407" s="49" t="n">
        <x:v>5593</x:v>
      </x:c>
      <x:c r="F407" s="52" t="n">
        <x:v>38022</x:v>
      </x:c>
      <x:c r="G407" s="54" t="n">
        <x:v>46220</x:v>
      </x:c>
      <x:c r="H407" s="14" t="str">
        <x:f>IF(E407&lt;0,"Componente negativo — manter e investigar","OK")</x:f>
        <x:v>OK</x:v>
      </x:c>
    </x:row>
    <x:row r="408">
      <x:c r="A408" s="51" t="n">
        <x:v>39356</x:v>
      </x:c>
      <x:c r="B408" s="14" t="str">
        <x:v>Centro-Oeste</x:v>
      </x:c>
      <x:c r="C408" s="14" t="str">
        <x:v>SUDESTE / CENTRO - OESTE</x:v>
      </x:c>
      <x:c r="D408" s="53" t="str">
        <x:v>Cativo</x:v>
      </x:c>
      <x:c r="E408" s="49" t="n">
        <x:v>598553</x:v>
      </x:c>
      <x:c r="F408" s="52" t="n">
        <x:v>3645757</x:v>
      </x:c>
      <x:c r="G408" s="54" t="n">
        <x:v>46220</x:v>
      </x:c>
      <x:c r="H408" s="14" t="str">
        <x:f>IF(E408&lt;0,"Componente negativo — manter e investigar","OK")</x:f>
        <x:v>OK</x:v>
      </x:c>
    </x:row>
    <x:row r="409">
      <x:c r="A409" s="51" t="n">
        <x:v>39356</x:v>
      </x:c>
      <x:c r="B409" s="14" t="str">
        <x:v>Nordeste</x:v>
      </x:c>
      <x:c r="C409" s="14" t="str">
        <x:v>NORDESTE</x:v>
      </x:c>
      <x:c r="D409" s="53" t="str">
        <x:v>Cativo</x:v>
      </x:c>
      <x:c r="E409" s="49" t="n">
        <x:v>1108661</x:v>
      </x:c>
      <x:c r="F409" s="52" t="n">
        <x:v>11639231</x:v>
      </x:c>
      <x:c r="G409" s="54" t="n">
        <x:v>46220</x:v>
      </x:c>
      <x:c r="H409" s="14" t="str">
        <x:f>IF(E409&lt;0,"Componente negativo — manter e investigar","OK")</x:f>
        <x:v>OK</x:v>
      </x:c>
    </x:row>
    <x:row r="410">
      <x:c r="A410" s="51" t="n">
        <x:v>39356</x:v>
      </x:c>
      <x:c r="B410" s="14" t="str">
        <x:v>Nordeste</x:v>
      </x:c>
      <x:c r="C410" s="14" t="str">
        <x:v>NORTE INTERLIGADO</x:v>
      </x:c>
      <x:c r="D410" s="53" t="str">
        <x:v>Cativo</x:v>
      </x:c>
      <x:c r="E410" s="49" t="n">
        <x:v>118146</x:v>
      </x:c>
      <x:c r="F410" s="52" t="n">
        <x:v>1243037</x:v>
      </x:c>
      <x:c r="G410" s="54" t="n">
        <x:v>46220</x:v>
      </x:c>
      <x:c r="H410" s="14" t="str">
        <x:f>IF(E410&lt;0,"Componente negativo — manter e investigar","OK")</x:f>
        <x:v>OK</x:v>
      </x:c>
    </x:row>
    <x:row r="411">
      <x:c r="A411" s="51" t="n">
        <x:v>39356</x:v>
      </x:c>
      <x:c r="B411" s="14" t="str">
        <x:v>Nordeste</x:v>
      </x:c>
      <x:c r="C411" s="14" t="str">
        <x:v>SISTEMAS ISOLADOS</x:v>
      </x:c>
      <x:c r="D411" s="53" t="str">
        <x:v>Cativo</x:v>
      </x:c>
      <x:c r="E411" s="49" t="n">
        <x:v>184</x:v>
      </x:c>
      <x:c r="F411" s="52" t="n">
        <x:v>997</x:v>
      </x:c>
      <x:c r="G411" s="54" t="n">
        <x:v>46220</x:v>
      </x:c>
      <x:c r="H411" s="14" t="str">
        <x:f>IF(E411&lt;0,"Componente negativo — manter e investigar","OK")</x:f>
        <x:v>OK</x:v>
      </x:c>
    </x:row>
    <x:row r="412">
      <x:c r="A412" s="51" t="n">
        <x:v>39356</x:v>
      </x:c>
      <x:c r="B412" s="14" t="str">
        <x:v>Norte</x:v>
      </x:c>
      <x:c r="C412" s="14" t="str">
        <x:v>NORTE INTERLIGADO</x:v>
      </x:c>
      <x:c r="D412" s="53" t="str">
        <x:v>Cativo</x:v>
      </x:c>
      <x:c r="E412" s="49" t="n">
        <x:v>189212</x:v>
      </x:c>
      <x:c r="F412" s="52" t="n">
        <x:v>1452190</x:v>
      </x:c>
      <x:c r="G412" s="54" t="n">
        <x:v>46220</x:v>
      </x:c>
      <x:c r="H412" s="14" t="str">
        <x:f>IF(E412&lt;0,"Componente negativo — manter e investigar","OK")</x:f>
        <x:v>OK</x:v>
      </x:c>
    </x:row>
    <x:row r="413">
      <x:c r="A413" s="51" t="n">
        <x:v>39356</x:v>
      </x:c>
      <x:c r="B413" s="14" t="str">
        <x:v>Norte</x:v>
      </x:c>
      <x:c r="C413" s="14" t="str">
        <x:v>SISTEMAS ISOLADOS</x:v>
      </x:c>
      <x:c r="D413" s="53" t="str">
        <x:v>Cativo</x:v>
      </x:c>
      <x:c r="E413" s="49" t="n">
        <x:v>220526</x:v>
      </x:c>
      <x:c r="F413" s="52" t="n">
        <x:v>1271615</x:v>
      </x:c>
      <x:c r="G413" s="54" t="n">
        <x:v>46220</x:v>
      </x:c>
      <x:c r="H413" s="14" t="str">
        <x:f>IF(E413&lt;0,"Componente negativo — manter e investigar","OK")</x:f>
        <x:v>OK</x:v>
      </x:c>
    </x:row>
    <x:row r="414">
      <x:c r="A414" s="51" t="n">
        <x:v>39356</x:v>
      </x:c>
      <x:c r="B414" s="14" t="str">
        <x:v>Sudeste</x:v>
      </x:c>
      <x:c r="C414" s="14" t="str">
        <x:v>SUDESTE / CENTRO - OESTE</x:v>
      </x:c>
      <x:c r="D414" s="53" t="str">
        <x:v>Cativo</x:v>
      </x:c>
      <x:c r="E414" s="49" t="n">
        <x:v>4053969</x:v>
      </x:c>
      <x:c r="F414" s="52" t="n">
        <x:v>24965227</x:v>
      </x:c>
      <x:c r="G414" s="54" t="n">
        <x:v>46220</x:v>
      </x:c>
      <x:c r="H414" s="14" t="str">
        <x:f>IF(E414&lt;0,"Componente negativo — manter e investigar","OK")</x:f>
        <x:v>OK</x:v>
      </x:c>
    </x:row>
    <x:row r="415">
      <x:c r="A415" s="51" t="n">
        <x:v>39356</x:v>
      </x:c>
      <x:c r="B415" s="14" t="str">
        <x:v>Sul</x:v>
      </x:c>
      <x:c r="C415" s="14" t="str">
        <x:v>SUL</x:v>
      </x:c>
      <x:c r="D415" s="53" t="str">
        <x:v>Cativo</x:v>
      </x:c>
      <x:c r="E415" s="49" t="n">
        <x:v>1216932</x:v>
      </x:c>
      <x:c r="F415" s="52" t="n">
        <x:v>7480452</x:v>
      </x:c>
      <x:c r="G415" s="54" t="n">
        <x:v>46220</x:v>
      </x:c>
      <x:c r="H415" s="14" t="str">
        <x:f>IF(E415&lt;0,"Componente negativo — manter e investigar","OK")</x:f>
        <x:v>OK</x:v>
      </x:c>
    </x:row>
    <x:row r="416">
      <x:c r="A416" s="51" t="n">
        <x:v>39387</x:v>
      </x:c>
      <x:c r="B416" s="14" t="str">
        <x:v>Centro-Oeste</x:v>
      </x:c>
      <x:c r="C416" s="14" t="str">
        <x:v>SISTEMAS ISOLADOS</x:v>
      </x:c>
      <x:c r="D416" s="53" t="str">
        <x:v>Cativo</x:v>
      </x:c>
      <x:c r="E416" s="49" t="n">
        <x:v>5427</x:v>
      </x:c>
      <x:c r="F416" s="52" t="n">
        <x:v>38312</x:v>
      </x:c>
      <x:c r="G416" s="54" t="n">
        <x:v>46220</x:v>
      </x:c>
      <x:c r="H416" s="14" t="str">
        <x:f>IF(E416&lt;0,"Componente negativo — manter e investigar","OK")</x:f>
        <x:v>OK</x:v>
      </x:c>
    </x:row>
    <x:row r="417">
      <x:c r="A417" s="51" t="n">
        <x:v>39387</x:v>
      </x:c>
      <x:c r="B417" s="14" t="str">
        <x:v>Centro-Oeste</x:v>
      </x:c>
      <x:c r="C417" s="14" t="str">
        <x:v>SUDESTE / CENTRO - OESTE</x:v>
      </x:c>
      <x:c r="D417" s="53" t="str">
        <x:v>Cativo</x:v>
      </x:c>
      <x:c r="E417" s="49" t="n">
        <x:v>585847</x:v>
      </x:c>
      <x:c r="F417" s="52" t="n">
        <x:v>3655933</x:v>
      </x:c>
      <x:c r="G417" s="54" t="n">
        <x:v>46220</x:v>
      </x:c>
      <x:c r="H417" s="14" t="str">
        <x:f>IF(E417&lt;0,"Componente negativo — manter e investigar","OK")</x:f>
        <x:v>OK</x:v>
      </x:c>
    </x:row>
    <x:row r="418">
      <x:c r="A418" s="51" t="n">
        <x:v>39387</x:v>
      </x:c>
      <x:c r="B418" s="14" t="str">
        <x:v>Nordeste</x:v>
      </x:c>
      <x:c r="C418" s="14" t="str">
        <x:v>NORDESTE</x:v>
      </x:c>
      <x:c r="D418" s="53" t="str">
        <x:v>Cativo</x:v>
      </x:c>
      <x:c r="E418" s="49" t="n">
        <x:v>1161282</x:v>
      </x:c>
      <x:c r="F418" s="52" t="n">
        <x:v>11675785</x:v>
      </x:c>
      <x:c r="G418" s="54" t="n">
        <x:v>46220</x:v>
      </x:c>
      <x:c r="H418" s="14" t="str">
        <x:f>IF(E418&lt;0,"Componente negativo — manter e investigar","OK")</x:f>
        <x:v>OK</x:v>
      </x:c>
    </x:row>
    <x:row r="419">
      <x:c r="A419" s="51" t="n">
        <x:v>39387</x:v>
      </x:c>
      <x:c r="B419" s="14" t="str">
        <x:v>Nordeste</x:v>
      </x:c>
      <x:c r="C419" s="14" t="str">
        <x:v>NORTE INTERLIGADO</x:v>
      </x:c>
      <x:c r="D419" s="53" t="str">
        <x:v>Cativo</x:v>
      </x:c>
      <x:c r="E419" s="49" t="n">
        <x:v>124590</x:v>
      </x:c>
      <x:c r="F419" s="52" t="n">
        <x:v>1252816</x:v>
      </x:c>
      <x:c r="G419" s="54" t="n">
        <x:v>46220</x:v>
      </x:c>
      <x:c r="H419" s="14" t="str">
        <x:f>IF(E419&lt;0,"Componente negativo — manter e investigar","OK")</x:f>
        <x:v>OK</x:v>
      </x:c>
    </x:row>
    <x:row r="420">
      <x:c r="A420" s="51" t="n">
        <x:v>39387</x:v>
      </x:c>
      <x:c r="B420" s="14" t="str">
        <x:v>Nordeste</x:v>
      </x:c>
      <x:c r="C420" s="14" t="str">
        <x:v>SISTEMAS ISOLADOS</x:v>
      </x:c>
      <x:c r="D420" s="53" t="str">
        <x:v>Cativo</x:v>
      </x:c>
      <x:c r="E420" s="49" t="n">
        <x:v>172</x:v>
      </x:c>
      <x:c r="F420" s="52" t="n">
        <x:v>996</x:v>
      </x:c>
      <x:c r="G420" s="54" t="n">
        <x:v>46220</x:v>
      </x:c>
      <x:c r="H420" s="14" t="str">
        <x:f>IF(E420&lt;0,"Componente negativo — manter e investigar","OK")</x:f>
        <x:v>OK</x:v>
      </x:c>
    </x:row>
    <x:row r="421">
      <x:c r="A421" s="51" t="n">
        <x:v>39387</x:v>
      </x:c>
      <x:c r="B421" s="14" t="str">
        <x:v>Norte</x:v>
      </x:c>
      <x:c r="C421" s="14" t="str">
        <x:v>NORTE INTERLIGADO</x:v>
      </x:c>
      <x:c r="D421" s="53" t="str">
        <x:v>Cativo</x:v>
      </x:c>
      <x:c r="E421" s="49" t="n">
        <x:v>194547</x:v>
      </x:c>
      <x:c r="F421" s="52" t="n">
        <x:v>1458871</x:v>
      </x:c>
      <x:c r="G421" s="54" t="n">
        <x:v>46220</x:v>
      </x:c>
      <x:c r="H421" s="14" t="str">
        <x:f>IF(E421&lt;0,"Componente negativo — manter e investigar","OK")</x:f>
        <x:v>OK</x:v>
      </x:c>
    </x:row>
    <x:row r="422">
      <x:c r="A422" s="51" t="n">
        <x:v>39387</x:v>
      </x:c>
      <x:c r="B422" s="14" t="str">
        <x:v>Norte</x:v>
      </x:c>
      <x:c r="C422" s="14" t="str">
        <x:v>SISTEMAS ISOLADOS</x:v>
      </x:c>
      <x:c r="D422" s="53" t="str">
        <x:v>Cativo</x:v>
      </x:c>
      <x:c r="E422" s="49" t="n">
        <x:v>227954</x:v>
      </x:c>
      <x:c r="F422" s="52" t="n">
        <x:v>1275638</x:v>
      </x:c>
      <x:c r="G422" s="54" t="n">
        <x:v>46220</x:v>
      </x:c>
      <x:c r="H422" s="14" t="str">
        <x:f>IF(E422&lt;0,"Componente negativo — manter e investigar","OK")</x:f>
        <x:v>OK</x:v>
      </x:c>
    </x:row>
    <x:row r="423">
      <x:c r="A423" s="51" t="n">
        <x:v>39387</x:v>
      </x:c>
      <x:c r="B423" s="14" t="str">
        <x:v>Sudeste</x:v>
      </x:c>
      <x:c r="C423" s="14" t="str">
        <x:v>SUDESTE / CENTRO - OESTE</x:v>
      </x:c>
      <x:c r="D423" s="53" t="str">
        <x:v>Cativo</x:v>
      </x:c>
      <x:c r="E423" s="49" t="n">
        <x:v>4229638</x:v>
      </x:c>
      <x:c r="F423" s="52" t="n">
        <x:v>25015956</x:v>
      </x:c>
      <x:c r="G423" s="54" t="n">
        <x:v>46220</x:v>
      </x:c>
      <x:c r="H423" s="14" t="str">
        <x:f>IF(E423&lt;0,"Componente negativo — manter e investigar","OK")</x:f>
        <x:v>OK</x:v>
      </x:c>
    </x:row>
    <x:row r="424">
      <x:c r="A424" s="51" t="n">
        <x:v>39387</x:v>
      </x:c>
      <x:c r="B424" s="14" t="str">
        <x:v>Sul</x:v>
      </x:c>
      <x:c r="C424" s="14" t="str">
        <x:v>SUL</x:v>
      </x:c>
      <x:c r="D424" s="53" t="str">
        <x:v>Cativo</x:v>
      </x:c>
      <x:c r="E424" s="49" t="n">
        <x:v>1238824</x:v>
      </x:c>
      <x:c r="F424" s="52" t="n">
        <x:v>7504144</x:v>
      </x:c>
      <x:c r="G424" s="54" t="n">
        <x:v>46220</x:v>
      </x:c>
      <x:c r="H424" s="14" t="str">
        <x:f>IF(E424&lt;0,"Componente negativo — manter e investigar","OK")</x:f>
        <x:v>OK</x:v>
      </x:c>
    </x:row>
    <x:row r="425">
      <x:c r="A425" s="51" t="n">
        <x:v>39417</x:v>
      </x:c>
      <x:c r="B425" s="14" t="str">
        <x:v>Centro-Oeste</x:v>
      </x:c>
      <x:c r="C425" s="14" t="str">
        <x:v>SISTEMAS ISOLADOS</x:v>
      </x:c>
      <x:c r="D425" s="53" t="str">
        <x:v>Cativo</x:v>
      </x:c>
      <x:c r="E425" s="49" t="n">
        <x:v>5254</x:v>
      </x:c>
      <x:c r="F425" s="52" t="n">
        <x:v>38557</x:v>
      </x:c>
      <x:c r="G425" s="54" t="n">
        <x:v>46220</x:v>
      </x:c>
      <x:c r="H425" s="14" t="str">
        <x:f>IF(E425&lt;0,"Componente negativo — manter e investigar","OK")</x:f>
        <x:v>OK</x:v>
      </x:c>
    </x:row>
    <x:row r="426">
      <x:c r="A426" s="51" t="n">
        <x:v>39417</x:v>
      </x:c>
      <x:c r="B426" s="14" t="str">
        <x:v>Centro-Oeste</x:v>
      </x:c>
      <x:c r="C426" s="14" t="str">
        <x:v>SUDESTE / CENTRO - OESTE</x:v>
      </x:c>
      <x:c r="D426" s="53" t="str">
        <x:v>Cativo</x:v>
      </x:c>
      <x:c r="E426" s="49" t="n">
        <x:v>567013</x:v>
      </x:c>
      <x:c r="F426" s="52" t="n">
        <x:v>3664807</x:v>
      </x:c>
      <x:c r="G426" s="54" t="n">
        <x:v>46220</x:v>
      </x:c>
      <x:c r="H426" s="14" t="str">
        <x:f>IF(E426&lt;0,"Componente negativo — manter e investigar","OK")</x:f>
        <x:v>OK</x:v>
      </x:c>
    </x:row>
    <x:row r="427">
      <x:c r="A427" s="51" t="n">
        <x:v>39417</x:v>
      </x:c>
      <x:c r="B427" s="14" t="str">
        <x:v>Nordeste</x:v>
      </x:c>
      <x:c r="C427" s="14" t="str">
        <x:v>NORDESTE</x:v>
      </x:c>
      <x:c r="D427" s="53" t="str">
        <x:v>Cativo</x:v>
      </x:c>
      <x:c r="E427" s="49" t="n">
        <x:v>1184368</x:v>
      </x:c>
      <x:c r="F427" s="52" t="n">
        <x:v>11731302</x:v>
      </x:c>
      <x:c r="G427" s="54" t="n">
        <x:v>46220</x:v>
      </x:c>
      <x:c r="H427" s="14" t="str">
        <x:f>IF(E427&lt;0,"Componente negativo — manter e investigar","OK")</x:f>
        <x:v>OK</x:v>
      </x:c>
    </x:row>
    <x:row r="428">
      <x:c r="A428" s="51" t="n">
        <x:v>39417</x:v>
      </x:c>
      <x:c r="B428" s="14" t="str">
        <x:v>Nordeste</x:v>
      </x:c>
      <x:c r="C428" s="14" t="str">
        <x:v>NORTE INTERLIGADO</x:v>
      </x:c>
      <x:c r="D428" s="53" t="str">
        <x:v>Cativo</x:v>
      </x:c>
      <x:c r="E428" s="49" t="n">
        <x:v>120740</x:v>
      </x:c>
      <x:c r="F428" s="52" t="n">
        <x:v>1258948</x:v>
      </x:c>
      <x:c r="G428" s="54" t="n">
        <x:v>46220</x:v>
      </x:c>
      <x:c r="H428" s="14" t="str">
        <x:f>IF(E428&lt;0,"Componente negativo — manter e investigar","OK")</x:f>
        <x:v>OK</x:v>
      </x:c>
    </x:row>
    <x:row r="429">
      <x:c r="A429" s="51" t="n">
        <x:v>39417</x:v>
      </x:c>
      <x:c r="B429" s="14" t="str">
        <x:v>Nordeste</x:v>
      </x:c>
      <x:c r="C429" s="14" t="str">
        <x:v>SISTEMAS ISOLADOS</x:v>
      </x:c>
      <x:c r="D429" s="53" t="str">
        <x:v>Cativo</x:v>
      </x:c>
      <x:c r="E429" s="49" t="n">
        <x:v>204</x:v>
      </x:c>
      <x:c r="F429" s="52" t="n">
        <x:v>1009</x:v>
      </x:c>
      <x:c r="G429" s="54" t="n">
        <x:v>46220</x:v>
      </x:c>
      <x:c r="H429" s="14" t="str">
        <x:f>IF(E429&lt;0,"Componente negativo — manter e investigar","OK")</x:f>
        <x:v>OK</x:v>
      </x:c>
    </x:row>
    <x:row r="430">
      <x:c r="A430" s="51" t="n">
        <x:v>39417</x:v>
      </x:c>
      <x:c r="B430" s="14" t="str">
        <x:v>Norte</x:v>
      </x:c>
      <x:c r="C430" s="14" t="str">
        <x:v>NORTE INTERLIGADO</x:v>
      </x:c>
      <x:c r="D430" s="53" t="str">
        <x:v>Cativo</x:v>
      </x:c>
      <x:c r="E430" s="49" t="n">
        <x:v>186805</x:v>
      </x:c>
      <x:c r="F430" s="52" t="n">
        <x:v>1463796</x:v>
      </x:c>
      <x:c r="G430" s="54" t="n">
        <x:v>46220</x:v>
      </x:c>
      <x:c r="H430" s="14" t="str">
        <x:f>IF(E430&lt;0,"Componente negativo — manter e investigar","OK")</x:f>
        <x:v>OK</x:v>
      </x:c>
    </x:row>
    <x:row r="431">
      <x:c r="A431" s="51" t="n">
        <x:v>39417</x:v>
      </x:c>
      <x:c r="B431" s="14" t="str">
        <x:v>Norte</x:v>
      </x:c>
      <x:c r="C431" s="14" t="str">
        <x:v>SISTEMAS ISOLADOS</x:v>
      </x:c>
      <x:c r="D431" s="53" t="str">
        <x:v>Cativo</x:v>
      </x:c>
      <x:c r="E431" s="49" t="n">
        <x:v>218474</x:v>
      </x:c>
      <x:c r="F431" s="52" t="n">
        <x:v>1281234</x:v>
      </x:c>
      <x:c r="G431" s="54" t="n">
        <x:v>46220</x:v>
      </x:c>
      <x:c r="H431" s="14" t="str">
        <x:f>IF(E431&lt;0,"Componente negativo — manter e investigar","OK")</x:f>
        <x:v>OK</x:v>
      </x:c>
    </x:row>
    <x:row r="432">
      <x:c r="A432" s="51" t="n">
        <x:v>39417</x:v>
      </x:c>
      <x:c r="B432" s="14" t="str">
        <x:v>Sudeste</x:v>
      </x:c>
      <x:c r="C432" s="14" t="str">
        <x:v>SUDESTE / CENTRO - OESTE</x:v>
      </x:c>
      <x:c r="D432" s="53" t="str">
        <x:v>Cativo</x:v>
      </x:c>
      <x:c r="E432" s="49" t="n">
        <x:v>4116989</x:v>
      </x:c>
      <x:c r="F432" s="52" t="n">
        <x:v>25097821</x:v>
      </x:c>
      <x:c r="G432" s="54" t="n">
        <x:v>46220</x:v>
      </x:c>
      <x:c r="H432" s="14" t="str">
        <x:f>IF(E432&lt;0,"Componente negativo — manter e investigar","OK")</x:f>
        <x:v>OK</x:v>
      </x:c>
    </x:row>
    <x:row r="433">
      <x:c r="A433" s="51" t="n">
        <x:v>39417</x:v>
      </x:c>
      <x:c r="B433" s="14" t="str">
        <x:v>Sul</x:v>
      </x:c>
      <x:c r="C433" s="14" t="str">
        <x:v>SUL</x:v>
      </x:c>
      <x:c r="D433" s="53" t="str">
        <x:v>Cativo</x:v>
      </x:c>
      <x:c r="E433" s="49" t="n">
        <x:v>1218277</x:v>
      </x:c>
      <x:c r="F433" s="52" t="n">
        <x:v>7519981</x:v>
      </x:c>
      <x:c r="G433" s="54" t="n">
        <x:v>46220</x:v>
      </x:c>
      <x:c r="H433" s="14" t="str">
        <x:f>IF(E433&lt;0,"Componente negativo — manter e investigar","OK")</x:f>
        <x:v>OK</x:v>
      </x:c>
    </x:row>
    <x:row r="434">
      <x:c r="A434" s="51" t="n">
        <x:v>39448</x:v>
      </x:c>
      <x:c r="B434" s="14" t="str">
        <x:v>Centro-Oeste</x:v>
      </x:c>
      <x:c r="C434" s="14" t="str">
        <x:v>SISTEMAS ISOLADOS</x:v>
      </x:c>
      <x:c r="D434" s="53" t="str">
        <x:v>Cativo</x:v>
      </x:c>
      <x:c r="E434" s="49" t="n">
        <x:v>5426</x:v>
      </x:c>
      <x:c r="F434" s="52" t="n">
        <x:v>38823</x:v>
      </x:c>
      <x:c r="G434" s="54" t="n">
        <x:v>46220</x:v>
      </x:c>
      <x:c r="H434" s="14" t="str">
        <x:f>IF(E434&lt;0,"Componente negativo — manter e investigar","OK")</x:f>
        <x:v>OK</x:v>
      </x:c>
    </x:row>
    <x:row r="435">
      <x:c r="A435" s="51" t="n">
        <x:v>39448</x:v>
      </x:c>
      <x:c r="B435" s="14" t="str">
        <x:v>Centro-Oeste</x:v>
      </x:c>
      <x:c r="C435" s="14" t="str">
        <x:v>SUDESTE / CENTRO - OESTE</x:v>
      </x:c>
      <x:c r="D435" s="53" t="str">
        <x:v>Cativo</x:v>
      </x:c>
      <x:c r="E435" s="49" t="n">
        <x:v>578331</x:v>
      </x:c>
      <x:c r="F435" s="52" t="n">
        <x:v>3678549</x:v>
      </x:c>
      <x:c r="G435" s="54" t="n">
        <x:v>46220</x:v>
      </x:c>
      <x:c r="H435" s="14" t="str">
        <x:f>IF(E435&lt;0,"Componente negativo — manter e investigar","OK")</x:f>
        <x:v>OK</x:v>
      </x:c>
    </x:row>
    <x:row r="436">
      <x:c r="A436" s="51" t="n">
        <x:v>39448</x:v>
      </x:c>
      <x:c r="B436" s="14" t="str">
        <x:v>Nordeste</x:v>
      </x:c>
      <x:c r="C436" s="14" t="str">
        <x:v>NORDESTE</x:v>
      </x:c>
      <x:c r="D436" s="53" t="str">
        <x:v>Cativo</x:v>
      </x:c>
      <x:c r="E436" s="49" t="n">
        <x:v>1240602</x:v>
      </x:c>
      <x:c r="F436" s="52" t="n">
        <x:v>11795310</x:v>
      </x:c>
      <x:c r="G436" s="54" t="n">
        <x:v>46220</x:v>
      </x:c>
      <x:c r="H436" s="14" t="str">
        <x:f>IF(E436&lt;0,"Componente negativo — manter e investigar","OK")</x:f>
        <x:v>OK</x:v>
      </x:c>
    </x:row>
    <x:row r="437">
      <x:c r="A437" s="51" t="n">
        <x:v>39448</x:v>
      </x:c>
      <x:c r="B437" s="14" t="str">
        <x:v>Nordeste</x:v>
      </x:c>
      <x:c r="C437" s="14" t="str">
        <x:v>NORTE INTERLIGADO</x:v>
      </x:c>
      <x:c r="D437" s="53" t="str">
        <x:v>Cativo</x:v>
      </x:c>
      <x:c r="E437" s="49" t="n">
        <x:v>119842.673</x:v>
      </x:c>
      <x:c r="F437" s="52" t="n">
        <x:v>1271034</x:v>
      </x:c>
      <x:c r="G437" s="54" t="n">
        <x:v>46220</x:v>
      </x:c>
      <x:c r="H437" s="14" t="str">
        <x:f>IF(E437&lt;0,"Componente negativo — manter e investigar","OK")</x:f>
        <x:v>OK</x:v>
      </x:c>
    </x:row>
    <x:row r="438">
      <x:c r="A438" s="51" t="n">
        <x:v>39448</x:v>
      </x:c>
      <x:c r="B438" s="14" t="str">
        <x:v>Nordeste</x:v>
      </x:c>
      <x:c r="C438" s="14" t="str">
        <x:v>SISTEMAS ISOLADOS</x:v>
      </x:c>
      <x:c r="D438" s="53" t="str">
        <x:v>Cativo</x:v>
      </x:c>
      <x:c r="E438" s="49" t="n">
        <x:v>237</x:v>
      </x:c>
      <x:c r="F438" s="52" t="n">
        <x:v>1021</x:v>
      </x:c>
      <x:c r="G438" s="54" t="n">
        <x:v>46220</x:v>
      </x:c>
      <x:c r="H438" s="14" t="str">
        <x:f>IF(E438&lt;0,"Componente negativo — manter e investigar","OK")</x:f>
        <x:v>OK</x:v>
      </x:c>
    </x:row>
    <x:row r="439">
      <x:c r="A439" s="51" t="n">
        <x:v>39448</x:v>
      </x:c>
      <x:c r="B439" s="14" t="str">
        <x:v>Norte</x:v>
      </x:c>
      <x:c r="C439" s="14" t="str">
        <x:v>NORTE INTERLIGADO</x:v>
      </x:c>
      <x:c r="D439" s="53" t="str">
        <x:v>Cativo</x:v>
      </x:c>
      <x:c r="E439" s="49" t="n">
        <x:v>184609</x:v>
      </x:c>
      <x:c r="F439" s="52" t="n">
        <x:v>1466970</x:v>
      </x:c>
      <x:c r="G439" s="54" t="n">
        <x:v>46220</x:v>
      </x:c>
      <x:c r="H439" s="14" t="str">
        <x:f>IF(E439&lt;0,"Componente negativo — manter e investigar","OK")</x:f>
        <x:v>OK</x:v>
      </x:c>
    </x:row>
    <x:row r="440">
      <x:c r="A440" s="51" t="n">
        <x:v>39448</x:v>
      </x:c>
      <x:c r="B440" s="14" t="str">
        <x:v>Norte</x:v>
      </x:c>
      <x:c r="C440" s="14" t="str">
        <x:v>SISTEMAS ISOLADOS</x:v>
      </x:c>
      <x:c r="D440" s="53" t="str">
        <x:v>Cativo</x:v>
      </x:c>
      <x:c r="E440" s="49" t="n">
        <x:v>211714</x:v>
      </x:c>
      <x:c r="F440" s="52" t="n">
        <x:v>1284935</x:v>
      </x:c>
      <x:c r="G440" s="54" t="n">
        <x:v>46220</x:v>
      </x:c>
      <x:c r="H440" s="14" t="str">
        <x:f>IF(E440&lt;0,"Componente negativo — manter e investigar","OK")</x:f>
        <x:v>OK</x:v>
      </x:c>
    </x:row>
    <x:row r="441">
      <x:c r="A441" s="51" t="n">
        <x:v>39448</x:v>
      </x:c>
      <x:c r="B441" s="14" t="str">
        <x:v>Sudeste</x:v>
      </x:c>
      <x:c r="C441" s="14" t="str">
        <x:v>SUDESTE / CENTRO - OESTE</x:v>
      </x:c>
      <x:c r="D441" s="53" t="str">
        <x:v>Cativo</x:v>
      </x:c>
      <x:c r="E441" s="49" t="n">
        <x:v>4412691</x:v>
      </x:c>
      <x:c r="F441" s="52" t="n">
        <x:v>25200960</x:v>
      </x:c>
      <x:c r="G441" s="54" t="n">
        <x:v>46220</x:v>
      </x:c>
      <x:c r="H441" s="14" t="str">
        <x:f>IF(E441&lt;0,"Componente negativo — manter e investigar","OK")</x:f>
        <x:v>OK</x:v>
      </x:c>
    </x:row>
    <x:row r="442">
      <x:c r="A442" s="51" t="n">
        <x:v>39448</x:v>
      </x:c>
      <x:c r="B442" s="14" t="str">
        <x:v>Sul</x:v>
      </x:c>
      <x:c r="C442" s="14" t="str">
        <x:v>SUL</x:v>
      </x:c>
      <x:c r="D442" s="53" t="str">
        <x:v>Cativo</x:v>
      </x:c>
      <x:c r="E442" s="49" t="n">
        <x:v>1380788</x:v>
      </x:c>
      <x:c r="F442" s="52" t="n">
        <x:v>7547897</x:v>
      </x:c>
      <x:c r="G442" s="54" t="n">
        <x:v>46220</x:v>
      </x:c>
      <x:c r="H442" s="14" t="str">
        <x:f>IF(E442&lt;0,"Componente negativo — manter e investigar","OK")</x:f>
        <x:v>OK</x:v>
      </x:c>
    </x:row>
    <x:row r="443">
      <x:c r="A443" s="51" t="n">
        <x:v>39479</x:v>
      </x:c>
      <x:c r="B443" s="14" t="str">
        <x:v>Centro-Oeste</x:v>
      </x:c>
      <x:c r="C443" s="14" t="str">
        <x:v>SISTEMAS ISOLADOS</x:v>
      </x:c>
      <x:c r="D443" s="53" t="str">
        <x:v>Cativo</x:v>
      </x:c>
      <x:c r="E443" s="49" t="n">
        <x:v>5258</x:v>
      </x:c>
      <x:c r="F443" s="52" t="n">
        <x:v>38990</x:v>
      </x:c>
      <x:c r="G443" s="54" t="n">
        <x:v>46220</x:v>
      </x:c>
      <x:c r="H443" s="14" t="str">
        <x:f>IF(E443&lt;0,"Componente negativo — manter e investigar","OK")</x:f>
        <x:v>OK</x:v>
      </x:c>
    </x:row>
    <x:row r="444">
      <x:c r="A444" s="51" t="n">
        <x:v>39479</x:v>
      </x:c>
      <x:c r="B444" s="14" t="str">
        <x:v>Centro-Oeste</x:v>
      </x:c>
      <x:c r="C444" s="14" t="str">
        <x:v>SUDESTE / CENTRO - OESTE</x:v>
      </x:c>
      <x:c r="D444" s="53" t="str">
        <x:v>Cativo</x:v>
      </x:c>
      <x:c r="E444" s="49" t="n">
        <x:v>575109</x:v>
      </x:c>
      <x:c r="F444" s="52" t="n">
        <x:v>3691961</x:v>
      </x:c>
      <x:c r="G444" s="54" t="n">
        <x:v>46220</x:v>
      </x:c>
      <x:c r="H444" s="14" t="str">
        <x:f>IF(E444&lt;0,"Componente negativo — manter e investigar","OK")</x:f>
        <x:v>OK</x:v>
      </x:c>
    </x:row>
    <x:row r="445">
      <x:c r="A445" s="51" t="n">
        <x:v>39479</x:v>
      </x:c>
      <x:c r="B445" s="14" t="str">
        <x:v>Nordeste</x:v>
      </x:c>
      <x:c r="C445" s="14" t="str">
        <x:v>NORDESTE</x:v>
      </x:c>
      <x:c r="D445" s="53" t="str">
        <x:v>Cativo</x:v>
      </x:c>
      <x:c r="E445" s="49" t="n">
        <x:v>1220863</x:v>
      </x:c>
      <x:c r="F445" s="52" t="n">
        <x:v>11837224</x:v>
      </x:c>
      <x:c r="G445" s="54" t="n">
        <x:v>46220</x:v>
      </x:c>
      <x:c r="H445" s="14" t="str">
        <x:f>IF(E445&lt;0,"Componente negativo — manter e investigar","OK")</x:f>
        <x:v>OK</x:v>
      </x:c>
    </x:row>
    <x:row r="446">
      <x:c r="A446" s="51" t="n">
        <x:v>39479</x:v>
      </x:c>
      <x:c r="B446" s="14" t="str">
        <x:v>Nordeste</x:v>
      </x:c>
      <x:c r="C446" s="14" t="str">
        <x:v>NORTE INTERLIGADO</x:v>
      </x:c>
      <x:c r="D446" s="53" t="str">
        <x:v>Cativo</x:v>
      </x:c>
      <x:c r="E446" s="49" t="n">
        <x:v>110947.008</x:v>
      </x:c>
      <x:c r="F446" s="52" t="n">
        <x:v>1285430</x:v>
      </x:c>
      <x:c r="G446" s="54" t="n">
        <x:v>46220</x:v>
      </x:c>
      <x:c r="H446" s="14" t="str">
        <x:f>IF(E446&lt;0,"Componente negativo — manter e investigar","OK")</x:f>
        <x:v>OK</x:v>
      </x:c>
    </x:row>
    <x:row r="447">
      <x:c r="A447" s="51" t="n">
        <x:v>39479</x:v>
      </x:c>
      <x:c r="B447" s="14" t="str">
        <x:v>Nordeste</x:v>
      </x:c>
      <x:c r="C447" s="14" t="str">
        <x:v>SISTEMAS ISOLADOS</x:v>
      </x:c>
      <x:c r="D447" s="53" t="str">
        <x:v>Cativo</x:v>
      </x:c>
      <x:c r="E447" s="49" t="n">
        <x:v>210</x:v>
      </x:c>
      <x:c r="F447" s="52" t="n">
        <x:v>1012</x:v>
      </x:c>
      <x:c r="G447" s="54" t="n">
        <x:v>46220</x:v>
      </x:c>
      <x:c r="H447" s="14" t="str">
        <x:f>IF(E447&lt;0,"Componente negativo — manter e investigar","OK")</x:f>
        <x:v>OK</x:v>
      </x:c>
    </x:row>
    <x:row r="448">
      <x:c r="A448" s="51" t="n">
        <x:v>39479</x:v>
      </x:c>
      <x:c r="B448" s="14" t="str">
        <x:v>Norte</x:v>
      </x:c>
      <x:c r="C448" s="14" t="str">
        <x:v>NORTE INTERLIGADO</x:v>
      </x:c>
      <x:c r="D448" s="53" t="str">
        <x:v>Cativo</x:v>
      </x:c>
      <x:c r="E448" s="49" t="n">
        <x:v>176881</x:v>
      </x:c>
      <x:c r="F448" s="52" t="n">
        <x:v>1478476</x:v>
      </x:c>
      <x:c r="G448" s="54" t="n">
        <x:v>46220</x:v>
      </x:c>
      <x:c r="H448" s="14" t="str">
        <x:f>IF(E448&lt;0,"Componente negativo — manter e investigar","OK")</x:f>
        <x:v>OK</x:v>
      </x:c>
    </x:row>
    <x:row r="449">
      <x:c r="A449" s="51" t="n">
        <x:v>39479</x:v>
      </x:c>
      <x:c r="B449" s="14" t="str">
        <x:v>Norte</x:v>
      </x:c>
      <x:c r="C449" s="14" t="str">
        <x:v>SISTEMAS ISOLADOS</x:v>
      </x:c>
      <x:c r="D449" s="53" t="str">
        <x:v>Cativo</x:v>
      </x:c>
      <x:c r="E449" s="49" t="n">
        <x:v>203983</x:v>
      </x:c>
      <x:c r="F449" s="52" t="n">
        <x:v>1289637</x:v>
      </x:c>
      <x:c r="G449" s="54" t="n">
        <x:v>46220</x:v>
      </x:c>
      <x:c r="H449" s="14" t="str">
        <x:f>IF(E449&lt;0,"Componente negativo — manter e investigar","OK")</x:f>
        <x:v>OK</x:v>
      </x:c>
    </x:row>
    <x:row r="450">
      <x:c r="A450" s="51" t="n">
        <x:v>39479</x:v>
      </x:c>
      <x:c r="B450" s="14" t="str">
        <x:v>Sudeste</x:v>
      </x:c>
      <x:c r="C450" s="14" t="str">
        <x:v>SUDESTE / CENTRO - OESTE</x:v>
      </x:c>
      <x:c r="D450" s="53" t="str">
        <x:v>Cativo</x:v>
      </x:c>
      <x:c r="E450" s="49" t="n">
        <x:v>4340742</x:v>
      </x:c>
      <x:c r="F450" s="52" t="n">
        <x:v>25506138</x:v>
      </x:c>
      <x:c r="G450" s="54" t="n">
        <x:v>46220</x:v>
      </x:c>
      <x:c r="H450" s="14" t="str">
        <x:f>IF(E450&lt;0,"Componente negativo — manter e investigar","OK")</x:f>
        <x:v>OK</x:v>
      </x:c>
    </x:row>
    <x:row r="451">
      <x:c r="A451" s="51" t="n">
        <x:v>39479</x:v>
      </x:c>
      <x:c r="B451" s="14" t="str">
        <x:v>Sul</x:v>
      </x:c>
      <x:c r="C451" s="14" t="str">
        <x:v>SUL</x:v>
      </x:c>
      <x:c r="D451" s="53" t="str">
        <x:v>Cativo</x:v>
      </x:c>
      <x:c r="E451" s="49" t="n">
        <x:v>1324724</x:v>
      </x:c>
      <x:c r="F451" s="52" t="n">
        <x:v>7540301</x:v>
      </x:c>
      <x:c r="G451" s="54" t="n">
        <x:v>46220</x:v>
      </x:c>
      <x:c r="H451" s="14" t="str">
        <x:f>IF(E451&lt;0,"Componente negativo — manter e investigar","OK")</x:f>
        <x:v>OK</x:v>
      </x:c>
    </x:row>
    <x:row r="452">
      <x:c r="A452" s="51" t="n">
        <x:v>39508</x:v>
      </x:c>
      <x:c r="B452" s="14" t="str">
        <x:v>Centro-Oeste</x:v>
      </x:c>
      <x:c r="C452" s="14" t="str">
        <x:v>SISTEMAS ISOLADOS</x:v>
      </x:c>
      <x:c r="D452" s="53" t="str">
        <x:v>Cativo</x:v>
      </x:c>
      <x:c r="E452" s="49" t="n">
        <x:v>4671</x:v>
      </x:c>
      <x:c r="F452" s="52" t="n">
        <x:v>34943</x:v>
      </x:c>
      <x:c r="G452" s="54" t="n">
        <x:v>46220</x:v>
      </x:c>
      <x:c r="H452" s="14" t="str">
        <x:f>IF(E452&lt;0,"Componente negativo — manter e investigar","OK")</x:f>
        <x:v>OK</x:v>
      </x:c>
    </x:row>
    <x:row r="453">
      <x:c r="A453" s="51" t="n">
        <x:v>39508</x:v>
      </x:c>
      <x:c r="B453" s="14" t="str">
        <x:v>Centro-Oeste</x:v>
      </x:c>
      <x:c r="C453" s="14" t="str">
        <x:v>SUDESTE / CENTRO - OESTE</x:v>
      </x:c>
      <x:c r="D453" s="53" t="str">
        <x:v>Cativo</x:v>
      </x:c>
      <x:c r="E453" s="49" t="n">
        <x:v>552268</x:v>
      </x:c>
      <x:c r="F453" s="52" t="n">
        <x:v>3703997</x:v>
      </x:c>
      <x:c r="G453" s="54" t="n">
        <x:v>46220</x:v>
      </x:c>
      <x:c r="H453" s="14" t="str">
        <x:f>IF(E453&lt;0,"Componente negativo — manter e investigar","OK")</x:f>
        <x:v>OK</x:v>
      </x:c>
    </x:row>
    <x:row r="454">
      <x:c r="A454" s="51" t="n">
        <x:v>39508</x:v>
      </x:c>
      <x:c r="B454" s="14" t="str">
        <x:v>Nordeste</x:v>
      </x:c>
      <x:c r="C454" s="14" t="str">
        <x:v>NORDESTE</x:v>
      </x:c>
      <x:c r="D454" s="53" t="str">
        <x:v>Cativo</x:v>
      </x:c>
      <x:c r="E454" s="49" t="n">
        <x:v>1196335</x:v>
      </x:c>
      <x:c r="F454" s="52" t="n">
        <x:v>11896397</x:v>
      </x:c>
      <x:c r="G454" s="54" t="n">
        <x:v>46220</x:v>
      </x:c>
      <x:c r="H454" s="14" t="str">
        <x:f>IF(E454&lt;0,"Componente negativo — manter e investigar","OK")</x:f>
        <x:v>OK</x:v>
      </x:c>
    </x:row>
    <x:row r="455">
      <x:c r="A455" s="51" t="n">
        <x:v>39508</x:v>
      </x:c>
      <x:c r="B455" s="14" t="str">
        <x:v>Nordeste</x:v>
      </x:c>
      <x:c r="C455" s="14" t="str">
        <x:v>NORTE INTERLIGADO</x:v>
      </x:c>
      <x:c r="D455" s="53" t="str">
        <x:v>Cativo</x:v>
      </x:c>
      <x:c r="E455" s="49" t="n">
        <x:v>109928.865</x:v>
      </x:c>
      <x:c r="F455" s="52" t="n">
        <x:v>1291303</x:v>
      </x:c>
      <x:c r="G455" s="54" t="n">
        <x:v>46220</x:v>
      </x:c>
      <x:c r="H455" s="14" t="str">
        <x:f>IF(E455&lt;0,"Componente negativo — manter e investigar","OK")</x:f>
        <x:v>OK</x:v>
      </x:c>
    </x:row>
    <x:row r="456">
      <x:c r="A456" s="51" t="n">
        <x:v>39508</x:v>
      </x:c>
      <x:c r="B456" s="14" t="str">
        <x:v>Nordeste</x:v>
      </x:c>
      <x:c r="C456" s="14" t="str">
        <x:v>SISTEMAS ISOLADOS</x:v>
      </x:c>
      <x:c r="D456" s="53" t="str">
        <x:v>Cativo</x:v>
      </x:c>
      <x:c r="E456" s="49" t="n">
        <x:v>234</x:v>
      </x:c>
      <x:c r="F456" s="52" t="n">
        <x:v>1047</x:v>
      </x:c>
      <x:c r="G456" s="54" t="n">
        <x:v>46220</x:v>
      </x:c>
      <x:c r="H456" s="14" t="str">
        <x:f>IF(E456&lt;0,"Componente negativo — manter e investigar","OK")</x:f>
        <x:v>OK</x:v>
      </x:c>
    </x:row>
    <x:row r="457">
      <x:c r="A457" s="51" t="n">
        <x:v>39508</x:v>
      </x:c>
      <x:c r="B457" s="14" t="str">
        <x:v>Norte</x:v>
      </x:c>
      <x:c r="C457" s="14" t="str">
        <x:v>NORTE INTERLIGADO</x:v>
      </x:c>
      <x:c r="D457" s="53" t="str">
        <x:v>Cativo</x:v>
      </x:c>
      <x:c r="E457" s="49" t="n">
        <x:v>173649</x:v>
      </x:c>
      <x:c r="F457" s="52" t="n">
        <x:v>1485980</x:v>
      </x:c>
      <x:c r="G457" s="54" t="n">
        <x:v>46220</x:v>
      </x:c>
      <x:c r="H457" s="14" t="str">
        <x:f>IF(E457&lt;0,"Componente negativo — manter e investigar","OK")</x:f>
        <x:v>OK</x:v>
      </x:c>
    </x:row>
    <x:row r="458">
      <x:c r="A458" s="51" t="n">
        <x:v>39508</x:v>
      </x:c>
      <x:c r="B458" s="14" t="str">
        <x:v>Norte</x:v>
      </x:c>
      <x:c r="C458" s="14" t="str">
        <x:v>SISTEMAS ISOLADOS</x:v>
      </x:c>
      <x:c r="D458" s="53" t="str">
        <x:v>Cativo</x:v>
      </x:c>
      <x:c r="E458" s="49" t="n">
        <x:v>200772</x:v>
      </x:c>
      <x:c r="F458" s="52" t="n">
        <x:v>1295013</x:v>
      </x:c>
      <x:c r="G458" s="54" t="n">
        <x:v>46220</x:v>
      </x:c>
      <x:c r="H458" s="14" t="str">
        <x:f>IF(E458&lt;0,"Componente negativo — manter e investigar","OK")</x:f>
        <x:v>OK</x:v>
      </x:c>
    </x:row>
    <x:row r="459">
      <x:c r="A459" s="51" t="n">
        <x:v>39508</x:v>
      </x:c>
      <x:c r="B459" s="14" t="str">
        <x:v>Sudeste</x:v>
      </x:c>
      <x:c r="C459" s="14" t="str">
        <x:v>SUDESTE / CENTRO - OESTE</x:v>
      </x:c>
      <x:c r="D459" s="53" t="str">
        <x:v>Cativo</x:v>
      </x:c>
      <x:c r="E459" s="49" t="n">
        <x:v>4179036</x:v>
      </x:c>
      <x:c r="F459" s="52" t="n">
        <x:v>25601224</x:v>
      </x:c>
      <x:c r="G459" s="54" t="n">
        <x:v>46220</x:v>
      </x:c>
      <x:c r="H459" s="14" t="str">
        <x:f>IF(E459&lt;0,"Componente negativo — manter e investigar","OK")</x:f>
        <x:v>OK</x:v>
      </x:c>
    </x:row>
    <x:row r="460">
      <x:c r="A460" s="51" t="n">
        <x:v>39508</x:v>
      </x:c>
      <x:c r="B460" s="14" t="str">
        <x:v>Sul</x:v>
      </x:c>
      <x:c r="C460" s="14" t="str">
        <x:v>SUL</x:v>
      </x:c>
      <x:c r="D460" s="53" t="str">
        <x:v>Cativo</x:v>
      </x:c>
      <x:c r="E460" s="49" t="n">
        <x:v>1276707</x:v>
      </x:c>
      <x:c r="F460" s="52" t="n">
        <x:v>7606140</x:v>
      </x:c>
      <x:c r="G460" s="54" t="n">
        <x:v>46220</x:v>
      </x:c>
      <x:c r="H460" s="14" t="str">
        <x:f>IF(E460&lt;0,"Componente negativo — manter e investigar","OK")</x:f>
        <x:v>OK</x:v>
      </x:c>
    </x:row>
    <x:row r="461">
      <x:c r="A461" s="51" t="n">
        <x:v>39539</x:v>
      </x:c>
      <x:c r="B461" s="14" t="str">
        <x:v>Centro-Oeste</x:v>
      </x:c>
      <x:c r="C461" s="14" t="str">
        <x:v>SISTEMAS ISOLADOS</x:v>
      </x:c>
      <x:c r="D461" s="53" t="str">
        <x:v>Cativo</x:v>
      </x:c>
      <x:c r="E461" s="49" t="n">
        <x:v>4708</x:v>
      </x:c>
      <x:c r="F461" s="52" t="n">
        <x:v>33524</x:v>
      </x:c>
      <x:c r="G461" s="54" t="n">
        <x:v>46220</x:v>
      </x:c>
      <x:c r="H461" s="14" t="str">
        <x:f>IF(E461&lt;0,"Componente negativo — manter e investigar","OK")</x:f>
        <x:v>OK</x:v>
      </x:c>
    </x:row>
    <x:row r="462">
      <x:c r="A462" s="51" t="n">
        <x:v>39539</x:v>
      </x:c>
      <x:c r="B462" s="14" t="str">
        <x:v>Centro-Oeste</x:v>
      </x:c>
      <x:c r="C462" s="14" t="str">
        <x:v>SUDESTE / CENTRO - OESTE</x:v>
      </x:c>
      <x:c r="D462" s="53" t="str">
        <x:v>Cativo</x:v>
      </x:c>
      <x:c r="E462" s="49" t="n">
        <x:v>574084</x:v>
      </x:c>
      <x:c r="F462" s="52" t="n">
        <x:v>3716587</x:v>
      </x:c>
      <x:c r="G462" s="54" t="n">
        <x:v>46220</x:v>
      </x:c>
      <x:c r="H462" s="14" t="str">
        <x:f>IF(E462&lt;0,"Componente negativo — manter e investigar","OK")</x:f>
        <x:v>OK</x:v>
      </x:c>
    </x:row>
    <x:row r="463">
      <x:c r="A463" s="51" t="n">
        <x:v>39539</x:v>
      </x:c>
      <x:c r="B463" s="14" t="str">
        <x:v>Nordeste</x:v>
      </x:c>
      <x:c r="C463" s="14" t="str">
        <x:v>NORDESTE</x:v>
      </x:c>
      <x:c r="D463" s="53" t="str">
        <x:v>Cativo</x:v>
      </x:c>
      <x:c r="E463" s="49" t="n">
        <x:v>1188456</x:v>
      </x:c>
      <x:c r="F463" s="52" t="n">
        <x:v>11945747</x:v>
      </x:c>
      <x:c r="G463" s="54" t="n">
        <x:v>46220</x:v>
      </x:c>
      <x:c r="H463" s="14" t="str">
        <x:f>IF(E463&lt;0,"Componente negativo — manter e investigar","OK")</x:f>
        <x:v>OK</x:v>
      </x:c>
    </x:row>
    <x:row r="464">
      <x:c r="A464" s="51" t="n">
        <x:v>39539</x:v>
      </x:c>
      <x:c r="B464" s="14" t="str">
        <x:v>Nordeste</x:v>
      </x:c>
      <x:c r="C464" s="14" t="str">
        <x:v>NORTE INTERLIGADO</x:v>
      </x:c>
      <x:c r="D464" s="53" t="str">
        <x:v>Cativo</x:v>
      </x:c>
      <x:c r="E464" s="49" t="n">
        <x:v>111197.104</x:v>
      </x:c>
      <x:c r="F464" s="52" t="n">
        <x:v>1293445</x:v>
      </x:c>
      <x:c r="G464" s="54" t="n">
        <x:v>46220</x:v>
      </x:c>
      <x:c r="H464" s="14" t="str">
        <x:f>IF(E464&lt;0,"Componente negativo — manter e investigar","OK")</x:f>
        <x:v>OK</x:v>
      </x:c>
    </x:row>
    <x:row r="465">
      <x:c r="A465" s="51" t="n">
        <x:v>39539</x:v>
      </x:c>
      <x:c r="B465" s="14" t="str">
        <x:v>Nordeste</x:v>
      </x:c>
      <x:c r="C465" s="14" t="str">
        <x:v>SISTEMAS ISOLADOS</x:v>
      </x:c>
      <x:c r="D465" s="53" t="str">
        <x:v>Cativo</x:v>
      </x:c>
      <x:c r="E465" s="49" t="n">
        <x:v>166</x:v>
      </x:c>
      <x:c r="F465" s="52" t="n">
        <x:v>656</x:v>
      </x:c>
      <x:c r="G465" s="54" t="n">
        <x:v>46220</x:v>
      </x:c>
      <x:c r="H465" s="14" t="str">
        <x:f>IF(E465&lt;0,"Componente negativo — manter e investigar","OK")</x:f>
        <x:v>OK</x:v>
      </x:c>
    </x:row>
    <x:row r="466">
      <x:c r="A466" s="51" t="n">
        <x:v>39539</x:v>
      </x:c>
      <x:c r="B466" s="14" t="str">
        <x:v>Norte</x:v>
      </x:c>
      <x:c r="C466" s="14" t="str">
        <x:v>NORTE INTERLIGADO</x:v>
      </x:c>
      <x:c r="D466" s="53" t="str">
        <x:v>Cativo</x:v>
      </x:c>
      <x:c r="E466" s="49" t="n">
        <x:v>177649</x:v>
      </x:c>
      <x:c r="F466" s="52" t="n">
        <x:v>1492785</x:v>
      </x:c>
      <x:c r="G466" s="54" t="n">
        <x:v>46220</x:v>
      </x:c>
      <x:c r="H466" s="14" t="str">
        <x:f>IF(E466&lt;0,"Componente negativo — manter e investigar","OK")</x:f>
        <x:v>OK</x:v>
      </x:c>
    </x:row>
    <x:row r="467">
      <x:c r="A467" s="51" t="n">
        <x:v>39539</x:v>
      </x:c>
      <x:c r="B467" s="14" t="str">
        <x:v>Norte</x:v>
      </x:c>
      <x:c r="C467" s="14" t="str">
        <x:v>SISTEMAS ISOLADOS</x:v>
      </x:c>
      <x:c r="D467" s="53" t="str">
        <x:v>Cativo</x:v>
      </x:c>
      <x:c r="E467" s="49" t="n">
        <x:v>208831</x:v>
      </x:c>
      <x:c r="F467" s="52" t="n">
        <x:v>1300542</x:v>
      </x:c>
      <x:c r="G467" s="54" t="n">
        <x:v>46220</x:v>
      </x:c>
      <x:c r="H467" s="14" t="str">
        <x:f>IF(E467&lt;0,"Componente negativo — manter e investigar","OK")</x:f>
        <x:v>OK</x:v>
      </x:c>
    </x:row>
    <x:row r="468">
      <x:c r="A468" s="51" t="n">
        <x:v>39539</x:v>
      </x:c>
      <x:c r="B468" s="14" t="str">
        <x:v>Sudeste</x:v>
      </x:c>
      <x:c r="C468" s="14" t="str">
        <x:v>SUDESTE / CENTRO - OESTE</x:v>
      </x:c>
      <x:c r="D468" s="53" t="str">
        <x:v>Cativo</x:v>
      </x:c>
      <x:c r="E468" s="49" t="n">
        <x:v>4225451</x:v>
      </x:c>
      <x:c r="F468" s="52" t="n">
        <x:v>25667476</x:v>
      </x:c>
      <x:c r="G468" s="54" t="n">
        <x:v>46220</x:v>
      </x:c>
      <x:c r="H468" s="14" t="str">
        <x:f>IF(E468&lt;0,"Componente negativo — manter e investigar","OK")</x:f>
        <x:v>OK</x:v>
      </x:c>
    </x:row>
    <x:row r="469">
      <x:c r="A469" s="51" t="n">
        <x:v>39539</x:v>
      </x:c>
      <x:c r="B469" s="14" t="str">
        <x:v>Sul</x:v>
      </x:c>
      <x:c r="C469" s="14" t="str">
        <x:v>SUL</x:v>
      </x:c>
      <x:c r="D469" s="53" t="str">
        <x:v>Cativo</x:v>
      </x:c>
      <x:c r="E469" s="49" t="n">
        <x:v>1264139</x:v>
      </x:c>
      <x:c r="F469" s="52" t="n">
        <x:v>7586653</x:v>
      </x:c>
      <x:c r="G469" s="54" t="n">
        <x:v>46220</x:v>
      </x:c>
      <x:c r="H469" s="14" t="str">
        <x:f>IF(E469&lt;0,"Componente negativo — manter e investigar","OK")</x:f>
        <x:v>OK</x:v>
      </x:c>
    </x:row>
    <x:row r="470">
      <x:c r="A470" s="51" t="n">
        <x:v>39569</x:v>
      </x:c>
      <x:c r="B470" s="14" t="str">
        <x:v>Centro-Oeste</x:v>
      </x:c>
      <x:c r="C470" s="14" t="str">
        <x:v>SISTEMAS ISOLADOS</x:v>
      </x:c>
      <x:c r="D470" s="53" t="str">
        <x:v>Cativo</x:v>
      </x:c>
      <x:c r="E470" s="49" t="n">
        <x:v>4937</x:v>
      </x:c>
      <x:c r="F470" s="52" t="n">
        <x:v>33924</x:v>
      </x:c>
      <x:c r="G470" s="54" t="n">
        <x:v>46220</x:v>
      </x:c>
      <x:c r="H470" s="14" t="str">
        <x:f>IF(E470&lt;0,"Componente negativo — manter e investigar","OK")</x:f>
        <x:v>OK</x:v>
      </x:c>
    </x:row>
    <x:row r="471">
      <x:c r="A471" s="51" t="n">
        <x:v>39569</x:v>
      </x:c>
      <x:c r="B471" s="14" t="str">
        <x:v>Centro-Oeste</x:v>
      </x:c>
      <x:c r="C471" s="14" t="str">
        <x:v>SUDESTE / CENTRO - OESTE</x:v>
      </x:c>
      <x:c r="D471" s="53" t="str">
        <x:v>Cativo</x:v>
      </x:c>
      <x:c r="E471" s="49" t="n">
        <x:v>571722</x:v>
      </x:c>
      <x:c r="F471" s="52" t="n">
        <x:v>3731570</x:v>
      </x:c>
      <x:c r="G471" s="54" t="n">
        <x:v>46220</x:v>
      </x:c>
      <x:c r="H471" s="14" t="str">
        <x:f>IF(E471&lt;0,"Componente negativo — manter e investigar","OK")</x:f>
        <x:v>OK</x:v>
      </x:c>
    </x:row>
    <x:row r="472">
      <x:c r="A472" s="51" t="n">
        <x:v>39569</x:v>
      </x:c>
      <x:c r="B472" s="14" t="str">
        <x:v>Nordeste</x:v>
      </x:c>
      <x:c r="C472" s="14" t="str">
        <x:v>NORDESTE</x:v>
      </x:c>
      <x:c r="D472" s="53" t="str">
        <x:v>Cativo</x:v>
      </x:c>
      <x:c r="E472" s="49" t="n">
        <x:v>1202895</x:v>
      </x:c>
      <x:c r="F472" s="52" t="n">
        <x:v>11985958</x:v>
      </x:c>
      <x:c r="G472" s="54" t="n">
        <x:v>46220</x:v>
      </x:c>
      <x:c r="H472" s="14" t="str">
        <x:f>IF(E472&lt;0,"Componente negativo — manter e investigar","OK")</x:f>
        <x:v>OK</x:v>
      </x:c>
    </x:row>
    <x:row r="473">
      <x:c r="A473" s="51" t="n">
        <x:v>39569</x:v>
      </x:c>
      <x:c r="B473" s="14" t="str">
        <x:v>Nordeste</x:v>
      </x:c>
      <x:c r="C473" s="14" t="str">
        <x:v>NORTE INTERLIGADO</x:v>
      </x:c>
      <x:c r="D473" s="53" t="str">
        <x:v>Cativo</x:v>
      </x:c>
      <x:c r="E473" s="49" t="n">
        <x:v>113103.683</x:v>
      </x:c>
      <x:c r="F473" s="52" t="n">
        <x:v>1305281</x:v>
      </x:c>
      <x:c r="G473" s="54" t="n">
        <x:v>46220</x:v>
      </x:c>
      <x:c r="H473" s="14" t="str">
        <x:f>IF(E473&lt;0,"Componente negativo — manter e investigar","OK")</x:f>
        <x:v>OK</x:v>
      </x:c>
    </x:row>
    <x:row r="474">
      <x:c r="A474" s="51" t="n">
        <x:v>39569</x:v>
      </x:c>
      <x:c r="B474" s="14" t="str">
        <x:v>Nordeste</x:v>
      </x:c>
      <x:c r="C474" s="14" t="str">
        <x:v>SISTEMAS ISOLADOS</x:v>
      </x:c>
      <x:c r="D474" s="53" t="str">
        <x:v>Cativo</x:v>
      </x:c>
      <x:c r="E474" s="49" t="n">
        <x:v>169</x:v>
      </x:c>
      <x:c r="F474" s="52" t="n">
        <x:v>664</x:v>
      </x:c>
      <x:c r="G474" s="54" t="n">
        <x:v>46220</x:v>
      </x:c>
      <x:c r="H474" s="14" t="str">
        <x:f>IF(E474&lt;0,"Componente negativo — manter e investigar","OK")</x:f>
        <x:v>OK</x:v>
      </x:c>
    </x:row>
    <x:row r="475">
      <x:c r="A475" s="51" t="n">
        <x:v>39569</x:v>
      </x:c>
      <x:c r="B475" s="14" t="str">
        <x:v>Norte</x:v>
      </x:c>
      <x:c r="C475" s="14" t="str">
        <x:v>NORTE INTERLIGADO</x:v>
      </x:c>
      <x:c r="D475" s="53" t="str">
        <x:v>Cativo</x:v>
      </x:c>
      <x:c r="E475" s="49" t="n">
        <x:v>184012</x:v>
      </x:c>
      <x:c r="F475" s="52" t="n">
        <x:v>1500017</x:v>
      </x:c>
      <x:c r="G475" s="54" t="n">
        <x:v>46220</x:v>
      </x:c>
      <x:c r="H475" s="14" t="str">
        <x:f>IF(E475&lt;0,"Componente negativo — manter e investigar","OK")</x:f>
        <x:v>OK</x:v>
      </x:c>
    </x:row>
    <x:row r="476">
      <x:c r="A476" s="51" t="n">
        <x:v>39569</x:v>
      </x:c>
      <x:c r="B476" s="14" t="str">
        <x:v>Norte</x:v>
      </x:c>
      <x:c r="C476" s="14" t="str">
        <x:v>SISTEMAS ISOLADOS</x:v>
      </x:c>
      <x:c r="D476" s="53" t="str">
        <x:v>Cativo</x:v>
      </x:c>
      <x:c r="E476" s="49" t="n">
        <x:v>215635</x:v>
      </x:c>
      <x:c r="F476" s="52" t="n">
        <x:v>1305886</x:v>
      </x:c>
      <x:c r="G476" s="54" t="n">
        <x:v>46220</x:v>
      </x:c>
      <x:c r="H476" s="14" t="str">
        <x:f>IF(E476&lt;0,"Componente negativo — manter e investigar","OK")</x:f>
        <x:v>OK</x:v>
      </x:c>
    </x:row>
    <x:row r="477">
      <x:c r="A477" s="51" t="n">
        <x:v>39569</x:v>
      </x:c>
      <x:c r="B477" s="14" t="str">
        <x:v>Sudeste</x:v>
      </x:c>
      <x:c r="C477" s="14" t="str">
        <x:v>SUDESTE / CENTRO - OESTE</x:v>
      </x:c>
      <x:c r="D477" s="53" t="str">
        <x:v>Cativo</x:v>
      </x:c>
      <x:c r="E477" s="49" t="n">
        <x:v>4386332</x:v>
      </x:c>
      <x:c r="F477" s="52" t="n">
        <x:v>25758203</x:v>
      </x:c>
      <x:c r="G477" s="54" t="n">
        <x:v>46220</x:v>
      </x:c>
      <x:c r="H477" s="14" t="str">
        <x:f>IF(E477&lt;0,"Componente negativo — manter e investigar","OK")</x:f>
        <x:v>OK</x:v>
      </x:c>
    </x:row>
    <x:row r="478">
      <x:c r="A478" s="51" t="n">
        <x:v>39569</x:v>
      </x:c>
      <x:c r="B478" s="14" t="str">
        <x:v>Sul</x:v>
      </x:c>
      <x:c r="C478" s="14" t="str">
        <x:v>SUL</x:v>
      </x:c>
      <x:c r="D478" s="53" t="str">
        <x:v>Cativo</x:v>
      </x:c>
      <x:c r="E478" s="49" t="n">
        <x:v>1255075</x:v>
      </x:c>
      <x:c r="F478" s="52" t="n">
        <x:v>7575543</x:v>
      </x:c>
      <x:c r="G478" s="54" t="n">
        <x:v>46220</x:v>
      </x:c>
      <x:c r="H478" s="14" t="str">
        <x:f>IF(E478&lt;0,"Componente negativo — manter e investigar","OK")</x:f>
        <x:v>OK</x:v>
      </x:c>
    </x:row>
    <x:row r="479">
      <x:c r="A479" s="51" t="n">
        <x:v>39600</x:v>
      </x:c>
      <x:c r="B479" s="14" t="str">
        <x:v>Centro-Oeste</x:v>
      </x:c>
      <x:c r="C479" s="14" t="str">
        <x:v>SISTEMAS ISOLADOS</x:v>
      </x:c>
      <x:c r="D479" s="53" t="str">
        <x:v>Cativo</x:v>
      </x:c>
      <x:c r="E479" s="49" t="n">
        <x:v>4821</x:v>
      </x:c>
      <x:c r="F479" s="52" t="n">
        <x:v>29660</x:v>
      </x:c>
      <x:c r="G479" s="54" t="n">
        <x:v>46220</x:v>
      </x:c>
      <x:c r="H479" s="14" t="str">
        <x:f>IF(E479&lt;0,"Componente negativo — manter e investigar","OK")</x:f>
        <x:v>OK</x:v>
      </x:c>
    </x:row>
    <x:row r="480">
      <x:c r="A480" s="51" t="n">
        <x:v>39600</x:v>
      </x:c>
      <x:c r="B480" s="14" t="str">
        <x:v>Centro-Oeste</x:v>
      </x:c>
      <x:c r="C480" s="14" t="str">
        <x:v>SUDESTE / CENTRO - OESTE</x:v>
      </x:c>
      <x:c r="D480" s="53" t="str">
        <x:v>Cativo</x:v>
      </x:c>
      <x:c r="E480" s="49" t="n">
        <x:v>563516</x:v>
      </x:c>
      <x:c r="F480" s="52" t="n">
        <x:v>3755033</x:v>
      </x:c>
      <x:c r="G480" s="54" t="n">
        <x:v>46220</x:v>
      </x:c>
      <x:c r="H480" s="14" t="str">
        <x:f>IF(E480&lt;0,"Componente negativo — manter e investigar","OK")</x:f>
        <x:v>OK</x:v>
      </x:c>
    </x:row>
    <x:row r="481">
      <x:c r="A481" s="51" t="n">
        <x:v>39600</x:v>
      </x:c>
      <x:c r="B481" s="14" t="str">
        <x:v>Nordeste</x:v>
      </x:c>
      <x:c r="C481" s="14" t="str">
        <x:v>NORDESTE</x:v>
      </x:c>
      <x:c r="D481" s="53" t="str">
        <x:v>Cativo</x:v>
      </x:c>
      <x:c r="E481" s="49" t="n">
        <x:v>1129884</x:v>
      </x:c>
      <x:c r="F481" s="52" t="n">
        <x:v>12026546</x:v>
      </x:c>
      <x:c r="G481" s="54" t="n">
        <x:v>46220</x:v>
      </x:c>
      <x:c r="H481" s="14" t="str">
        <x:f>IF(E481&lt;0,"Componente negativo — manter e investigar","OK")</x:f>
        <x:v>OK</x:v>
      </x:c>
    </x:row>
    <x:row r="482">
      <x:c r="A482" s="51" t="n">
        <x:v>39600</x:v>
      </x:c>
      <x:c r="B482" s="14" t="str">
        <x:v>Nordeste</x:v>
      </x:c>
      <x:c r="C482" s="14" t="str">
        <x:v>NORTE INTERLIGADO</x:v>
      </x:c>
      <x:c r="D482" s="53" t="str">
        <x:v>Cativo</x:v>
      </x:c>
      <x:c r="E482" s="49" t="n">
        <x:v>116882.414</x:v>
      </x:c>
      <x:c r="F482" s="52" t="n">
        <x:v>1309435</x:v>
      </x:c>
      <x:c r="G482" s="54" t="n">
        <x:v>46220</x:v>
      </x:c>
      <x:c r="H482" s="14" t="str">
        <x:f>IF(E482&lt;0,"Componente negativo — manter e investigar","OK")</x:f>
        <x:v>OK</x:v>
      </x:c>
    </x:row>
    <x:row r="483">
      <x:c r="A483" s="51" t="n">
        <x:v>39600</x:v>
      </x:c>
      <x:c r="B483" s="14" t="str">
        <x:v>Nordeste</x:v>
      </x:c>
      <x:c r="C483" s="14" t="str">
        <x:v>SISTEMAS ISOLADOS</x:v>
      </x:c>
      <x:c r="D483" s="53" t="str">
        <x:v>Cativo</x:v>
      </x:c>
      <x:c r="E483" s="49" t="n">
        <x:v>193</x:v>
      </x:c>
      <x:c r="F483" s="52" t="n">
        <x:v>666</x:v>
      </x:c>
      <x:c r="G483" s="54" t="n">
        <x:v>46220</x:v>
      </x:c>
      <x:c r="H483" s="14" t="str">
        <x:f>IF(E483&lt;0,"Componente negativo — manter e investigar","OK")</x:f>
        <x:v>OK</x:v>
      </x:c>
    </x:row>
    <x:row r="484">
      <x:c r="A484" s="51" t="n">
        <x:v>39600</x:v>
      </x:c>
      <x:c r="B484" s="14" t="str">
        <x:v>Norte</x:v>
      </x:c>
      <x:c r="C484" s="14" t="str">
        <x:v>NORTE INTERLIGADO</x:v>
      </x:c>
      <x:c r="D484" s="53" t="str">
        <x:v>Cativo</x:v>
      </x:c>
      <x:c r="E484" s="49" t="n">
        <x:v>191038</x:v>
      </x:c>
      <x:c r="F484" s="52" t="n">
        <x:v>1489826</x:v>
      </x:c>
      <x:c r="G484" s="54" t="n">
        <x:v>46220</x:v>
      </x:c>
      <x:c r="H484" s="14" t="str">
        <x:f>IF(E484&lt;0,"Componente negativo — manter e investigar","OK")</x:f>
        <x:v>OK</x:v>
      </x:c>
    </x:row>
    <x:row r="485">
      <x:c r="A485" s="51" t="n">
        <x:v>39600</x:v>
      </x:c>
      <x:c r="B485" s="14" t="str">
        <x:v>Norte</x:v>
      </x:c>
      <x:c r="C485" s="14" t="str">
        <x:v>SISTEMAS ISOLADOS</x:v>
      </x:c>
      <x:c r="D485" s="53" t="str">
        <x:v>Cativo</x:v>
      </x:c>
      <x:c r="E485" s="49" t="n">
        <x:v>208392</x:v>
      </x:c>
      <x:c r="F485" s="52" t="n">
        <x:v>1310017</x:v>
      </x:c>
      <x:c r="G485" s="54" t="n">
        <x:v>46220</x:v>
      </x:c>
      <x:c r="H485" s="14" t="str">
        <x:f>IF(E485&lt;0,"Componente negativo — manter e investigar","OK")</x:f>
        <x:v>OK</x:v>
      </x:c>
    </x:row>
    <x:row r="486">
      <x:c r="A486" s="51" t="n">
        <x:v>39600</x:v>
      </x:c>
      <x:c r="B486" s="14" t="str">
        <x:v>Sudeste</x:v>
      </x:c>
      <x:c r="C486" s="14" t="str">
        <x:v>SUDESTE / CENTRO - OESTE</x:v>
      </x:c>
      <x:c r="D486" s="53" t="str">
        <x:v>Cativo</x:v>
      </x:c>
      <x:c r="E486" s="49" t="n">
        <x:v>4153532</x:v>
      </x:c>
      <x:c r="F486" s="52" t="n">
        <x:v>25531107</x:v>
      </x:c>
      <x:c r="G486" s="54" t="n">
        <x:v>46220</x:v>
      </x:c>
      <x:c r="H486" s="14" t="str">
        <x:f>IF(E486&lt;0,"Componente negativo — manter e investigar","OK")</x:f>
        <x:v>OK</x:v>
      </x:c>
    </x:row>
    <x:row r="487">
      <x:c r="A487" s="51" t="n">
        <x:v>39600</x:v>
      </x:c>
      <x:c r="B487" s="14" t="str">
        <x:v>Sul</x:v>
      </x:c>
      <x:c r="C487" s="14" t="str">
        <x:v>SUL</x:v>
      </x:c>
      <x:c r="D487" s="53" t="str">
        <x:v>Cativo</x:v>
      </x:c>
      <x:c r="E487" s="49" t="n">
        <x:v>1252972</x:v>
      </x:c>
      <x:c r="F487" s="52" t="n">
        <x:v>7605799</x:v>
      </x:c>
      <x:c r="G487" s="54" t="n">
        <x:v>46220</x:v>
      </x:c>
      <x:c r="H487" s="14" t="str">
        <x:f>IF(E487&lt;0,"Componente negativo — manter e investigar","OK")</x:f>
        <x:v>OK</x:v>
      </x:c>
    </x:row>
    <x:row r="488">
      <x:c r="A488" s="51" t="n">
        <x:v>39630</x:v>
      </x:c>
      <x:c r="B488" s="14" t="str">
        <x:v>Centro-Oeste</x:v>
      </x:c>
      <x:c r="C488" s="14" t="str">
        <x:v>SISTEMAS ISOLADOS</x:v>
      </x:c>
      <x:c r="D488" s="53" t="str">
        <x:v>Cativo</x:v>
      </x:c>
      <x:c r="E488" s="49" t="n">
        <x:v>4769</x:v>
      </x:c>
      <x:c r="F488" s="52" t="n">
        <x:v>29885</x:v>
      </x:c>
      <x:c r="G488" s="54" t="n">
        <x:v>46220</x:v>
      </x:c>
      <x:c r="H488" s="14" t="str">
        <x:f>IF(E488&lt;0,"Componente negativo — manter e investigar","OK")</x:f>
        <x:v>OK</x:v>
      </x:c>
    </x:row>
    <x:row r="489">
      <x:c r="A489" s="51" t="n">
        <x:v>39630</x:v>
      </x:c>
      <x:c r="B489" s="14" t="str">
        <x:v>Centro-Oeste</x:v>
      </x:c>
      <x:c r="C489" s="14" t="str">
        <x:v>SUDESTE / CENTRO - OESTE</x:v>
      </x:c>
      <x:c r="D489" s="53" t="str">
        <x:v>Cativo</x:v>
      </x:c>
      <x:c r="E489" s="49" t="n">
        <x:v>541414</x:v>
      </x:c>
      <x:c r="F489" s="52" t="n">
        <x:v>3772456</x:v>
      </x:c>
      <x:c r="G489" s="54" t="n">
        <x:v>46220</x:v>
      </x:c>
      <x:c r="H489" s="14" t="str">
        <x:f>IF(E489&lt;0,"Componente negativo — manter e investigar","OK")</x:f>
        <x:v>OK</x:v>
      </x:c>
    </x:row>
    <x:row r="490">
      <x:c r="A490" s="51" t="n">
        <x:v>39630</x:v>
      </x:c>
      <x:c r="B490" s="14" t="str">
        <x:v>Nordeste</x:v>
      </x:c>
      <x:c r="C490" s="14" t="str">
        <x:v>NORDESTE</x:v>
      </x:c>
      <x:c r="D490" s="53" t="str">
        <x:v>Cativo</x:v>
      </x:c>
      <x:c r="E490" s="49" t="n">
        <x:v>1136816</x:v>
      </x:c>
      <x:c r="F490" s="52" t="n">
        <x:v>12079793</x:v>
      </x:c>
      <x:c r="G490" s="54" t="n">
        <x:v>46220</x:v>
      </x:c>
      <x:c r="H490" s="14" t="str">
        <x:f>IF(E490&lt;0,"Componente negativo — manter e investigar","OK")</x:f>
        <x:v>OK</x:v>
      </x:c>
    </x:row>
    <x:row r="491">
      <x:c r="A491" s="51" t="n">
        <x:v>39630</x:v>
      </x:c>
      <x:c r="B491" s="14" t="str">
        <x:v>Nordeste</x:v>
      </x:c>
      <x:c r="C491" s="14" t="str">
        <x:v>NORTE INTERLIGADO</x:v>
      </x:c>
      <x:c r="D491" s="53" t="str">
        <x:v>Cativo</x:v>
      </x:c>
      <x:c r="E491" s="49" t="n">
        <x:v>119739.215</x:v>
      </x:c>
      <x:c r="F491" s="52" t="n">
        <x:v>1315908</x:v>
      </x:c>
      <x:c r="G491" s="54" t="n">
        <x:v>46220</x:v>
      </x:c>
      <x:c r="H491" s="14" t="str">
        <x:f>IF(E491&lt;0,"Componente negativo — manter e investigar","OK")</x:f>
        <x:v>OK</x:v>
      </x:c>
    </x:row>
    <x:row r="492">
      <x:c r="A492" s="51" t="n">
        <x:v>39630</x:v>
      </x:c>
      <x:c r="B492" s="14" t="str">
        <x:v>Nordeste</x:v>
      </x:c>
      <x:c r="C492" s="14" t="str">
        <x:v>SISTEMAS ISOLADOS</x:v>
      </x:c>
      <x:c r="D492" s="53" t="str">
        <x:v>Cativo</x:v>
      </x:c>
      <x:c r="E492" s="49" t="n">
        <x:v>145</x:v>
      </x:c>
      <x:c r="F492" s="52" t="n">
        <x:v>659</x:v>
      </x:c>
      <x:c r="G492" s="54" t="n">
        <x:v>46220</x:v>
      </x:c>
      <x:c r="H492" s="14" t="str">
        <x:f>IF(E492&lt;0,"Componente negativo — manter e investigar","OK")</x:f>
        <x:v>OK</x:v>
      </x:c>
    </x:row>
    <x:row r="493">
      <x:c r="A493" s="51" t="n">
        <x:v>39630</x:v>
      </x:c>
      <x:c r="B493" s="14" t="str">
        <x:v>Norte</x:v>
      </x:c>
      <x:c r="C493" s="14" t="str">
        <x:v>NORTE INTERLIGADO</x:v>
      </x:c>
      <x:c r="D493" s="53" t="str">
        <x:v>Cativo</x:v>
      </x:c>
      <x:c r="E493" s="49" t="n">
        <x:v>193134</x:v>
      </x:c>
      <x:c r="F493" s="52" t="n">
        <x:v>1487950</x:v>
      </x:c>
      <x:c r="G493" s="54" t="n">
        <x:v>46220</x:v>
      </x:c>
      <x:c r="H493" s="14" t="str">
        <x:f>IF(E493&lt;0,"Componente negativo — manter e investigar","OK")</x:f>
        <x:v>OK</x:v>
      </x:c>
    </x:row>
    <x:row r="494">
      <x:c r="A494" s="51" t="n">
        <x:v>39630</x:v>
      </x:c>
      <x:c r="B494" s="14" t="str">
        <x:v>Norte</x:v>
      </x:c>
      <x:c r="C494" s="14" t="str">
        <x:v>SISTEMAS ISOLADOS</x:v>
      </x:c>
      <x:c r="D494" s="53" t="str">
        <x:v>Cativo</x:v>
      </x:c>
      <x:c r="E494" s="49" t="n">
        <x:v>212225</x:v>
      </x:c>
      <x:c r="F494" s="52" t="n">
        <x:v>1314333</x:v>
      </x:c>
      <x:c r="G494" s="54" t="n">
        <x:v>46220</x:v>
      </x:c>
      <x:c r="H494" s="14" t="str">
        <x:f>IF(E494&lt;0,"Componente negativo — manter e investigar","OK")</x:f>
        <x:v>OK</x:v>
      </x:c>
    </x:row>
    <x:row r="495">
      <x:c r="A495" s="51" t="n">
        <x:v>39630</x:v>
      </x:c>
      <x:c r="B495" s="14" t="str">
        <x:v>Sudeste</x:v>
      </x:c>
      <x:c r="C495" s="14" t="str">
        <x:v>SUDESTE / CENTRO - OESTE</x:v>
      </x:c>
      <x:c r="D495" s="53" t="str">
        <x:v>Cativo</x:v>
      </x:c>
      <x:c r="E495" s="49" t="n">
        <x:v>4186405</x:v>
      </x:c>
      <x:c r="F495" s="52" t="n">
        <x:v>25569865</x:v>
      </x:c>
      <x:c r="G495" s="54" t="n">
        <x:v>46220</x:v>
      </x:c>
      <x:c r="H495" s="14" t="str">
        <x:f>IF(E495&lt;0,"Componente negativo — manter e investigar","OK")</x:f>
        <x:v>OK</x:v>
      </x:c>
    </x:row>
    <x:row r="496">
      <x:c r="A496" s="51" t="n">
        <x:v>39630</x:v>
      </x:c>
      <x:c r="B496" s="14" t="str">
        <x:v>Sul</x:v>
      </x:c>
      <x:c r="C496" s="14" t="str">
        <x:v>SUL</x:v>
      </x:c>
      <x:c r="D496" s="53" t="str">
        <x:v>Cativo</x:v>
      </x:c>
      <x:c r="E496" s="49" t="n">
        <x:v>1258858</x:v>
      </x:c>
      <x:c r="F496" s="52" t="n">
        <x:v>7631346</x:v>
      </x:c>
      <x:c r="G496" s="54" t="n">
        <x:v>46220</x:v>
      </x:c>
      <x:c r="H496" s="14" t="str">
        <x:f>IF(E496&lt;0,"Componente negativo — manter e investigar","OK")</x:f>
        <x:v>OK</x:v>
      </x:c>
    </x:row>
    <x:row r="497">
      <x:c r="A497" s="51" t="n">
        <x:v>39661</x:v>
      </x:c>
      <x:c r="B497" s="14" t="str">
        <x:v>Centro-Oeste</x:v>
      </x:c>
      <x:c r="C497" s="14" t="str">
        <x:v>SISTEMAS ISOLADOS</x:v>
      </x:c>
      <x:c r="D497" s="53" t="str">
        <x:v>Cativo</x:v>
      </x:c>
      <x:c r="E497" s="49" t="n">
        <x:v>4895</x:v>
      </x:c>
      <x:c r="F497" s="52" t="n">
        <x:v>30223</x:v>
      </x:c>
      <x:c r="G497" s="54" t="n">
        <x:v>46220</x:v>
      </x:c>
      <x:c r="H497" s="14" t="str">
        <x:f>IF(E497&lt;0,"Componente negativo — manter e investigar","OK")</x:f>
        <x:v>OK</x:v>
      </x:c>
    </x:row>
    <x:row r="498">
      <x:c r="A498" s="51" t="n">
        <x:v>39661</x:v>
      </x:c>
      <x:c r="B498" s="14" t="str">
        <x:v>Centro-Oeste</x:v>
      </x:c>
      <x:c r="C498" s="14" t="str">
        <x:v>SUDESTE / CENTRO - OESTE</x:v>
      </x:c>
      <x:c r="D498" s="53" t="str">
        <x:v>Cativo</x:v>
      </x:c>
      <x:c r="E498" s="49" t="n">
        <x:v>586540</x:v>
      </x:c>
      <x:c r="F498" s="52" t="n">
        <x:v>3790879</x:v>
      </x:c>
      <x:c r="G498" s="54" t="n">
        <x:v>46220</x:v>
      </x:c>
      <x:c r="H498" s="14" t="str">
        <x:f>IF(E498&lt;0,"Componente negativo — manter e investigar","OK")</x:f>
        <x:v>OK</x:v>
      </x:c>
    </x:row>
    <x:row r="499">
      <x:c r="A499" s="51" t="n">
        <x:v>39661</x:v>
      </x:c>
      <x:c r="B499" s="14" t="str">
        <x:v>Nordeste</x:v>
      </x:c>
      <x:c r="C499" s="14" t="str">
        <x:v>NORDESTE</x:v>
      </x:c>
      <x:c r="D499" s="53" t="str">
        <x:v>Cativo</x:v>
      </x:c>
      <x:c r="E499" s="49" t="n">
        <x:v>1135402</x:v>
      </x:c>
      <x:c r="F499" s="52" t="n">
        <x:v>12119518</x:v>
      </x:c>
      <x:c r="G499" s="54" t="n">
        <x:v>46220</x:v>
      </x:c>
      <x:c r="H499" s="14" t="str">
        <x:f>IF(E499&lt;0,"Componente negativo — manter e investigar","OK")</x:f>
        <x:v>OK</x:v>
      </x:c>
    </x:row>
    <x:row r="500">
      <x:c r="A500" s="51" t="n">
        <x:v>39661</x:v>
      </x:c>
      <x:c r="B500" s="14" t="str">
        <x:v>Nordeste</x:v>
      </x:c>
      <x:c r="C500" s="14" t="str">
        <x:v>NORTE INTERLIGADO</x:v>
      </x:c>
      <x:c r="D500" s="53" t="str">
        <x:v>Cativo</x:v>
      </x:c>
      <x:c r="E500" s="49" t="n">
        <x:v>130950.602</x:v>
      </x:c>
      <x:c r="F500" s="52" t="n">
        <x:v>1325129</x:v>
      </x:c>
      <x:c r="G500" s="54" t="n">
        <x:v>46220</x:v>
      </x:c>
      <x:c r="H500" s="14" t="str">
        <x:f>IF(E500&lt;0,"Componente negativo — manter e investigar","OK")</x:f>
        <x:v>OK</x:v>
      </x:c>
    </x:row>
    <x:row r="501">
      <x:c r="A501" s="51" t="n">
        <x:v>39661</x:v>
      </x:c>
      <x:c r="B501" s="14" t="str">
        <x:v>Nordeste</x:v>
      </x:c>
      <x:c r="C501" s="14" t="str">
        <x:v>SISTEMAS ISOLADOS</x:v>
      </x:c>
      <x:c r="D501" s="53" t="str">
        <x:v>Cativo</x:v>
      </x:c>
      <x:c r="E501" s="49" t="n">
        <x:v>138</x:v>
      </x:c>
      <x:c r="F501" s="52" t="n">
        <x:v>436</x:v>
      </x:c>
      <x:c r="G501" s="54" t="n">
        <x:v>46220</x:v>
      </x:c>
      <x:c r="H501" s="14" t="str">
        <x:f>IF(E501&lt;0,"Componente negativo — manter e investigar","OK")</x:f>
        <x:v>OK</x:v>
      </x:c>
    </x:row>
    <x:row r="502">
      <x:c r="A502" s="51" t="n">
        <x:v>39661</x:v>
      </x:c>
      <x:c r="B502" s="14" t="str">
        <x:v>Norte</x:v>
      </x:c>
      <x:c r="C502" s="14" t="str">
        <x:v>NORTE INTERLIGADO</x:v>
      </x:c>
      <x:c r="D502" s="53" t="str">
        <x:v>Cativo</x:v>
      </x:c>
      <x:c r="E502" s="49" t="n">
        <x:v>200745</x:v>
      </x:c>
      <x:c r="F502" s="52" t="n">
        <x:v>1490156</x:v>
      </x:c>
      <x:c r="G502" s="54" t="n">
        <x:v>46220</x:v>
      </x:c>
      <x:c r="H502" s="14" t="str">
        <x:f>IF(E502&lt;0,"Componente negativo — manter e investigar","OK")</x:f>
        <x:v>OK</x:v>
      </x:c>
    </x:row>
    <x:row r="503">
      <x:c r="A503" s="51" t="n">
        <x:v>39661</x:v>
      </x:c>
      <x:c r="B503" s="14" t="str">
        <x:v>Norte</x:v>
      </x:c>
      <x:c r="C503" s="14" t="str">
        <x:v>SISTEMAS ISOLADOS</x:v>
      </x:c>
      <x:c r="D503" s="53" t="str">
        <x:v>Cativo</x:v>
      </x:c>
      <x:c r="E503" s="49" t="n">
        <x:v>233690</x:v>
      </x:c>
      <x:c r="F503" s="52" t="n">
        <x:v>1318926</x:v>
      </x:c>
      <x:c r="G503" s="54" t="n">
        <x:v>46220</x:v>
      </x:c>
      <x:c r="H503" s="14" t="str">
        <x:f>IF(E503&lt;0,"Componente negativo — manter e investigar","OK")</x:f>
        <x:v>OK</x:v>
      </x:c>
    </x:row>
    <x:row r="504">
      <x:c r="A504" s="51" t="n">
        <x:v>39661</x:v>
      </x:c>
      <x:c r="B504" s="14" t="str">
        <x:v>Sudeste</x:v>
      </x:c>
      <x:c r="C504" s="14" t="str">
        <x:v>SUDESTE / CENTRO - OESTE</x:v>
      </x:c>
      <x:c r="D504" s="53" t="str">
        <x:v>Cativo</x:v>
      </x:c>
      <x:c r="E504" s="49" t="n">
        <x:v>4292183</x:v>
      </x:c>
      <x:c r="F504" s="52" t="n">
        <x:v>25660831</x:v>
      </x:c>
      <x:c r="G504" s="54" t="n">
        <x:v>46220</x:v>
      </x:c>
      <x:c r="H504" s="14" t="str">
        <x:f>IF(E504&lt;0,"Componente negativo — manter e investigar","OK")</x:f>
        <x:v>OK</x:v>
      </x:c>
    </x:row>
    <x:row r="505">
      <x:c r="A505" s="51" t="n">
        <x:v>39661</x:v>
      </x:c>
      <x:c r="B505" s="14" t="str">
        <x:v>Sul</x:v>
      </x:c>
      <x:c r="C505" s="14" t="str">
        <x:v>SUL</x:v>
      </x:c>
      <x:c r="D505" s="53" t="str">
        <x:v>Cativo</x:v>
      </x:c>
      <x:c r="E505" s="49" t="n">
        <x:v>1296088</x:v>
      </x:c>
      <x:c r="F505" s="52" t="n">
        <x:v>7678013</x:v>
      </x:c>
      <x:c r="G505" s="54" t="n">
        <x:v>46220</x:v>
      </x:c>
      <x:c r="H505" s="14" t="str">
        <x:f>IF(E505&lt;0,"Componente negativo — manter e investigar","OK")</x:f>
        <x:v>OK</x:v>
      </x:c>
    </x:row>
    <x:row r="506">
      <x:c r="A506" s="51" t="n">
        <x:v>39692</x:v>
      </x:c>
      <x:c r="B506" s="14" t="str">
        <x:v>Centro-Oeste</x:v>
      </x:c>
      <x:c r="C506" s="14" t="str">
        <x:v>SISTEMAS ISOLADOS</x:v>
      </x:c>
      <x:c r="D506" s="53" t="str">
        <x:v>Cativo</x:v>
      </x:c>
      <x:c r="E506" s="49" t="n">
        <x:v>5394</x:v>
      </x:c>
      <x:c r="F506" s="52" t="n">
        <x:v>30401</x:v>
      </x:c>
      <x:c r="G506" s="54" t="n">
        <x:v>46220</x:v>
      </x:c>
      <x:c r="H506" s="14" t="str">
        <x:f>IF(E506&lt;0,"Componente negativo — manter e investigar","OK")</x:f>
        <x:v>OK</x:v>
      </x:c>
    </x:row>
    <x:row r="507">
      <x:c r="A507" s="51" t="n">
        <x:v>39692</x:v>
      </x:c>
      <x:c r="B507" s="14" t="str">
        <x:v>Centro-Oeste</x:v>
      </x:c>
      <x:c r="C507" s="14" t="str">
        <x:v>SUDESTE / CENTRO - OESTE</x:v>
      </x:c>
      <x:c r="D507" s="53" t="str">
        <x:v>Cativo</x:v>
      </x:c>
      <x:c r="E507" s="49" t="n">
        <x:v>613000</x:v>
      </x:c>
      <x:c r="F507" s="52" t="n">
        <x:v>3807572</x:v>
      </x:c>
      <x:c r="G507" s="54" t="n">
        <x:v>46220</x:v>
      </x:c>
      <x:c r="H507" s="14" t="str">
        <x:f>IF(E507&lt;0,"Componente negativo — manter e investigar","OK")</x:f>
        <x:v>OK</x:v>
      </x:c>
    </x:row>
    <x:row r="508">
      <x:c r="A508" s="51" t="n">
        <x:v>39692</x:v>
      </x:c>
      <x:c r="B508" s="14" t="str">
        <x:v>Nordeste</x:v>
      </x:c>
      <x:c r="C508" s="14" t="str">
        <x:v>NORDESTE</x:v>
      </x:c>
      <x:c r="D508" s="53" t="str">
        <x:v>Cativo</x:v>
      </x:c>
      <x:c r="E508" s="49" t="n">
        <x:v>1140723</x:v>
      </x:c>
      <x:c r="F508" s="52" t="n">
        <x:v>12168630</x:v>
      </x:c>
      <x:c r="G508" s="54" t="n">
        <x:v>46220</x:v>
      </x:c>
      <x:c r="H508" s="14" t="str">
        <x:f>IF(E508&lt;0,"Componente negativo — manter e investigar","OK")</x:f>
        <x:v>OK</x:v>
      </x:c>
    </x:row>
    <x:row r="509">
      <x:c r="A509" s="51" t="n">
        <x:v>39692</x:v>
      </x:c>
      <x:c r="B509" s="14" t="str">
        <x:v>Nordeste</x:v>
      </x:c>
      <x:c r="C509" s="14" t="str">
        <x:v>NORTE INTERLIGADO</x:v>
      </x:c>
      <x:c r="D509" s="53" t="str">
        <x:v>Cativo</x:v>
      </x:c>
      <x:c r="E509" s="49" t="n">
        <x:v>134762.904</x:v>
      </x:c>
      <x:c r="F509" s="52" t="n">
        <x:v>1332424</x:v>
      </x:c>
      <x:c r="G509" s="54" t="n">
        <x:v>46220</x:v>
      </x:c>
      <x:c r="H509" s="14" t="str">
        <x:f>IF(E509&lt;0,"Componente negativo — manter e investigar","OK")</x:f>
        <x:v>OK</x:v>
      </x:c>
    </x:row>
    <x:row r="510">
      <x:c r="A510" s="51" t="n">
        <x:v>39692</x:v>
      </x:c>
      <x:c r="B510" s="14" t="str">
        <x:v>Nordeste</x:v>
      </x:c>
      <x:c r="C510" s="14" t="str">
        <x:v>SISTEMAS ISOLADOS</x:v>
      </x:c>
      <x:c r="D510" s="53" t="str">
        <x:v>Cativo</x:v>
      </x:c>
      <x:c r="E510" s="49" t="n">
        <x:v>157</x:v>
      </x:c>
      <x:c r="F510" s="52" t="n">
        <x:v>439</x:v>
      </x:c>
      <x:c r="G510" s="54" t="n">
        <x:v>46220</x:v>
      </x:c>
      <x:c r="H510" s="14" t="str">
        <x:f>IF(E510&lt;0,"Componente negativo — manter e investigar","OK")</x:f>
        <x:v>OK</x:v>
      </x:c>
    </x:row>
    <x:row r="511">
      <x:c r="A511" s="51" t="n">
        <x:v>39692</x:v>
      </x:c>
      <x:c r="B511" s="14" t="str">
        <x:v>Norte</x:v>
      </x:c>
      <x:c r="C511" s="14" t="str">
        <x:v>NORTE INTERLIGADO</x:v>
      </x:c>
      <x:c r="D511" s="53" t="str">
        <x:v>Cativo</x:v>
      </x:c>
      <x:c r="E511" s="49" t="n">
        <x:v>211896</x:v>
      </x:c>
      <x:c r="F511" s="52" t="n">
        <x:v>1492667</x:v>
      </x:c>
      <x:c r="G511" s="54" t="n">
        <x:v>46220</x:v>
      </x:c>
      <x:c r="H511" s="14" t="str">
        <x:f>IF(E511&lt;0,"Componente negativo — manter e investigar","OK")</x:f>
        <x:v>OK</x:v>
      </x:c>
    </x:row>
    <x:row r="512">
      <x:c r="A512" s="51" t="n">
        <x:v>39692</x:v>
      </x:c>
      <x:c r="B512" s="14" t="str">
        <x:v>Norte</x:v>
      </x:c>
      <x:c r="C512" s="14" t="str">
        <x:v>SISTEMAS ISOLADOS</x:v>
      </x:c>
      <x:c r="D512" s="53" t="str">
        <x:v>Cativo</x:v>
      </x:c>
      <x:c r="E512" s="49" t="n">
        <x:v>243142</x:v>
      </x:c>
      <x:c r="F512" s="52" t="n">
        <x:v>1323456</x:v>
      </x:c>
      <x:c r="G512" s="54" t="n">
        <x:v>46220</x:v>
      </x:c>
      <x:c r="H512" s="14" t="str">
        <x:f>IF(E512&lt;0,"Componente negativo — manter e investigar","OK")</x:f>
        <x:v>OK</x:v>
      </x:c>
    </x:row>
    <x:row r="513">
      <x:c r="A513" s="51" t="n">
        <x:v>39692</x:v>
      </x:c>
      <x:c r="B513" s="14" t="str">
        <x:v>Sudeste</x:v>
      </x:c>
      <x:c r="C513" s="14" t="str">
        <x:v>SUDESTE / CENTRO - OESTE</x:v>
      </x:c>
      <x:c r="D513" s="53" t="str">
        <x:v>Cativo</x:v>
      </x:c>
      <x:c r="E513" s="49" t="n">
        <x:v>4208021</x:v>
      </x:c>
      <x:c r="F513" s="52" t="n">
        <x:v>25816012</x:v>
      </x:c>
      <x:c r="G513" s="54" t="n">
        <x:v>46220</x:v>
      </x:c>
      <x:c r="H513" s="14" t="str">
        <x:f>IF(E513&lt;0,"Componente negativo — manter e investigar","OK")</x:f>
        <x:v>OK</x:v>
      </x:c>
    </x:row>
    <x:row r="514">
      <x:c r="A514" s="51" t="n">
        <x:v>39692</x:v>
      </x:c>
      <x:c r="B514" s="14" t="str">
        <x:v>Sul</x:v>
      </x:c>
      <x:c r="C514" s="14" t="str">
        <x:v>SUL</x:v>
      </x:c>
      <x:c r="D514" s="53" t="str">
        <x:v>Cativo</x:v>
      </x:c>
      <x:c r="E514" s="49" t="n">
        <x:v>1258612</x:v>
      </x:c>
      <x:c r="F514" s="52" t="n">
        <x:v>7677312</x:v>
      </x:c>
      <x:c r="G514" s="54" t="n">
        <x:v>46220</x:v>
      </x:c>
      <x:c r="H514" s="14" t="str">
        <x:f>IF(E514&lt;0,"Componente negativo — manter e investigar","OK")</x:f>
        <x:v>OK</x:v>
      </x:c>
    </x:row>
    <x:row r="515">
      <x:c r="A515" s="51" t="n">
        <x:v>39722</x:v>
      </x:c>
      <x:c r="B515" s="14" t="str">
        <x:v>Centro-Oeste</x:v>
      </x:c>
      <x:c r="C515" s="14" t="str">
        <x:v>SISTEMAS ISOLADOS</x:v>
      </x:c>
      <x:c r="D515" s="53" t="str">
        <x:v>Cativo</x:v>
      </x:c>
      <x:c r="E515" s="49" t="n">
        <x:v>4342</x:v>
      </x:c>
      <x:c r="F515" s="52" t="n">
        <x:v>26510</x:v>
      </x:c>
      <x:c r="G515" s="54" t="n">
        <x:v>46220</x:v>
      </x:c>
      <x:c r="H515" s="14" t="str">
        <x:f>IF(E515&lt;0,"Componente negativo — manter e investigar","OK")</x:f>
        <x:v>OK</x:v>
      </x:c>
    </x:row>
    <x:row r="516">
      <x:c r="A516" s="51" t="n">
        <x:v>39722</x:v>
      </x:c>
      <x:c r="B516" s="14" t="str">
        <x:v>Centro-Oeste</x:v>
      </x:c>
      <x:c r="C516" s="14" t="str">
        <x:v>SUDESTE / CENTRO - OESTE</x:v>
      </x:c>
      <x:c r="D516" s="53" t="str">
        <x:v>Cativo</x:v>
      </x:c>
      <x:c r="E516" s="49" t="n">
        <x:v>621075</x:v>
      </x:c>
      <x:c r="F516" s="52" t="n">
        <x:v>3825331</x:v>
      </x:c>
      <x:c r="G516" s="54" t="n">
        <x:v>46220</x:v>
      </x:c>
      <x:c r="H516" s="14" t="str">
        <x:f>IF(E516&lt;0,"Componente negativo — manter e investigar","OK")</x:f>
        <x:v>OK</x:v>
      </x:c>
    </x:row>
    <x:row r="517">
      <x:c r="A517" s="51" t="n">
        <x:v>39722</x:v>
      </x:c>
      <x:c r="B517" s="14" t="str">
        <x:v>Nordeste</x:v>
      </x:c>
      <x:c r="C517" s="14" t="str">
        <x:v>NORDESTE</x:v>
      </x:c>
      <x:c r="D517" s="53" t="str">
        <x:v>Cativo</x:v>
      </x:c>
      <x:c r="E517" s="49" t="n">
        <x:v>1222811</x:v>
      </x:c>
      <x:c r="F517" s="52" t="n">
        <x:v>12213806</x:v>
      </x:c>
      <x:c r="G517" s="54" t="n">
        <x:v>46220</x:v>
      </x:c>
      <x:c r="H517" s="14" t="str">
        <x:f>IF(E517&lt;0,"Componente negativo — manter e investigar","OK")</x:f>
        <x:v>OK</x:v>
      </x:c>
    </x:row>
    <x:row r="518">
      <x:c r="A518" s="51" t="n">
        <x:v>39722</x:v>
      </x:c>
      <x:c r="B518" s="14" t="str">
        <x:v>Nordeste</x:v>
      </x:c>
      <x:c r="C518" s="14" t="str">
        <x:v>NORTE INTERLIGADO</x:v>
      </x:c>
      <x:c r="D518" s="53" t="str">
        <x:v>Cativo</x:v>
      </x:c>
      <x:c r="E518" s="49" t="n">
        <x:v>135888.796</x:v>
      </x:c>
      <x:c r="F518" s="52" t="n">
        <x:v>1340696</x:v>
      </x:c>
      <x:c r="G518" s="54" t="n">
        <x:v>46220</x:v>
      </x:c>
      <x:c r="H518" s="14" t="str">
        <x:f>IF(E518&lt;0,"Componente negativo — manter e investigar","OK")</x:f>
        <x:v>OK</x:v>
      </x:c>
    </x:row>
    <x:row r="519">
      <x:c r="A519" s="51" t="n">
        <x:v>39722</x:v>
      </x:c>
      <x:c r="B519" s="14" t="str">
        <x:v>Nordeste</x:v>
      </x:c>
      <x:c r="C519" s="14" t="str">
        <x:v>SISTEMAS ISOLADOS</x:v>
      </x:c>
      <x:c r="D519" s="53" t="str">
        <x:v>Cativo</x:v>
      </x:c>
      <x:c r="E519" s="49" t="n">
        <x:v>140</x:v>
      </x:c>
      <x:c r="F519" s="52" t="n">
        <x:v>442</x:v>
      </x:c>
      <x:c r="G519" s="54" t="n">
        <x:v>46220</x:v>
      </x:c>
      <x:c r="H519" s="14" t="str">
        <x:f>IF(E519&lt;0,"Componente negativo — manter e investigar","OK")</x:f>
        <x:v>OK</x:v>
      </x:c>
    </x:row>
    <x:row r="520">
      <x:c r="A520" s="51" t="n">
        <x:v>39722</x:v>
      </x:c>
      <x:c r="B520" s="14" t="str">
        <x:v>Norte</x:v>
      </x:c>
      <x:c r="C520" s="14" t="str">
        <x:v>NORTE INTERLIGADO</x:v>
      </x:c>
      <x:c r="D520" s="53" t="str">
        <x:v>Cativo</x:v>
      </x:c>
      <x:c r="E520" s="49" t="n">
        <x:v>214709</x:v>
      </x:c>
      <x:c r="F520" s="52" t="n">
        <x:v>1499352</x:v>
      </x:c>
      <x:c r="G520" s="54" t="n">
        <x:v>46220</x:v>
      </x:c>
      <x:c r="H520" s="14" t="str">
        <x:f>IF(E520&lt;0,"Componente negativo — manter e investigar","OK")</x:f>
        <x:v>OK</x:v>
      </x:c>
    </x:row>
    <x:row r="521">
      <x:c r="A521" s="51" t="n">
        <x:v>39722</x:v>
      </x:c>
      <x:c r="B521" s="14" t="str">
        <x:v>Norte</x:v>
      </x:c>
      <x:c r="C521" s="14" t="str">
        <x:v>SISTEMAS ISOLADOS</x:v>
      </x:c>
      <x:c r="D521" s="53" t="str">
        <x:v>Cativo</x:v>
      </x:c>
      <x:c r="E521" s="49" t="n">
        <x:v>238533</x:v>
      </x:c>
      <x:c r="F521" s="52" t="n">
        <x:v>1329047</x:v>
      </x:c>
      <x:c r="G521" s="54" t="n">
        <x:v>46220</x:v>
      </x:c>
      <x:c r="H521" s="14" t="str">
        <x:f>IF(E521&lt;0,"Componente negativo — manter e investigar","OK")</x:f>
        <x:v>OK</x:v>
      </x:c>
    </x:row>
    <x:row r="522">
      <x:c r="A522" s="51" t="n">
        <x:v>39722</x:v>
      </x:c>
      <x:c r="B522" s="14" t="str">
        <x:v>Sudeste</x:v>
      </x:c>
      <x:c r="C522" s="14" t="str">
        <x:v>SUDESTE / CENTRO - OESTE</x:v>
      </x:c>
      <x:c r="D522" s="53" t="str">
        <x:v>Cativo</x:v>
      </x:c>
      <x:c r="E522" s="49" t="n">
        <x:v>4413750</x:v>
      </x:c>
      <x:c r="F522" s="52" t="n">
        <x:v>25932429</x:v>
      </x:c>
      <x:c r="G522" s="54" t="n">
        <x:v>46220</x:v>
      </x:c>
      <x:c r="H522" s="14" t="str">
        <x:f>IF(E522&lt;0,"Componente negativo — manter e investigar","OK")</x:f>
        <x:v>OK</x:v>
      </x:c>
    </x:row>
    <x:row r="523">
      <x:c r="A523" s="51" t="n">
        <x:v>39722</x:v>
      </x:c>
      <x:c r="B523" s="14" t="str">
        <x:v>Sul</x:v>
      </x:c>
      <x:c r="C523" s="14" t="str">
        <x:v>SUL</x:v>
      </x:c>
      <x:c r="D523" s="53" t="str">
        <x:v>Cativo</x:v>
      </x:c>
      <x:c r="E523" s="49" t="n">
        <x:v>1268536</x:v>
      </x:c>
      <x:c r="F523" s="52" t="n">
        <x:v>7694883</x:v>
      </x:c>
      <x:c r="G523" s="54" t="n">
        <x:v>46220</x:v>
      </x:c>
      <x:c r="H523" s="14" t="str">
        <x:f>IF(E523&lt;0,"Componente negativo — manter e investigar","OK")</x:f>
        <x:v>OK</x:v>
      </x:c>
    </x:row>
    <x:row r="524">
      <x:c r="A524" s="51" t="n">
        <x:v>39753</x:v>
      </x:c>
      <x:c r="B524" s="14" t="str">
        <x:v>Centro-Oeste</x:v>
      </x:c>
      <x:c r="C524" s="14" t="str">
        <x:v>SISTEMAS ISOLADOS</x:v>
      </x:c>
      <x:c r="D524" s="53" t="str">
        <x:v>Cativo</x:v>
      </x:c>
      <x:c r="E524" s="49" t="n">
        <x:v>4295</x:v>
      </x:c>
      <x:c r="F524" s="52" t="n">
        <x:v>22382</x:v>
      </x:c>
      <x:c r="G524" s="54" t="n">
        <x:v>46220</x:v>
      </x:c>
      <x:c r="H524" s="14" t="str">
        <x:f>IF(E524&lt;0,"Componente negativo — manter e investigar","OK")</x:f>
        <x:v>OK</x:v>
      </x:c>
    </x:row>
    <x:row r="525">
      <x:c r="A525" s="51" t="n">
        <x:v>39753</x:v>
      </x:c>
      <x:c r="B525" s="14" t="str">
        <x:v>Centro-Oeste</x:v>
      </x:c>
      <x:c r="C525" s="14" t="str">
        <x:v>SUDESTE / CENTRO - OESTE</x:v>
      </x:c>
      <x:c r="D525" s="53" t="str">
        <x:v>Cativo</x:v>
      </x:c>
      <x:c r="E525" s="49" t="n">
        <x:v>655763</x:v>
      </x:c>
      <x:c r="F525" s="52" t="n">
        <x:v>3842532</x:v>
      </x:c>
      <x:c r="G525" s="54" t="n">
        <x:v>46220</x:v>
      </x:c>
      <x:c r="H525" s="14" t="str">
        <x:f>IF(E525&lt;0,"Componente negativo — manter e investigar","OK")</x:f>
        <x:v>OK</x:v>
      </x:c>
    </x:row>
    <x:row r="526">
      <x:c r="A526" s="51" t="n">
        <x:v>39753</x:v>
      </x:c>
      <x:c r="B526" s="14" t="str">
        <x:v>Nordeste</x:v>
      </x:c>
      <x:c r="C526" s="14" t="str">
        <x:v>NORDESTE</x:v>
      </x:c>
      <x:c r="D526" s="53" t="str">
        <x:v>Cativo</x:v>
      </x:c>
      <x:c r="E526" s="49" t="n">
        <x:v>1219949</x:v>
      </x:c>
      <x:c r="F526" s="52" t="n">
        <x:v>12263850</x:v>
      </x:c>
      <x:c r="G526" s="54" t="n">
        <x:v>46220</x:v>
      </x:c>
      <x:c r="H526" s="14" t="str">
        <x:f>IF(E526&lt;0,"Componente negativo — manter e investigar","OK")</x:f>
        <x:v>OK</x:v>
      </x:c>
    </x:row>
    <x:row r="527">
      <x:c r="A527" s="51" t="n">
        <x:v>39753</x:v>
      </x:c>
      <x:c r="B527" s="14" t="str">
        <x:v>Nordeste</x:v>
      </x:c>
      <x:c r="C527" s="14" t="str">
        <x:v>NORTE INTERLIGADO</x:v>
      </x:c>
      <x:c r="D527" s="53" t="str">
        <x:v>Cativo</x:v>
      </x:c>
      <x:c r="E527" s="49" t="n">
        <x:v>141308.125</x:v>
      </x:c>
      <x:c r="F527" s="52" t="n">
        <x:v>1348081</x:v>
      </x:c>
      <x:c r="G527" s="54" t="n">
        <x:v>46220</x:v>
      </x:c>
      <x:c r="H527" s="14" t="str">
        <x:f>IF(E527&lt;0,"Componente negativo — manter e investigar","OK")</x:f>
        <x:v>OK</x:v>
      </x:c>
    </x:row>
    <x:row r="528">
      <x:c r="A528" s="51" t="n">
        <x:v>39753</x:v>
      </x:c>
      <x:c r="B528" s="14" t="str">
        <x:v>Nordeste</x:v>
      </x:c>
      <x:c r="C528" s="14" t="str">
        <x:v>SISTEMAS ISOLADOS</x:v>
      </x:c>
      <x:c r="D528" s="53" t="str">
        <x:v>Cativo</x:v>
      </x:c>
      <x:c r="E528" s="49" t="n">
        <x:v>183</x:v>
      </x:c>
      <x:c r="F528" s="52" t="n">
        <x:v>445</x:v>
      </x:c>
      <x:c r="G528" s="54" t="n">
        <x:v>46220</x:v>
      </x:c>
      <x:c r="H528" s="14" t="str">
        <x:f>IF(E528&lt;0,"Componente negativo — manter e investigar","OK")</x:f>
        <x:v>OK</x:v>
      </x:c>
    </x:row>
    <x:row r="529">
      <x:c r="A529" s="51" t="n">
        <x:v>39753</x:v>
      </x:c>
      <x:c r="B529" s="14" t="str">
        <x:v>Norte</x:v>
      </x:c>
      <x:c r="C529" s="14" t="str">
        <x:v>NORTE INTERLIGADO</x:v>
      </x:c>
      <x:c r="D529" s="53" t="str">
        <x:v>Cativo</x:v>
      </x:c>
      <x:c r="E529" s="49" t="n">
        <x:v>205922</x:v>
      </x:c>
      <x:c r="F529" s="52" t="n">
        <x:v>1504469</x:v>
      </x:c>
      <x:c r="G529" s="54" t="n">
        <x:v>46220</x:v>
      </x:c>
      <x:c r="H529" s="14" t="str">
        <x:f>IF(E529&lt;0,"Componente negativo — manter e investigar","OK")</x:f>
        <x:v>OK</x:v>
      </x:c>
    </x:row>
    <x:row r="530">
      <x:c r="A530" s="51" t="n">
        <x:v>39753</x:v>
      </x:c>
      <x:c r="B530" s="14" t="str">
        <x:v>Norte</x:v>
      </x:c>
      <x:c r="C530" s="14" t="str">
        <x:v>SISTEMAS ISOLADOS</x:v>
      </x:c>
      <x:c r="D530" s="53" t="str">
        <x:v>Cativo</x:v>
      </x:c>
      <x:c r="E530" s="49" t="n">
        <x:v>246859</x:v>
      </x:c>
      <x:c r="F530" s="52" t="n">
        <x:v>1334955</x:v>
      </x:c>
      <x:c r="G530" s="54" t="n">
        <x:v>46220</x:v>
      </x:c>
      <x:c r="H530" s="14" t="str">
        <x:f>IF(E530&lt;0,"Componente negativo — manter e investigar","OK")</x:f>
        <x:v>OK</x:v>
      </x:c>
    </x:row>
    <x:row r="531">
      <x:c r="A531" s="51" t="n">
        <x:v>39753</x:v>
      </x:c>
      <x:c r="B531" s="14" t="str">
        <x:v>Sudeste</x:v>
      </x:c>
      <x:c r="C531" s="14" t="str">
        <x:v>SUDESTE / CENTRO - OESTE</x:v>
      </x:c>
      <x:c r="D531" s="53" t="str">
        <x:v>Cativo</x:v>
      </x:c>
      <x:c r="E531" s="49" t="n">
        <x:v>4456627</x:v>
      </x:c>
      <x:c r="F531" s="52" t="n">
        <x:v>25868871</x:v>
      </x:c>
      <x:c r="G531" s="54" t="n">
        <x:v>46220</x:v>
      </x:c>
      <x:c r="H531" s="14" t="str">
        <x:f>IF(E531&lt;0,"Componente negativo — manter e investigar","OK")</x:f>
        <x:v>OK</x:v>
      </x:c>
    </x:row>
    <x:row r="532">
      <x:c r="A532" s="51" t="n">
        <x:v>39753</x:v>
      </x:c>
      <x:c r="B532" s="14" t="str">
        <x:v>Sul</x:v>
      </x:c>
      <x:c r="C532" s="14" t="str">
        <x:v>SUL</x:v>
      </x:c>
      <x:c r="D532" s="53" t="str">
        <x:v>Cativo</x:v>
      </x:c>
      <x:c r="E532" s="49" t="n">
        <x:v>1306813</x:v>
      </x:c>
      <x:c r="F532" s="52" t="n">
        <x:v>7717162</x:v>
      </x:c>
      <x:c r="G532" s="54" t="n">
        <x:v>46220</x:v>
      </x:c>
      <x:c r="H532" s="14" t="str">
        <x:f>IF(E532&lt;0,"Componente negativo — manter e investigar","OK")</x:f>
        <x:v>OK</x:v>
      </x:c>
    </x:row>
    <x:row r="533">
      <x:c r="A533" s="51" t="n">
        <x:v>39783</x:v>
      </x:c>
      <x:c r="B533" s="14" t="str">
        <x:v>Centro-Oeste</x:v>
      </x:c>
      <x:c r="C533" s="14" t="str">
        <x:v>SISTEMAS ISOLADOS</x:v>
      </x:c>
      <x:c r="D533" s="53" t="str">
        <x:v>Cativo</x:v>
      </x:c>
      <x:c r="E533" s="49" t="n">
        <x:v>3545</x:v>
      </x:c>
      <x:c r="F533" s="52" t="n">
        <x:v>22446</x:v>
      </x:c>
      <x:c r="G533" s="54" t="n">
        <x:v>46220</x:v>
      </x:c>
      <x:c r="H533" s="14" t="str">
        <x:f>IF(E533&lt;0,"Componente negativo — manter e investigar","OK")</x:f>
        <x:v>OK</x:v>
      </x:c>
    </x:row>
    <x:row r="534">
      <x:c r="A534" s="51" t="n">
        <x:v>39783</x:v>
      </x:c>
      <x:c r="B534" s="14" t="str">
        <x:v>Centro-Oeste</x:v>
      </x:c>
      <x:c r="C534" s="14" t="str">
        <x:v>SUDESTE / CENTRO - OESTE</x:v>
      </x:c>
      <x:c r="D534" s="53" t="str">
        <x:v>Cativo</x:v>
      </x:c>
      <x:c r="E534" s="49" t="n">
        <x:v>606269</x:v>
      </x:c>
      <x:c r="F534" s="52" t="n">
        <x:v>3851688</x:v>
      </x:c>
      <x:c r="G534" s="54" t="n">
        <x:v>46220</x:v>
      </x:c>
      <x:c r="H534" s="14" t="str">
        <x:f>IF(E534&lt;0,"Componente negativo — manter e investigar","OK")</x:f>
        <x:v>OK</x:v>
      </x:c>
    </x:row>
    <x:row r="535">
      <x:c r="A535" s="51" t="n">
        <x:v>39783</x:v>
      </x:c>
      <x:c r="B535" s="14" t="str">
        <x:v>Nordeste</x:v>
      </x:c>
      <x:c r="C535" s="14" t="str">
        <x:v>NORDESTE</x:v>
      </x:c>
      <x:c r="D535" s="53" t="str">
        <x:v>Cativo</x:v>
      </x:c>
      <x:c r="E535" s="49" t="n">
        <x:v>1276535</x:v>
      </x:c>
      <x:c r="F535" s="52" t="n">
        <x:v>12353423</x:v>
      </x:c>
      <x:c r="G535" s="54" t="n">
        <x:v>46220</x:v>
      </x:c>
      <x:c r="H535" s="14" t="str">
        <x:f>IF(E535&lt;0,"Componente negativo — manter e investigar","OK")</x:f>
        <x:v>OK</x:v>
      </x:c>
    </x:row>
    <x:row r="536">
      <x:c r="A536" s="51" t="n">
        <x:v>39783</x:v>
      </x:c>
      <x:c r="B536" s="14" t="str">
        <x:v>Nordeste</x:v>
      </x:c>
      <x:c r="C536" s="14" t="str">
        <x:v>NORTE INTERLIGADO</x:v>
      </x:c>
      <x:c r="D536" s="53" t="str">
        <x:v>Cativo</x:v>
      </x:c>
      <x:c r="E536" s="49" t="n">
        <x:v>121378.348</x:v>
      </x:c>
      <x:c r="F536" s="52" t="n">
        <x:v>1351320</x:v>
      </x:c>
      <x:c r="G536" s="54" t="n">
        <x:v>46220</x:v>
      </x:c>
      <x:c r="H536" s="14" t="str">
        <x:f>IF(E536&lt;0,"Componente negativo — manter e investigar","OK")</x:f>
        <x:v>OK</x:v>
      </x:c>
    </x:row>
    <x:row r="537">
      <x:c r="A537" s="51" t="n">
        <x:v>39783</x:v>
      </x:c>
      <x:c r="B537" s="14" t="str">
        <x:v>Nordeste</x:v>
      </x:c>
      <x:c r="C537" s="14" t="str">
        <x:v>SISTEMAS ISOLADOS</x:v>
      </x:c>
      <x:c r="D537" s="53" t="str">
        <x:v>Cativo</x:v>
      </x:c>
      <x:c r="E537" s="49" t="n">
        <x:v>146</x:v>
      </x:c>
      <x:c r="F537" s="52" t="n">
        <x:v>453</x:v>
      </x:c>
      <x:c r="G537" s="54" t="n">
        <x:v>46220</x:v>
      </x:c>
      <x:c r="H537" s="14" t="str">
        <x:f>IF(E537&lt;0,"Componente negativo — manter e investigar","OK")</x:f>
        <x:v>OK</x:v>
      </x:c>
    </x:row>
    <x:row r="538">
      <x:c r="A538" s="51" t="n">
        <x:v>39783</x:v>
      </x:c>
      <x:c r="B538" s="14" t="str">
        <x:v>Norte</x:v>
      </x:c>
      <x:c r="C538" s="14" t="str">
        <x:v>NORTE INTERLIGADO</x:v>
      </x:c>
      <x:c r="D538" s="53" t="str">
        <x:v>Cativo</x:v>
      </x:c>
      <x:c r="E538" s="49" t="n">
        <x:v>199402</x:v>
      </x:c>
      <x:c r="F538" s="52" t="n">
        <x:v>1509217</x:v>
      </x:c>
      <x:c r="G538" s="54" t="n">
        <x:v>46220</x:v>
      </x:c>
      <x:c r="H538" s="14" t="str">
        <x:f>IF(E538&lt;0,"Componente negativo — manter e investigar","OK")</x:f>
        <x:v>OK</x:v>
      </x:c>
    </x:row>
    <x:row r="539">
      <x:c r="A539" s="51" t="n">
        <x:v>39783</x:v>
      </x:c>
      <x:c r="B539" s="14" t="str">
        <x:v>Norte</x:v>
      </x:c>
      <x:c r="C539" s="14" t="str">
        <x:v>SISTEMAS ISOLADOS</x:v>
      </x:c>
      <x:c r="D539" s="53" t="str">
        <x:v>Cativo</x:v>
      </x:c>
      <x:c r="E539" s="49" t="n">
        <x:v>232004</x:v>
      </x:c>
      <x:c r="F539" s="52" t="n">
        <x:v>1339466</x:v>
      </x:c>
      <x:c r="G539" s="54" t="n">
        <x:v>46220</x:v>
      </x:c>
      <x:c r="H539" s="14" t="str">
        <x:f>IF(E539&lt;0,"Componente negativo — manter e investigar","OK")</x:f>
        <x:v>OK</x:v>
      </x:c>
    </x:row>
    <x:row r="540">
      <x:c r="A540" s="51" t="n">
        <x:v>39783</x:v>
      </x:c>
      <x:c r="B540" s="14" t="str">
        <x:v>Sudeste</x:v>
      </x:c>
      <x:c r="C540" s="14" t="str">
        <x:v>SUDESTE / CENTRO - OESTE</x:v>
      </x:c>
      <x:c r="D540" s="53" t="str">
        <x:v>Cativo</x:v>
      </x:c>
      <x:c r="E540" s="49" t="n">
        <x:v>4222422</x:v>
      </x:c>
      <x:c r="F540" s="52" t="n">
        <x:v>25992887</x:v>
      </x:c>
      <x:c r="G540" s="54" t="n">
        <x:v>46220</x:v>
      </x:c>
      <x:c r="H540" s="14" t="str">
        <x:f>IF(E540&lt;0,"Componente negativo — manter e investigar","OK")</x:f>
        <x:v>OK</x:v>
      </x:c>
    </x:row>
    <x:row r="541">
      <x:c r="A541" s="51" t="n">
        <x:v>39783</x:v>
      </x:c>
      <x:c r="B541" s="14" t="str">
        <x:v>Sul</x:v>
      </x:c>
      <x:c r="C541" s="14" t="str">
        <x:v>SUL</x:v>
      </x:c>
      <x:c r="D541" s="53" t="str">
        <x:v>Cativo</x:v>
      </x:c>
      <x:c r="E541" s="49" t="n">
        <x:v>1280988</x:v>
      </x:c>
      <x:c r="F541" s="52" t="n">
        <x:v>7735979</x:v>
      </x:c>
      <x:c r="G541" s="54" t="n">
        <x:v>46220</x:v>
      </x:c>
      <x:c r="H541" s="14" t="str">
        <x:f>IF(E541&lt;0,"Componente negativo — manter e investigar","OK")</x:f>
        <x:v>OK</x:v>
      </x:c>
    </x:row>
    <x:row r="542">
      <x:c r="A542" s="51" t="n">
        <x:v>39814</x:v>
      </x:c>
      <x:c r="B542" s="14" t="str">
        <x:v>Centro-Oeste</x:v>
      </x:c>
      <x:c r="C542" s="14" t="str">
        <x:v>SISTEMAS ISOLADOS</x:v>
      </x:c>
      <x:c r="D542" s="53" t="str">
        <x:v>Cativo</x:v>
      </x:c>
      <x:c r="E542" s="49" t="n">
        <x:v>2969</x:v>
      </x:c>
      <x:c r="F542" s="52" t="n">
        <x:v>19844</x:v>
      </x:c>
      <x:c r="G542" s="54" t="n">
        <x:v>46220</x:v>
      </x:c>
      <x:c r="H542" s="14" t="str">
        <x:f>IF(E542&lt;0,"Componente negativo — manter e investigar","OK")</x:f>
        <x:v>OK</x:v>
      </x:c>
    </x:row>
    <x:row r="543">
      <x:c r="A543" s="51" t="n">
        <x:v>39814</x:v>
      </x:c>
      <x:c r="B543" s="14" t="str">
        <x:v>Centro-Oeste</x:v>
      </x:c>
      <x:c r="C543" s="14" t="str">
        <x:v>SUDESTE / CENTRO - OESTE</x:v>
      </x:c>
      <x:c r="D543" s="53" t="str">
        <x:v>Cativo</x:v>
      </x:c>
      <x:c r="E543" s="49" t="n">
        <x:v>647896</x:v>
      </x:c>
      <x:c r="F543" s="52" t="n">
        <x:v>3867510</x:v>
      </x:c>
      <x:c r="G543" s="54" t="n">
        <x:v>46220</x:v>
      </x:c>
      <x:c r="H543" s="14" t="str">
        <x:f>IF(E543&lt;0,"Componente negativo — manter e investigar","OK")</x:f>
        <x:v>OK</x:v>
      </x:c>
    </x:row>
    <x:row r="544">
      <x:c r="A544" s="51" t="n">
        <x:v>39814</x:v>
      </x:c>
      <x:c r="B544" s="14" t="str">
        <x:v>Nordeste</x:v>
      </x:c>
      <x:c r="C544" s="14" t="str">
        <x:v>NORDESTE</x:v>
      </x:c>
      <x:c r="D544" s="53" t="str">
        <x:v>Cativo</x:v>
      </x:c>
      <x:c r="E544" s="49" t="n">
        <x:v>1307720</x:v>
      </x:c>
      <x:c r="F544" s="52" t="n">
        <x:v>12376461</x:v>
      </x:c>
      <x:c r="G544" s="54" t="n">
        <x:v>46220</x:v>
      </x:c>
      <x:c r="H544" s="14" t="str">
        <x:f>IF(E544&lt;0,"Componente negativo — manter e investigar","OK")</x:f>
        <x:v>OK</x:v>
      </x:c>
    </x:row>
    <x:row r="545">
      <x:c r="A545" s="51" t="n">
        <x:v>39814</x:v>
      </x:c>
      <x:c r="B545" s="14" t="str">
        <x:v>Nordeste</x:v>
      </x:c>
      <x:c r="C545" s="14" t="str">
        <x:v>NORTE INTERLIGADO</x:v>
      </x:c>
      <x:c r="D545" s="53" t="str">
        <x:v>Cativo</x:v>
      </x:c>
      <x:c r="E545" s="49" t="n">
        <x:v>140087</x:v>
      </x:c>
      <x:c r="F545" s="52" t="n">
        <x:v>1377216</x:v>
      </x:c>
      <x:c r="G545" s="54" t="n">
        <x:v>46220</x:v>
      </x:c>
      <x:c r="H545" s="14" t="str">
        <x:f>IF(E545&lt;0,"Componente negativo — manter e investigar","OK")</x:f>
        <x:v>OK</x:v>
      </x:c>
    </x:row>
    <x:row r="546">
      <x:c r="A546" s="51" t="n">
        <x:v>39814</x:v>
      </x:c>
      <x:c r="B546" s="14" t="str">
        <x:v>Nordeste</x:v>
      </x:c>
      <x:c r="C546" s="14" t="str">
        <x:v>SISTEMAS ISOLADOS</x:v>
      </x:c>
      <x:c r="D546" s="53" t="str">
        <x:v>Cativo</x:v>
      </x:c>
      <x:c r="E546" s="49" t="n">
        <x:v>167</x:v>
      </x:c>
      <x:c r="F546" s="52" t="n">
        <x:v>475</x:v>
      </x:c>
      <x:c r="G546" s="54" t="n">
        <x:v>46220</x:v>
      </x:c>
      <x:c r="H546" s="14" t="str">
        <x:f>IF(E546&lt;0,"Componente negativo — manter e investigar","OK")</x:f>
        <x:v>OK</x:v>
      </x:c>
    </x:row>
    <x:row r="547">
      <x:c r="A547" s="51" t="n">
        <x:v>39814</x:v>
      </x:c>
      <x:c r="B547" s="14" t="str">
        <x:v>Norte</x:v>
      </x:c>
      <x:c r="C547" s="14" t="str">
        <x:v>NORTE INTERLIGADO</x:v>
      </x:c>
      <x:c r="D547" s="53" t="str">
        <x:v>Cativo</x:v>
      </x:c>
      <x:c r="E547" s="49" t="n">
        <x:v>202811</x:v>
      </x:c>
      <x:c r="F547" s="52" t="n">
        <x:v>1512795</x:v>
      </x:c>
      <x:c r="G547" s="54" t="n">
        <x:v>46220</x:v>
      </x:c>
      <x:c r="H547" s="14" t="str">
        <x:f>IF(E547&lt;0,"Componente negativo — manter e investigar","OK")</x:f>
        <x:v>OK</x:v>
      </x:c>
    </x:row>
    <x:row r="548">
      <x:c r="A548" s="51" t="n">
        <x:v>39814</x:v>
      </x:c>
      <x:c r="B548" s="14" t="str">
        <x:v>Norte</x:v>
      </x:c>
      <x:c r="C548" s="14" t="str">
        <x:v>SISTEMAS ISOLADOS</x:v>
      </x:c>
      <x:c r="D548" s="53" t="str">
        <x:v>Cativo</x:v>
      </x:c>
      <x:c r="E548" s="49" t="n">
        <x:v>234903</x:v>
      </x:c>
      <x:c r="F548" s="52" t="n">
        <x:v>1344543</x:v>
      </x:c>
      <x:c r="G548" s="54" t="n">
        <x:v>46220</x:v>
      </x:c>
      <x:c r="H548" s="14" t="str">
        <x:f>IF(E548&lt;0,"Componente negativo — manter e investigar","OK")</x:f>
        <x:v>OK</x:v>
      </x:c>
    </x:row>
    <x:row r="549">
      <x:c r="A549" s="51" t="n">
        <x:v>39814</x:v>
      </x:c>
      <x:c r="B549" s="14" t="str">
        <x:v>Sudeste</x:v>
      </x:c>
      <x:c r="C549" s="14" t="str">
        <x:v>SUDESTE / CENTRO - OESTE</x:v>
      </x:c>
      <x:c r="D549" s="53" t="str">
        <x:v>Cativo</x:v>
      </x:c>
      <x:c r="E549" s="49" t="n">
        <x:v>4648272</x:v>
      </x:c>
      <x:c r="F549" s="52" t="n">
        <x:v>26009756</x:v>
      </x:c>
      <x:c r="G549" s="54" t="n">
        <x:v>46220</x:v>
      </x:c>
      <x:c r="H549" s="14" t="str">
        <x:f>IF(E549&lt;0,"Componente negativo — manter e investigar","OK")</x:f>
        <x:v>OK</x:v>
      </x:c>
    </x:row>
    <x:row r="550">
      <x:c r="A550" s="51" t="n">
        <x:v>39814</x:v>
      </x:c>
      <x:c r="B550" s="14" t="str">
        <x:v>Sul</x:v>
      </x:c>
      <x:c r="C550" s="14" t="str">
        <x:v>SUL</x:v>
      </x:c>
      <x:c r="D550" s="53" t="str">
        <x:v>Cativo</x:v>
      </x:c>
      <x:c r="E550" s="49" t="n">
        <x:v>1419724</x:v>
      </x:c>
      <x:c r="F550" s="52" t="n">
        <x:v>7750023</x:v>
      </x:c>
      <x:c r="G550" s="54" t="n">
        <x:v>46220</x:v>
      </x:c>
      <x:c r="H550" s="14" t="str">
        <x:f>IF(E550&lt;0,"Componente negativo — manter e investigar","OK")</x:f>
        <x:v>OK</x:v>
      </x:c>
    </x:row>
    <x:row r="551">
      <x:c r="A551" s="51" t="n">
        <x:v>39845</x:v>
      </x:c>
      <x:c r="B551" s="14" t="str">
        <x:v>Centro-Oeste</x:v>
      </x:c>
      <x:c r="C551" s="14" t="str">
        <x:v>SISTEMAS ISOLADOS</x:v>
      </x:c>
      <x:c r="D551" s="53" t="str">
        <x:v>Cativo</x:v>
      </x:c>
      <x:c r="E551" s="49" t="n">
        <x:v>2869</x:v>
      </x:c>
      <x:c r="F551" s="52" t="n">
        <x:v>19831</x:v>
      </x:c>
      <x:c r="G551" s="54" t="n">
        <x:v>46220</x:v>
      </x:c>
      <x:c r="H551" s="14" t="str">
        <x:f>IF(E551&lt;0,"Componente negativo — manter e investigar","OK")</x:f>
        <x:v>OK</x:v>
      </x:c>
    </x:row>
    <x:row r="552">
      <x:c r="A552" s="51" t="n">
        <x:v>39845</x:v>
      </x:c>
      <x:c r="B552" s="14" t="str">
        <x:v>Centro-Oeste</x:v>
      </x:c>
      <x:c r="C552" s="14" t="str">
        <x:v>SUDESTE / CENTRO - OESTE</x:v>
      </x:c>
      <x:c r="D552" s="53" t="str">
        <x:v>Cativo</x:v>
      </x:c>
      <x:c r="E552" s="49" t="n">
        <x:v>598201</x:v>
      </x:c>
      <x:c r="F552" s="52" t="n">
        <x:v>3868349</x:v>
      </x:c>
      <x:c r="G552" s="54" t="n">
        <x:v>46220</x:v>
      </x:c>
      <x:c r="H552" s="14" t="str">
        <x:f>IF(E552&lt;0,"Componente negativo — manter e investigar","OK")</x:f>
        <x:v>OK</x:v>
      </x:c>
    </x:row>
    <x:row r="553">
      <x:c r="A553" s="51" t="n">
        <x:v>39845</x:v>
      </x:c>
      <x:c r="B553" s="14" t="str">
        <x:v>Nordeste</x:v>
      </x:c>
      <x:c r="C553" s="14" t="str">
        <x:v>NORDESTE</x:v>
      </x:c>
      <x:c r="D553" s="53" t="str">
        <x:v>Cativo</x:v>
      </x:c>
      <x:c r="E553" s="49" t="n">
        <x:v>1243616</x:v>
      </x:c>
      <x:c r="F553" s="52" t="n">
        <x:v>12403202</x:v>
      </x:c>
      <x:c r="G553" s="54" t="n">
        <x:v>46220</x:v>
      </x:c>
      <x:c r="H553" s="14" t="str">
        <x:f>IF(E553&lt;0,"Componente negativo — manter e investigar","OK")</x:f>
        <x:v>OK</x:v>
      </x:c>
    </x:row>
    <x:row r="554">
      <x:c r="A554" s="51" t="n">
        <x:v>39845</x:v>
      </x:c>
      <x:c r="B554" s="14" t="str">
        <x:v>Nordeste</x:v>
      </x:c>
      <x:c r="C554" s="14" t="str">
        <x:v>NORTE INTERLIGADO</x:v>
      </x:c>
      <x:c r="D554" s="53" t="str">
        <x:v>Cativo</x:v>
      </x:c>
      <x:c r="E554" s="49" t="n">
        <x:v>125280</x:v>
      </x:c>
      <x:c r="F554" s="52" t="n">
        <x:v>1378569</x:v>
      </x:c>
      <x:c r="G554" s="54" t="n">
        <x:v>46220</x:v>
      </x:c>
      <x:c r="H554" s="14" t="str">
        <x:f>IF(E554&lt;0,"Componente negativo — manter e investigar","OK")</x:f>
        <x:v>OK</x:v>
      </x:c>
    </x:row>
    <x:row r="555">
      <x:c r="A555" s="51" t="n">
        <x:v>39845</x:v>
      </x:c>
      <x:c r="B555" s="14" t="str">
        <x:v>Nordeste</x:v>
      </x:c>
      <x:c r="C555" s="14" t="str">
        <x:v>SISTEMAS ISOLADOS</x:v>
      </x:c>
      <x:c r="D555" s="53" t="str">
        <x:v>Cativo</x:v>
      </x:c>
      <x:c r="E555" s="49" t="n">
        <x:v>178</x:v>
      </x:c>
      <x:c r="F555" s="52" t="n">
        <x:v>497</x:v>
      </x:c>
      <x:c r="G555" s="54" t="n">
        <x:v>46220</x:v>
      </x:c>
      <x:c r="H555" s="14" t="str">
        <x:f>IF(E555&lt;0,"Componente negativo — manter e investigar","OK")</x:f>
        <x:v>OK</x:v>
      </x:c>
    </x:row>
    <x:row r="556">
      <x:c r="A556" s="51" t="n">
        <x:v>39845</x:v>
      </x:c>
      <x:c r="B556" s="14" t="str">
        <x:v>Norte</x:v>
      </x:c>
      <x:c r="C556" s="14" t="str">
        <x:v>NORTE INTERLIGADO</x:v>
      </x:c>
      <x:c r="D556" s="53" t="str">
        <x:v>Cativo</x:v>
      </x:c>
      <x:c r="E556" s="49" t="n">
        <x:v>183497</x:v>
      </x:c>
      <x:c r="F556" s="52" t="n">
        <x:v>1522358</x:v>
      </x:c>
      <x:c r="G556" s="54" t="n">
        <x:v>46220</x:v>
      </x:c>
      <x:c r="H556" s="14" t="str">
        <x:f>IF(E556&lt;0,"Componente negativo — manter e investigar","OK")</x:f>
        <x:v>OK</x:v>
      </x:c>
    </x:row>
    <x:row r="557">
      <x:c r="A557" s="51" t="n">
        <x:v>39845</x:v>
      </x:c>
      <x:c r="B557" s="14" t="str">
        <x:v>Norte</x:v>
      </x:c>
      <x:c r="C557" s="14" t="str">
        <x:v>SISTEMAS ISOLADOS</x:v>
      </x:c>
      <x:c r="D557" s="53" t="str">
        <x:v>Cativo</x:v>
      </x:c>
      <x:c r="E557" s="49" t="n">
        <x:v>216611</x:v>
      </x:c>
      <x:c r="F557" s="52" t="n">
        <x:v>1350363</x:v>
      </x:c>
      <x:c r="G557" s="54" t="n">
        <x:v>46220</x:v>
      </x:c>
      <x:c r="H557" s="14" t="str">
        <x:f>IF(E557&lt;0,"Componente negativo — manter e investigar","OK")</x:f>
        <x:v>OK</x:v>
      </x:c>
    </x:row>
    <x:row r="558">
      <x:c r="A558" s="51" t="n">
        <x:v>39845</x:v>
      </x:c>
      <x:c r="B558" s="14" t="str">
        <x:v>Sudeste</x:v>
      </x:c>
      <x:c r="C558" s="14" t="str">
        <x:v>SUDESTE / CENTRO - OESTE</x:v>
      </x:c>
      <x:c r="D558" s="53" t="str">
        <x:v>Cativo</x:v>
      </x:c>
      <x:c r="E558" s="49" t="n">
        <x:v>4425160</x:v>
      </x:c>
      <x:c r="F558" s="52" t="n">
        <x:v>25998455</x:v>
      </x:c>
      <x:c r="G558" s="54" t="n">
        <x:v>46220</x:v>
      </x:c>
      <x:c r="H558" s="14" t="str">
        <x:f>IF(E558&lt;0,"Componente negativo — manter e investigar","OK")</x:f>
        <x:v>OK</x:v>
      </x:c>
    </x:row>
    <x:row r="559">
      <x:c r="A559" s="51" t="n">
        <x:v>39845</x:v>
      </x:c>
      <x:c r="B559" s="14" t="str">
        <x:v>Sul</x:v>
      </x:c>
      <x:c r="C559" s="14" t="str">
        <x:v>SUL</x:v>
      </x:c>
      <x:c r="D559" s="53" t="str">
        <x:v>Cativo</x:v>
      </x:c>
      <x:c r="E559" s="49" t="n">
        <x:v>1354039</x:v>
      </x:c>
      <x:c r="F559" s="52" t="n">
        <x:v>7728255</x:v>
      </x:c>
      <x:c r="G559" s="54" t="n">
        <x:v>46220</x:v>
      </x:c>
      <x:c r="H559" s="14" t="str">
        <x:f>IF(E559&lt;0,"Componente negativo — manter e investigar","OK")</x:f>
        <x:v>OK</x:v>
      </x:c>
    </x:row>
    <x:row r="560">
      <x:c r="A560" s="51" t="n">
        <x:v>39873</x:v>
      </x:c>
      <x:c r="B560" s="14" t="str">
        <x:v>Centro-Oeste</x:v>
      </x:c>
      <x:c r="C560" s="14" t="str">
        <x:v>SISTEMAS ISOLADOS</x:v>
      </x:c>
      <x:c r="D560" s="53" t="str">
        <x:v>Cativo</x:v>
      </x:c>
      <x:c r="E560" s="49" t="n">
        <x:v>2300</x:v>
      </x:c>
      <x:c r="F560" s="52" t="n">
        <x:v>15437</x:v>
      </x:c>
      <x:c r="G560" s="54" t="n">
        <x:v>46220</x:v>
      </x:c>
      <x:c r="H560" s="14" t="str">
        <x:f>IF(E560&lt;0,"Componente negativo — manter e investigar","OK")</x:f>
        <x:v>OK</x:v>
      </x:c>
    </x:row>
    <x:row r="561">
      <x:c r="A561" s="51" t="n">
        <x:v>39873</x:v>
      </x:c>
      <x:c r="B561" s="14" t="str">
        <x:v>Centro-Oeste</x:v>
      </x:c>
      <x:c r="C561" s="14" t="str">
        <x:v>SUDESTE / CENTRO - OESTE</x:v>
      </x:c>
      <x:c r="D561" s="53" t="str">
        <x:v>Cativo</x:v>
      </x:c>
      <x:c r="E561" s="49" t="n">
        <x:v>616607</x:v>
      </x:c>
      <x:c r="F561" s="52" t="n">
        <x:v>3871250</x:v>
      </x:c>
      <x:c r="G561" s="54" t="n">
        <x:v>46220</x:v>
      </x:c>
      <x:c r="H561" s="14" t="str">
        <x:f>IF(E561&lt;0,"Componente negativo — manter e investigar","OK")</x:f>
        <x:v>OK</x:v>
      </x:c>
    </x:row>
    <x:row r="562">
      <x:c r="A562" s="51" t="n">
        <x:v>39873</x:v>
      </x:c>
      <x:c r="B562" s="14" t="str">
        <x:v>Nordeste</x:v>
      </x:c>
      <x:c r="C562" s="14" t="str">
        <x:v>NORDESTE</x:v>
      </x:c>
      <x:c r="D562" s="53" t="str">
        <x:v>Cativo</x:v>
      </x:c>
      <x:c r="E562" s="49" t="n">
        <x:v>1295891</x:v>
      </x:c>
      <x:c r="F562" s="52" t="n">
        <x:v>12481549</x:v>
      </x:c>
      <x:c r="G562" s="54" t="n">
        <x:v>46220</x:v>
      </x:c>
      <x:c r="H562" s="14" t="str">
        <x:f>IF(E562&lt;0,"Componente negativo — manter e investigar","OK")</x:f>
        <x:v>OK</x:v>
      </x:c>
    </x:row>
    <x:row r="563">
      <x:c r="A563" s="51" t="n">
        <x:v>39873</x:v>
      </x:c>
      <x:c r="B563" s="14" t="str">
        <x:v>Nordeste</x:v>
      </x:c>
      <x:c r="C563" s="14" t="str">
        <x:v>NORTE INTERLIGADO</x:v>
      </x:c>
      <x:c r="D563" s="53" t="str">
        <x:v>Cativo</x:v>
      </x:c>
      <x:c r="E563" s="49" t="n">
        <x:v>117675</x:v>
      </x:c>
      <x:c r="F563" s="52" t="n">
        <x:v>1383826</x:v>
      </x:c>
      <x:c r="G563" s="54" t="n">
        <x:v>46220</x:v>
      </x:c>
      <x:c r="H563" s="14" t="str">
        <x:f>IF(E563&lt;0,"Componente negativo — manter e investigar","OK")</x:f>
        <x:v>OK</x:v>
      </x:c>
    </x:row>
    <x:row r="564">
      <x:c r="A564" s="51" t="n">
        <x:v>39873</x:v>
      </x:c>
      <x:c r="B564" s="14" t="str">
        <x:v>Nordeste</x:v>
      </x:c>
      <x:c r="C564" s="14" t="str">
        <x:v>SISTEMAS ISOLADOS</x:v>
      </x:c>
      <x:c r="D564" s="53" t="str">
        <x:v>Cativo</x:v>
      </x:c>
      <x:c r="E564" s="49" t="n">
        <x:v>194</x:v>
      </x:c>
      <x:c r="F564" s="52" t="n">
        <x:v>490</x:v>
      </x:c>
      <x:c r="G564" s="54" t="n">
        <x:v>46220</x:v>
      </x:c>
      <x:c r="H564" s="14" t="str">
        <x:f>IF(E564&lt;0,"Componente negativo — manter e investigar","OK")</x:f>
        <x:v>OK</x:v>
      </x:c>
    </x:row>
    <x:row r="565">
      <x:c r="A565" s="51" t="n">
        <x:v>39873</x:v>
      </x:c>
      <x:c r="B565" s="14" t="str">
        <x:v>Norte</x:v>
      </x:c>
      <x:c r="C565" s="14" t="str">
        <x:v>NORTE INTERLIGADO</x:v>
      </x:c>
      <x:c r="D565" s="53" t="str">
        <x:v>Cativo</x:v>
      </x:c>
      <x:c r="E565" s="49" t="n">
        <x:v>178520</x:v>
      </x:c>
      <x:c r="F565" s="52" t="n">
        <x:v>1529349</x:v>
      </x:c>
      <x:c r="G565" s="54" t="n">
        <x:v>46220</x:v>
      </x:c>
      <x:c r="H565" s="14" t="str">
        <x:f>IF(E565&lt;0,"Componente negativo — manter e investigar","OK")</x:f>
        <x:v>OK</x:v>
      </x:c>
    </x:row>
    <x:row r="566">
      <x:c r="A566" s="51" t="n">
        <x:v>39873</x:v>
      </x:c>
      <x:c r="B566" s="14" t="str">
        <x:v>Norte</x:v>
      </x:c>
      <x:c r="C566" s="14" t="str">
        <x:v>SISTEMAS ISOLADOS</x:v>
      </x:c>
      <x:c r="D566" s="53" t="str">
        <x:v>Cativo</x:v>
      </x:c>
      <x:c r="E566" s="49" t="n">
        <x:v>214537</x:v>
      </x:c>
      <x:c r="F566" s="52" t="n">
        <x:v>1355251</x:v>
      </x:c>
      <x:c r="G566" s="54" t="n">
        <x:v>46220</x:v>
      </x:c>
      <x:c r="H566" s="14" t="str">
        <x:f>IF(E566&lt;0,"Componente negativo — manter e investigar","OK")</x:f>
        <x:v>OK</x:v>
      </x:c>
    </x:row>
    <x:row r="567">
      <x:c r="A567" s="51" t="n">
        <x:v>39873</x:v>
      </x:c>
      <x:c r="B567" s="14" t="str">
        <x:v>Sudeste</x:v>
      </x:c>
      <x:c r="C567" s="14" t="str">
        <x:v>SUDESTE / CENTRO - OESTE</x:v>
      </x:c>
      <x:c r="D567" s="53" t="str">
        <x:v>Cativo</x:v>
      </x:c>
      <x:c r="E567" s="49" t="n">
        <x:v>4666872</x:v>
      </x:c>
      <x:c r="F567" s="52" t="n">
        <x:v>26220258</x:v>
      </x:c>
      <x:c r="G567" s="54" t="n">
        <x:v>46220</x:v>
      </x:c>
      <x:c r="H567" s="14" t="str">
        <x:f>IF(E567&lt;0,"Componente negativo — manter e investigar","OK")</x:f>
        <x:v>OK</x:v>
      </x:c>
    </x:row>
    <x:row r="568">
      <x:c r="A568" s="51" t="n">
        <x:v>39873</x:v>
      </x:c>
      <x:c r="B568" s="14" t="str">
        <x:v>Sul</x:v>
      </x:c>
      <x:c r="C568" s="14" t="str">
        <x:v>SUL</x:v>
      </x:c>
      <x:c r="D568" s="53" t="str">
        <x:v>Cativo</x:v>
      </x:c>
      <x:c r="E568" s="49" t="n">
        <x:v>1397087</x:v>
      </x:c>
      <x:c r="F568" s="52" t="n">
        <x:v>7773536</x:v>
      </x:c>
      <x:c r="G568" s="54" t="n">
        <x:v>46220</x:v>
      </x:c>
      <x:c r="H568" s="14" t="str">
        <x:f>IF(E568&lt;0,"Componente negativo — manter e investigar","OK")</x:f>
        <x:v>OK</x:v>
      </x:c>
    </x:row>
    <x:row r="569">
      <x:c r="A569" s="51" t="n">
        <x:v>39904</x:v>
      </x:c>
      <x:c r="B569" s="14" t="str">
        <x:v>Centro-Oeste</x:v>
      </x:c>
      <x:c r="C569" s="14" t="str">
        <x:v>SISTEMAS ISOLADOS</x:v>
      </x:c>
      <x:c r="D569" s="53" t="str">
        <x:v>Cativo</x:v>
      </x:c>
      <x:c r="E569" s="49" t="n">
        <x:v>2294</x:v>
      </x:c>
      <x:c r="F569" s="52" t="n">
        <x:v>15473</x:v>
      </x:c>
      <x:c r="G569" s="54" t="n">
        <x:v>46220</x:v>
      </x:c>
      <x:c r="H569" s="14" t="str">
        <x:f>IF(E569&lt;0,"Componente negativo — manter e investigar","OK")</x:f>
        <x:v>OK</x:v>
      </x:c>
    </x:row>
    <x:row r="570">
      <x:c r="A570" s="51" t="n">
        <x:v>39904</x:v>
      </x:c>
      <x:c r="B570" s="14" t="str">
        <x:v>Centro-Oeste</x:v>
      </x:c>
      <x:c r="C570" s="14" t="str">
        <x:v>SUDESTE / CENTRO - OESTE</x:v>
      </x:c>
      <x:c r="D570" s="53" t="str">
        <x:v>Cativo</x:v>
      </x:c>
      <x:c r="E570" s="49" t="n">
        <x:v>638021</x:v>
      </x:c>
      <x:c r="F570" s="52" t="n">
        <x:v>3875747</x:v>
      </x:c>
      <x:c r="G570" s="54" t="n">
        <x:v>46220</x:v>
      </x:c>
      <x:c r="H570" s="14" t="str">
        <x:f>IF(E570&lt;0,"Componente negativo — manter e investigar","OK")</x:f>
        <x:v>OK</x:v>
      </x:c>
    </x:row>
    <x:row r="571">
      <x:c r="A571" s="51" t="n">
        <x:v>39904</x:v>
      </x:c>
      <x:c r="B571" s="14" t="str">
        <x:v>Nordeste</x:v>
      </x:c>
      <x:c r="C571" s="14" t="str">
        <x:v>NORDESTE</x:v>
      </x:c>
      <x:c r="D571" s="53" t="str">
        <x:v>Cativo</x:v>
      </x:c>
      <x:c r="E571" s="49" t="n">
        <x:v>1333156</x:v>
      </x:c>
      <x:c r="F571" s="52" t="n">
        <x:v>12504667</x:v>
      </x:c>
      <x:c r="G571" s="54" t="n">
        <x:v>46220</x:v>
      </x:c>
      <x:c r="H571" s="14" t="str">
        <x:f>IF(E571&lt;0,"Componente negativo — manter e investigar","OK")</x:f>
        <x:v>OK</x:v>
      </x:c>
    </x:row>
    <x:row r="572">
      <x:c r="A572" s="51" t="n">
        <x:v>39904</x:v>
      </x:c>
      <x:c r="B572" s="14" t="str">
        <x:v>Nordeste</x:v>
      </x:c>
      <x:c r="C572" s="14" t="str">
        <x:v>NORTE INTERLIGADO</x:v>
      </x:c>
      <x:c r="D572" s="53" t="str">
        <x:v>Cativo</x:v>
      </x:c>
      <x:c r="E572" s="49" t="n">
        <x:v>122058</x:v>
      </x:c>
      <x:c r="F572" s="52" t="n">
        <x:v>1400494</x:v>
      </x:c>
      <x:c r="G572" s="54" t="n">
        <x:v>46220</x:v>
      </x:c>
      <x:c r="H572" s="14" t="str">
        <x:f>IF(E572&lt;0,"Componente negativo — manter e investigar","OK")</x:f>
        <x:v>OK</x:v>
      </x:c>
    </x:row>
    <x:row r="573">
      <x:c r="A573" s="51" t="n">
        <x:v>39904</x:v>
      </x:c>
      <x:c r="B573" s="14" t="str">
        <x:v>Nordeste</x:v>
      </x:c>
      <x:c r="C573" s="14" t="str">
        <x:v>SISTEMAS ISOLADOS</x:v>
      </x:c>
      <x:c r="D573" s="53" t="str">
        <x:v>Cativo</x:v>
      </x:c>
      <x:c r="E573" s="49" t="n">
        <x:v>181</x:v>
      </x:c>
      <x:c r="F573" s="52" t="n">
        <x:v>464</x:v>
      </x:c>
      <x:c r="G573" s="54" t="n">
        <x:v>46220</x:v>
      </x:c>
      <x:c r="H573" s="14" t="str">
        <x:f>IF(E573&lt;0,"Componente negativo — manter e investigar","OK")</x:f>
        <x:v>OK</x:v>
      </x:c>
    </x:row>
    <x:row r="574">
      <x:c r="A574" s="51" t="n">
        <x:v>39904</x:v>
      </x:c>
      <x:c r="B574" s="14" t="str">
        <x:v>Norte</x:v>
      </x:c>
      <x:c r="C574" s="14" t="str">
        <x:v>NORTE INTERLIGADO</x:v>
      </x:c>
      <x:c r="D574" s="53" t="str">
        <x:v>Cativo</x:v>
      </x:c>
      <x:c r="E574" s="49" t="n">
        <x:v>188487</x:v>
      </x:c>
      <x:c r="F574" s="52" t="n">
        <x:v>1539202</x:v>
      </x:c>
      <x:c r="G574" s="54" t="n">
        <x:v>46220</x:v>
      </x:c>
      <x:c r="H574" s="14" t="str">
        <x:f>IF(E574&lt;0,"Componente negativo — manter e investigar","OK")</x:f>
        <x:v>OK</x:v>
      </x:c>
    </x:row>
    <x:row r="575">
      <x:c r="A575" s="51" t="n">
        <x:v>39904</x:v>
      </x:c>
      <x:c r="B575" s="14" t="str">
        <x:v>Norte</x:v>
      </x:c>
      <x:c r="C575" s="14" t="str">
        <x:v>SISTEMAS ISOLADOS</x:v>
      </x:c>
      <x:c r="D575" s="53" t="str">
        <x:v>Cativo</x:v>
      </x:c>
      <x:c r="E575" s="49" t="n">
        <x:v>224556</x:v>
      </x:c>
      <x:c r="F575" s="52" t="n">
        <x:v>1358938</x:v>
      </x:c>
      <x:c r="G575" s="54" t="n">
        <x:v>46220</x:v>
      </x:c>
      <x:c r="H575" s="14" t="str">
        <x:f>IF(E575&lt;0,"Componente negativo — manter e investigar","OK")</x:f>
        <x:v>OK</x:v>
      </x:c>
    </x:row>
    <x:row r="576">
      <x:c r="A576" s="51" t="n">
        <x:v>39904</x:v>
      </x:c>
      <x:c r="B576" s="14" t="str">
        <x:v>Sudeste</x:v>
      </x:c>
      <x:c r="C576" s="14" t="str">
        <x:v>SUDESTE / CENTRO - OESTE</x:v>
      </x:c>
      <x:c r="D576" s="53" t="str">
        <x:v>Cativo</x:v>
      </x:c>
      <x:c r="E576" s="49" t="n">
        <x:v>4574496</x:v>
      </x:c>
      <x:c r="F576" s="52" t="n">
        <x:v>26195353</x:v>
      </x:c>
      <x:c r="G576" s="54" t="n">
        <x:v>46220</x:v>
      </x:c>
      <x:c r="H576" s="14" t="str">
        <x:f>IF(E576&lt;0,"Componente negativo — manter e investigar","OK")</x:f>
        <x:v>OK</x:v>
      </x:c>
    </x:row>
    <x:row r="577">
      <x:c r="A577" s="51" t="n">
        <x:v>39904</x:v>
      </x:c>
      <x:c r="B577" s="14" t="str">
        <x:v>Sul</x:v>
      </x:c>
      <x:c r="C577" s="14" t="str">
        <x:v>SUL</x:v>
      </x:c>
      <x:c r="D577" s="53" t="str">
        <x:v>Cativo</x:v>
      </x:c>
      <x:c r="E577" s="49" t="n">
        <x:v>1388854</x:v>
      </x:c>
      <x:c r="F577" s="52" t="n">
        <x:v>7821534</x:v>
      </x:c>
      <x:c r="G577" s="54" t="n">
        <x:v>46220</x:v>
      </x:c>
      <x:c r="H577" s="14" t="str">
        <x:f>IF(E577&lt;0,"Componente negativo — manter e investigar","OK")</x:f>
        <x:v>OK</x:v>
      </x:c>
    </x:row>
    <x:row r="578">
      <x:c r="A578" s="51" t="n">
        <x:v>39934</x:v>
      </x:c>
      <x:c r="B578" s="14" t="str">
        <x:v>Centro-Oeste</x:v>
      </x:c>
      <x:c r="C578" s="14" t="str">
        <x:v>SISTEMAS ISOLADOS</x:v>
      </x:c>
      <x:c r="D578" s="53" t="str">
        <x:v>Cativo</x:v>
      </x:c>
      <x:c r="E578" s="49" t="n">
        <x:v>2281</x:v>
      </x:c>
      <x:c r="F578" s="52" t="n">
        <x:v>15485</x:v>
      </x:c>
      <x:c r="G578" s="54" t="n">
        <x:v>46220</x:v>
      </x:c>
      <x:c r="H578" s="14" t="str">
        <x:f>IF(E578&lt;0,"Componente negativo — manter e investigar","OK")</x:f>
        <x:v>OK</x:v>
      </x:c>
    </x:row>
    <x:row r="579">
      <x:c r="A579" s="51" t="n">
        <x:v>39934</x:v>
      </x:c>
      <x:c r="B579" s="14" t="str">
        <x:v>Centro-Oeste</x:v>
      </x:c>
      <x:c r="C579" s="14" t="str">
        <x:v>SUDESTE / CENTRO - OESTE</x:v>
      </x:c>
      <x:c r="D579" s="53" t="str">
        <x:v>Cativo</x:v>
      </x:c>
      <x:c r="E579" s="49" t="n">
        <x:v>623577</x:v>
      </x:c>
      <x:c r="F579" s="52" t="n">
        <x:v>3888461</x:v>
      </x:c>
      <x:c r="G579" s="54" t="n">
        <x:v>46220</x:v>
      </x:c>
      <x:c r="H579" s="14" t="str">
        <x:f>IF(E579&lt;0,"Componente negativo — manter e investigar","OK")</x:f>
        <x:v>OK</x:v>
      </x:c>
    </x:row>
    <x:row r="580">
      <x:c r="A580" s="51" t="n">
        <x:v>39934</x:v>
      </x:c>
      <x:c r="B580" s="14" t="str">
        <x:v>Nordeste</x:v>
      </x:c>
      <x:c r="C580" s="14" t="str">
        <x:v>NORDESTE</x:v>
      </x:c>
      <x:c r="D580" s="53" t="str">
        <x:v>Cativo</x:v>
      </x:c>
      <x:c r="E580" s="49" t="n">
        <x:v>1273650</x:v>
      </x:c>
      <x:c r="F580" s="52" t="n">
        <x:v>12543967</x:v>
      </x:c>
      <x:c r="G580" s="54" t="n">
        <x:v>46220</x:v>
      </x:c>
      <x:c r="H580" s="14" t="str">
        <x:f>IF(E580&lt;0,"Componente negativo — manter e investigar","OK")</x:f>
        <x:v>OK</x:v>
      </x:c>
    </x:row>
    <x:row r="581">
      <x:c r="A581" s="51" t="n">
        <x:v>39934</x:v>
      </x:c>
      <x:c r="B581" s="14" t="str">
        <x:v>Nordeste</x:v>
      </x:c>
      <x:c r="C581" s="14" t="str">
        <x:v>NORTE INTERLIGADO</x:v>
      </x:c>
      <x:c r="D581" s="53" t="str">
        <x:v>Cativo</x:v>
      </x:c>
      <x:c r="E581" s="49" t="n">
        <x:v>115460</x:v>
      </x:c>
      <x:c r="F581" s="52" t="n">
        <x:v>1394579</x:v>
      </x:c>
      <x:c r="G581" s="54" t="n">
        <x:v>46220</x:v>
      </x:c>
      <x:c r="H581" s="14" t="str">
        <x:f>IF(E581&lt;0,"Componente negativo — manter e investigar","OK")</x:f>
        <x:v>OK</x:v>
      </x:c>
    </x:row>
    <x:row r="582">
      <x:c r="A582" s="51" t="n">
        <x:v>39934</x:v>
      </x:c>
      <x:c r="B582" s="14" t="str">
        <x:v>Nordeste</x:v>
      </x:c>
      <x:c r="C582" s="14" t="str">
        <x:v>SISTEMAS ISOLADOS</x:v>
      </x:c>
      <x:c r="D582" s="53" t="str">
        <x:v>Cativo</x:v>
      </x:c>
      <x:c r="E582" s="49" t="n">
        <x:v>173</x:v>
      </x:c>
      <x:c r="F582" s="52" t="n">
        <x:v>463</x:v>
      </x:c>
      <x:c r="G582" s="54" t="n">
        <x:v>46220</x:v>
      </x:c>
      <x:c r="H582" s="14" t="str">
        <x:f>IF(E582&lt;0,"Componente negativo — manter e investigar","OK")</x:f>
        <x:v>OK</x:v>
      </x:c>
    </x:row>
    <x:row r="583">
      <x:c r="A583" s="51" t="n">
        <x:v>39934</x:v>
      </x:c>
      <x:c r="B583" s="14" t="str">
        <x:v>Norte</x:v>
      </x:c>
      <x:c r="C583" s="14" t="str">
        <x:v>NORTE INTERLIGADO</x:v>
      </x:c>
      <x:c r="D583" s="53" t="str">
        <x:v>Cativo</x:v>
      </x:c>
      <x:c r="E583" s="49" t="n">
        <x:v>178598</x:v>
      </x:c>
      <x:c r="F583" s="52" t="n">
        <x:v>1549732</x:v>
      </x:c>
      <x:c r="G583" s="54" t="n">
        <x:v>46220</x:v>
      </x:c>
      <x:c r="H583" s="14" t="str">
        <x:f>IF(E583&lt;0,"Componente negativo — manter e investigar","OK")</x:f>
        <x:v>OK</x:v>
      </x:c>
    </x:row>
    <x:row r="584">
      <x:c r="A584" s="51" t="n">
        <x:v>39934</x:v>
      </x:c>
      <x:c r="B584" s="14" t="str">
        <x:v>Norte</x:v>
      </x:c>
      <x:c r="C584" s="14" t="str">
        <x:v>SISTEMAS ISOLADOS</x:v>
      </x:c>
      <x:c r="D584" s="53" t="str">
        <x:v>Cativo</x:v>
      </x:c>
      <x:c r="E584" s="49" t="n">
        <x:v>228337</x:v>
      </x:c>
      <x:c r="F584" s="52" t="n">
        <x:v>1358164</x:v>
      </x:c>
      <x:c r="G584" s="54" t="n">
        <x:v>46220</x:v>
      </x:c>
      <x:c r="H584" s="14" t="str">
        <x:f>IF(E584&lt;0,"Componente negativo — manter e investigar","OK")</x:f>
        <x:v>OK</x:v>
      </x:c>
    </x:row>
    <x:row r="585">
      <x:c r="A585" s="51" t="n">
        <x:v>39934</x:v>
      </x:c>
      <x:c r="B585" s="14" t="str">
        <x:v>Sudeste</x:v>
      </x:c>
      <x:c r="C585" s="14" t="str">
        <x:v>SUDESTE / CENTRO - OESTE</x:v>
      </x:c>
      <x:c r="D585" s="53" t="str">
        <x:v>Cativo</x:v>
      </x:c>
      <x:c r="E585" s="49" t="n">
        <x:v>4466390</x:v>
      </x:c>
      <x:c r="F585" s="52" t="n">
        <x:v>26262096</x:v>
      </x:c>
      <x:c r="G585" s="54" t="n">
        <x:v>46220</x:v>
      </x:c>
      <x:c r="H585" s="14" t="str">
        <x:f>IF(E585&lt;0,"Componente negativo — manter e investigar","OK")</x:f>
        <x:v>OK</x:v>
      </x:c>
    </x:row>
    <x:row r="586">
      <x:c r="A586" s="51" t="n">
        <x:v>39934</x:v>
      </x:c>
      <x:c r="B586" s="14" t="str">
        <x:v>Sul</x:v>
      </x:c>
      <x:c r="C586" s="14" t="str">
        <x:v>SUL</x:v>
      </x:c>
      <x:c r="D586" s="53" t="str">
        <x:v>Cativo</x:v>
      </x:c>
      <x:c r="E586" s="49" t="n">
        <x:v>1299824</x:v>
      </x:c>
      <x:c r="F586" s="52" t="n">
        <x:v>7801306</x:v>
      </x:c>
      <x:c r="G586" s="54" t="n">
        <x:v>46220</x:v>
      </x:c>
      <x:c r="H586" s="14" t="str">
        <x:f>IF(E586&lt;0,"Componente negativo — manter e investigar","OK")</x:f>
        <x:v>OK</x:v>
      </x:c>
    </x:row>
    <x:row r="587">
      <x:c r="A587" s="51" t="n">
        <x:v>39965</x:v>
      </x:c>
      <x:c r="B587" s="14" t="str">
        <x:v>Centro-Oeste</x:v>
      </x:c>
      <x:c r="C587" s="14" t="str">
        <x:v>SISTEMAS ISOLADOS</x:v>
      </x:c>
      <x:c r="D587" s="53" t="str">
        <x:v>Cativo</x:v>
      </x:c>
      <x:c r="E587" s="49" t="n">
        <x:v>3244</x:v>
      </x:c>
      <x:c r="F587" s="52" t="n">
        <x:v>15506</x:v>
      </x:c>
      <x:c r="G587" s="54" t="n">
        <x:v>46220</x:v>
      </x:c>
      <x:c r="H587" s="14" t="str">
        <x:f>IF(E587&lt;0,"Componente negativo — manter e investigar","OK")</x:f>
        <x:v>OK</x:v>
      </x:c>
    </x:row>
    <x:row r="588">
      <x:c r="A588" s="51" t="n">
        <x:v>39965</x:v>
      </x:c>
      <x:c r="B588" s="14" t="str">
        <x:v>Centro-Oeste</x:v>
      </x:c>
      <x:c r="C588" s="14" t="str">
        <x:v>SUDESTE / CENTRO - OESTE</x:v>
      </x:c>
      <x:c r="D588" s="53" t="str">
        <x:v>Cativo</x:v>
      </x:c>
      <x:c r="E588" s="49" t="n">
        <x:v>591472</x:v>
      </x:c>
      <x:c r="F588" s="52" t="n">
        <x:v>3897887</x:v>
      </x:c>
      <x:c r="G588" s="54" t="n">
        <x:v>46220</x:v>
      </x:c>
      <x:c r="H588" s="14" t="str">
        <x:f>IF(E588&lt;0,"Componente negativo — manter e investigar","OK")</x:f>
        <x:v>OK</x:v>
      </x:c>
    </x:row>
    <x:row r="589">
      <x:c r="A589" s="51" t="n">
        <x:v>39965</x:v>
      </x:c>
      <x:c r="B589" s="14" t="str">
        <x:v>Nordeste</x:v>
      </x:c>
      <x:c r="C589" s="14" t="str">
        <x:v>NORDESTE</x:v>
      </x:c>
      <x:c r="D589" s="53" t="str">
        <x:v>Cativo</x:v>
      </x:c>
      <x:c r="E589" s="49" t="n">
        <x:v>1213679</x:v>
      </x:c>
      <x:c r="F589" s="52" t="n">
        <x:v>12589067</x:v>
      </x:c>
      <x:c r="G589" s="54" t="n">
        <x:v>46220</x:v>
      </x:c>
      <x:c r="H589" s="14" t="str">
        <x:f>IF(E589&lt;0,"Componente negativo — manter e investigar","OK")</x:f>
        <x:v>OK</x:v>
      </x:c>
    </x:row>
    <x:row r="590">
      <x:c r="A590" s="51" t="n">
        <x:v>39965</x:v>
      </x:c>
      <x:c r="B590" s="14" t="str">
        <x:v>Nordeste</x:v>
      </x:c>
      <x:c r="C590" s="14" t="str">
        <x:v>NORTE INTERLIGADO</x:v>
      </x:c>
      <x:c r="D590" s="53" t="str">
        <x:v>Cativo</x:v>
      </x:c>
      <x:c r="E590" s="49" t="n">
        <x:v>126138</x:v>
      </x:c>
      <x:c r="F590" s="52" t="n">
        <x:v>1428184</x:v>
      </x:c>
      <x:c r="G590" s="54" t="n">
        <x:v>46220</x:v>
      </x:c>
      <x:c r="H590" s="14" t="str">
        <x:f>IF(E590&lt;0,"Componente negativo — manter e investigar","OK")</x:f>
        <x:v>OK</x:v>
      </x:c>
    </x:row>
    <x:row r="591">
      <x:c r="A591" s="51" t="n">
        <x:v>39965</x:v>
      </x:c>
      <x:c r="B591" s="14" t="str">
        <x:v>Nordeste</x:v>
      </x:c>
      <x:c r="C591" s="14" t="str">
        <x:v>SISTEMAS ISOLADOS</x:v>
      </x:c>
      <x:c r="D591" s="53" t="str">
        <x:v>Cativo</x:v>
      </x:c>
      <x:c r="E591" s="49" t="n">
        <x:v>199</x:v>
      </x:c>
      <x:c r="F591" s="52" t="n">
        <x:v>466</x:v>
      </x:c>
      <x:c r="G591" s="54" t="n">
        <x:v>46220</x:v>
      </x:c>
      <x:c r="H591" s="14" t="str">
        <x:f>IF(E591&lt;0,"Componente negativo — manter e investigar","OK")</x:f>
        <x:v>OK</x:v>
      </x:c>
    </x:row>
    <x:row r="592">
      <x:c r="A592" s="51" t="n">
        <x:v>39965</x:v>
      </x:c>
      <x:c r="B592" s="14" t="str">
        <x:v>Norte</x:v>
      </x:c>
      <x:c r="C592" s="14" t="str">
        <x:v>NORTE INTERLIGADO</x:v>
      </x:c>
      <x:c r="D592" s="53" t="str">
        <x:v>Cativo</x:v>
      </x:c>
      <x:c r="E592" s="49" t="n">
        <x:v>189572</x:v>
      </x:c>
      <x:c r="F592" s="52" t="n">
        <x:v>1559870</x:v>
      </x:c>
      <x:c r="G592" s="54" t="n">
        <x:v>46220</x:v>
      </x:c>
      <x:c r="H592" s="14" t="str">
        <x:f>IF(E592&lt;0,"Componente negativo — manter e investigar","OK")</x:f>
        <x:v>OK</x:v>
      </x:c>
    </x:row>
    <x:row r="593">
      <x:c r="A593" s="51" t="n">
        <x:v>39965</x:v>
      </x:c>
      <x:c r="B593" s="14" t="str">
        <x:v>Norte</x:v>
      </x:c>
      <x:c r="C593" s="14" t="str">
        <x:v>SISTEMAS ISOLADOS</x:v>
      </x:c>
      <x:c r="D593" s="53" t="str">
        <x:v>Cativo</x:v>
      </x:c>
      <x:c r="E593" s="49" t="n">
        <x:v>221825</x:v>
      </x:c>
      <x:c r="F593" s="52" t="n">
        <x:v>1363540</x:v>
      </x:c>
      <x:c r="G593" s="54" t="n">
        <x:v>46220</x:v>
      </x:c>
      <x:c r="H593" s="14" t="str">
        <x:f>IF(E593&lt;0,"Componente negativo — manter e investigar","OK")</x:f>
        <x:v>OK</x:v>
      </x:c>
    </x:row>
    <x:row r="594">
      <x:c r="A594" s="51" t="n">
        <x:v>39965</x:v>
      </x:c>
      <x:c r="B594" s="14" t="str">
        <x:v>Sudeste</x:v>
      </x:c>
      <x:c r="C594" s="14" t="str">
        <x:v>SUDESTE / CENTRO - OESTE</x:v>
      </x:c>
      <x:c r="D594" s="53" t="str">
        <x:v>Cativo</x:v>
      </x:c>
      <x:c r="E594" s="49" t="n">
        <x:v>4263405</x:v>
      </x:c>
      <x:c r="F594" s="52" t="n">
        <x:v>26257320</x:v>
      </x:c>
      <x:c r="G594" s="54" t="n">
        <x:v>46220</x:v>
      </x:c>
      <x:c r="H594" s="14" t="str">
        <x:f>IF(E594&lt;0,"Componente negativo — manter e investigar","OK")</x:f>
        <x:v>OK</x:v>
      </x:c>
    </x:row>
    <x:row r="595">
      <x:c r="A595" s="51" t="n">
        <x:v>39965</x:v>
      </x:c>
      <x:c r="B595" s="14" t="str">
        <x:v>Sul</x:v>
      </x:c>
      <x:c r="C595" s="14" t="str">
        <x:v>SUL</x:v>
      </x:c>
      <x:c r="D595" s="53" t="str">
        <x:v>Cativo</x:v>
      </x:c>
      <x:c r="E595" s="49" t="n">
        <x:v>1299676</x:v>
      </x:c>
      <x:c r="F595" s="52" t="n">
        <x:v>7819752</x:v>
      </x:c>
      <x:c r="G595" s="54" t="n">
        <x:v>46220</x:v>
      </x:c>
      <x:c r="H595" s="14" t="str">
        <x:f>IF(E595&lt;0,"Componente negativo — manter e investigar","OK")</x:f>
        <x:v>OK</x:v>
      </x:c>
    </x:row>
    <x:row r="596">
      <x:c r="A596" s="51" t="n">
        <x:v>39995</x:v>
      </x:c>
      <x:c r="B596" s="14" t="str">
        <x:v>Centro-Oeste</x:v>
      </x:c>
      <x:c r="C596" s="14" t="str">
        <x:v>SISTEMAS ISOLADOS</x:v>
      </x:c>
      <x:c r="D596" s="53" t="str">
        <x:v>Cativo</x:v>
      </x:c>
      <x:c r="E596" s="49" t="n">
        <x:v>1310</x:v>
      </x:c>
      <x:c r="F596" s="52" t="n">
        <x:v>15542</x:v>
      </x:c>
      <x:c r="G596" s="54" t="n">
        <x:v>46220</x:v>
      </x:c>
      <x:c r="H596" s="14" t="str">
        <x:f>IF(E596&lt;0,"Componente negativo — manter e investigar","OK")</x:f>
        <x:v>OK</x:v>
      </x:c>
    </x:row>
    <x:row r="597">
      <x:c r="A597" s="51" t="n">
        <x:v>39995</x:v>
      </x:c>
      <x:c r="B597" s="14" t="str">
        <x:v>Centro-Oeste</x:v>
      </x:c>
      <x:c r="C597" s="14" t="str">
        <x:v>SUDESTE / CENTRO - OESTE</x:v>
      </x:c>
      <x:c r="D597" s="53" t="str">
        <x:v>Cativo</x:v>
      </x:c>
      <x:c r="E597" s="49" t="n">
        <x:v>591006</x:v>
      </x:c>
      <x:c r="F597" s="52" t="n">
        <x:v>3916675</x:v>
      </x:c>
      <x:c r="G597" s="54" t="n">
        <x:v>46220</x:v>
      </x:c>
      <x:c r="H597" s="14" t="str">
        <x:f>IF(E597&lt;0,"Componente negativo — manter e investigar","OK")</x:f>
        <x:v>OK</x:v>
      </x:c>
    </x:row>
    <x:row r="598">
      <x:c r="A598" s="51" t="n">
        <x:v>39995</x:v>
      </x:c>
      <x:c r="B598" s="14" t="str">
        <x:v>Nordeste</x:v>
      </x:c>
      <x:c r="C598" s="14" t="str">
        <x:v>NORDESTE</x:v>
      </x:c>
      <x:c r="D598" s="53" t="str">
        <x:v>Cativo</x:v>
      </x:c>
      <x:c r="E598" s="49" t="n">
        <x:v>1228658</x:v>
      </x:c>
      <x:c r="F598" s="52" t="n">
        <x:v>12630645</x:v>
      </x:c>
      <x:c r="G598" s="54" t="n">
        <x:v>46220</x:v>
      </x:c>
      <x:c r="H598" s="14" t="str">
        <x:f>IF(E598&lt;0,"Componente negativo — manter e investigar","OK")</x:f>
        <x:v>OK</x:v>
      </x:c>
    </x:row>
    <x:row r="599">
      <x:c r="A599" s="51" t="n">
        <x:v>39995</x:v>
      </x:c>
      <x:c r="B599" s="14" t="str">
        <x:v>Nordeste</x:v>
      </x:c>
      <x:c r="C599" s="14" t="str">
        <x:v>NORTE INTERLIGADO</x:v>
      </x:c>
      <x:c r="D599" s="53" t="str">
        <x:v>Cativo</x:v>
      </x:c>
      <x:c r="E599" s="49" t="n">
        <x:v>125247</x:v>
      </x:c>
      <x:c r="F599" s="52" t="n">
        <x:v>1429348</x:v>
      </x:c>
      <x:c r="G599" s="54" t="n">
        <x:v>46220</x:v>
      </x:c>
      <x:c r="H599" s="14" t="str">
        <x:f>IF(E599&lt;0,"Componente negativo — manter e investigar","OK")</x:f>
        <x:v>OK</x:v>
      </x:c>
    </x:row>
    <x:row r="600">
      <x:c r="A600" s="51" t="n">
        <x:v>39995</x:v>
      </x:c>
      <x:c r="B600" s="14" t="str">
        <x:v>Nordeste</x:v>
      </x:c>
      <x:c r="C600" s="14" t="str">
        <x:v>SISTEMAS ISOLADOS</x:v>
      </x:c>
      <x:c r="D600" s="53" t="str">
        <x:v>Cativo</x:v>
      </x:c>
      <x:c r="E600" s="49" t="n">
        <x:v>173</x:v>
      </x:c>
      <x:c r="F600" s="52" t="n">
        <x:v>465</x:v>
      </x:c>
      <x:c r="G600" s="54" t="n">
        <x:v>46220</x:v>
      </x:c>
      <x:c r="H600" s="14" t="str">
        <x:f>IF(E600&lt;0,"Componente negativo — manter e investigar","OK")</x:f>
        <x:v>OK</x:v>
      </x:c>
    </x:row>
    <x:row r="601">
      <x:c r="A601" s="51" t="n">
        <x:v>39995</x:v>
      </x:c>
      <x:c r="B601" s="14" t="str">
        <x:v>Norte</x:v>
      </x:c>
      <x:c r="C601" s="14" t="str">
        <x:v>NORTE INTERLIGADO</x:v>
      </x:c>
      <x:c r="D601" s="53" t="str">
        <x:v>Cativo</x:v>
      </x:c>
      <x:c r="E601" s="49" t="n">
        <x:v>200527</x:v>
      </x:c>
      <x:c r="F601" s="52" t="n">
        <x:v>1566531</x:v>
      </x:c>
      <x:c r="G601" s="54" t="n">
        <x:v>46220</x:v>
      </x:c>
      <x:c r="H601" s="14" t="str">
        <x:f>IF(E601&lt;0,"Componente negativo — manter e investigar","OK")</x:f>
        <x:v>OK</x:v>
      </x:c>
    </x:row>
    <x:row r="602">
      <x:c r="A602" s="51" t="n">
        <x:v>39995</x:v>
      </x:c>
      <x:c r="B602" s="14" t="str">
        <x:v>Norte</x:v>
      </x:c>
      <x:c r="C602" s="14" t="str">
        <x:v>SISTEMAS ISOLADOS</x:v>
      </x:c>
      <x:c r="D602" s="53" t="str">
        <x:v>Cativo</x:v>
      </x:c>
      <x:c r="E602" s="49" t="n">
        <x:v>229157</x:v>
      </x:c>
      <x:c r="F602" s="52" t="n">
        <x:v>1366907</x:v>
      </x:c>
      <x:c r="G602" s="54" t="n">
        <x:v>46220</x:v>
      </x:c>
      <x:c r="H602" s="14" t="str">
        <x:f>IF(E602&lt;0,"Componente negativo — manter e investigar","OK")</x:f>
        <x:v>OK</x:v>
      </x:c>
    </x:row>
    <x:row r="603">
      <x:c r="A603" s="51" t="n">
        <x:v>39995</x:v>
      </x:c>
      <x:c r="B603" s="14" t="str">
        <x:v>Sudeste</x:v>
      </x:c>
      <x:c r="C603" s="14" t="str">
        <x:v>SUDESTE / CENTRO - OESTE</x:v>
      </x:c>
      <x:c r="D603" s="53" t="str">
        <x:v>Cativo</x:v>
      </x:c>
      <x:c r="E603" s="49" t="n">
        <x:v>4390194</x:v>
      </x:c>
      <x:c r="F603" s="52" t="n">
        <x:v>26401844</x:v>
      </x:c>
      <x:c r="G603" s="54" t="n">
        <x:v>46220</x:v>
      </x:c>
      <x:c r="H603" s="14" t="str">
        <x:f>IF(E603&lt;0,"Componente negativo — manter e investigar","OK")</x:f>
        <x:v>OK</x:v>
      </x:c>
    </x:row>
    <x:row r="604">
      <x:c r="A604" s="51" t="n">
        <x:v>39995</x:v>
      </x:c>
      <x:c r="B604" s="14" t="str">
        <x:v>Sul</x:v>
      </x:c>
      <x:c r="C604" s="14" t="str">
        <x:v>SUL</x:v>
      </x:c>
      <x:c r="D604" s="53" t="str">
        <x:v>Cativo</x:v>
      </x:c>
      <x:c r="E604" s="49" t="n">
        <x:v>1338723</x:v>
      </x:c>
      <x:c r="F604" s="52" t="n">
        <x:v>7831903</x:v>
      </x:c>
      <x:c r="G604" s="54" t="n">
        <x:v>46220</x:v>
      </x:c>
      <x:c r="H604" s="14" t="str">
        <x:f>IF(E604&lt;0,"Componente negativo — manter e investigar","OK")</x:f>
        <x:v>OK</x:v>
      </x:c>
    </x:row>
    <x:row r="605">
      <x:c r="A605" s="51" t="n">
        <x:v>40026</x:v>
      </x:c>
      <x:c r="B605" s="14" t="str">
        <x:v>Centro-Oeste</x:v>
      </x:c>
      <x:c r="C605" s="14" t="str">
        <x:v>SISTEMAS ISOLADOS</x:v>
      </x:c>
      <x:c r="D605" s="53" t="str">
        <x:v>Cativo</x:v>
      </x:c>
      <x:c r="E605" s="49" t="n">
        <x:v>2357</x:v>
      </x:c>
      <x:c r="F605" s="52" t="n">
        <x:v>15639</x:v>
      </x:c>
      <x:c r="G605" s="54" t="n">
        <x:v>46220</x:v>
      </x:c>
      <x:c r="H605" s="14" t="str">
        <x:f>IF(E605&lt;0,"Componente negativo — manter e investigar","OK")</x:f>
        <x:v>OK</x:v>
      </x:c>
    </x:row>
    <x:row r="606">
      <x:c r="A606" s="51" t="n">
        <x:v>40026</x:v>
      </x:c>
      <x:c r="B606" s="14" t="str">
        <x:v>Centro-Oeste</x:v>
      </x:c>
      <x:c r="C606" s="14" t="str">
        <x:v>SUDESTE / CENTRO - OESTE</x:v>
      </x:c>
      <x:c r="D606" s="53" t="str">
        <x:v>Cativo</x:v>
      </x:c>
      <x:c r="E606" s="49" t="n">
        <x:v>617772</x:v>
      </x:c>
      <x:c r="F606" s="52" t="n">
        <x:v>3928685</x:v>
      </x:c>
      <x:c r="G606" s="54" t="n">
        <x:v>46220</x:v>
      </x:c>
      <x:c r="H606" s="14" t="str">
        <x:f>IF(E606&lt;0,"Componente negativo — manter e investigar","OK")</x:f>
        <x:v>OK</x:v>
      </x:c>
    </x:row>
    <x:row r="607">
      <x:c r="A607" s="51" t="n">
        <x:v>40026</x:v>
      </x:c>
      <x:c r="B607" s="14" t="str">
        <x:v>Nordeste</x:v>
      </x:c>
      <x:c r="C607" s="14" t="str">
        <x:v>NORDESTE</x:v>
      </x:c>
      <x:c r="D607" s="53" t="str">
        <x:v>Cativo</x:v>
      </x:c>
      <x:c r="E607" s="49" t="n">
        <x:v>1271922</x:v>
      </x:c>
      <x:c r="F607" s="52" t="n">
        <x:v>12679123</x:v>
      </x:c>
      <x:c r="G607" s="54" t="n">
        <x:v>46220</x:v>
      </x:c>
      <x:c r="H607" s="14" t="str">
        <x:f>IF(E607&lt;0,"Componente negativo — manter e investigar","OK")</x:f>
        <x:v>OK</x:v>
      </x:c>
    </x:row>
    <x:row r="608">
      <x:c r="A608" s="51" t="n">
        <x:v>40026</x:v>
      </x:c>
      <x:c r="B608" s="14" t="str">
        <x:v>Nordeste</x:v>
      </x:c>
      <x:c r="C608" s="14" t="str">
        <x:v>NORTE INTERLIGADO</x:v>
      </x:c>
      <x:c r="D608" s="53" t="str">
        <x:v>Cativo</x:v>
      </x:c>
      <x:c r="E608" s="49" t="n">
        <x:v>154258</x:v>
      </x:c>
      <x:c r="F608" s="52" t="n">
        <x:v>1455266</x:v>
      </x:c>
      <x:c r="G608" s="54" t="n">
        <x:v>46220</x:v>
      </x:c>
      <x:c r="H608" s="14" t="str">
        <x:f>IF(E608&lt;0,"Componente negativo — manter e investigar","OK")</x:f>
        <x:v>OK</x:v>
      </x:c>
    </x:row>
    <x:row r="609">
      <x:c r="A609" s="51" t="n">
        <x:v>40026</x:v>
      </x:c>
      <x:c r="B609" s="14" t="str">
        <x:v>Nordeste</x:v>
      </x:c>
      <x:c r="C609" s="14" t="str">
        <x:v>SISTEMAS ISOLADOS</x:v>
      </x:c>
      <x:c r="D609" s="53" t="str">
        <x:v>Cativo</x:v>
      </x:c>
      <x:c r="E609" s="49" t="n">
        <x:v>164</x:v>
      </x:c>
      <x:c r="F609" s="52" t="n">
        <x:v>463</x:v>
      </x:c>
      <x:c r="G609" s="54" t="n">
        <x:v>46220</x:v>
      </x:c>
      <x:c r="H609" s="14" t="str">
        <x:f>IF(E609&lt;0,"Componente negativo — manter e investigar","OK")</x:f>
        <x:v>OK</x:v>
      </x:c>
    </x:row>
    <x:row r="610">
      <x:c r="A610" s="51" t="n">
        <x:v>40026</x:v>
      </x:c>
      <x:c r="B610" s="14" t="str">
        <x:v>Norte</x:v>
      </x:c>
      <x:c r="C610" s="14" t="str">
        <x:v>NORTE INTERLIGADO</x:v>
      </x:c>
      <x:c r="D610" s="53" t="str">
        <x:v>Cativo</x:v>
      </x:c>
      <x:c r="E610" s="49" t="n">
        <x:v>206160</x:v>
      </x:c>
      <x:c r="F610" s="52" t="n">
        <x:v>1574064</x:v>
      </x:c>
      <x:c r="G610" s="54" t="n">
        <x:v>46220</x:v>
      </x:c>
      <x:c r="H610" s="14" t="str">
        <x:f>IF(E610&lt;0,"Componente negativo — manter e investigar","OK")</x:f>
        <x:v>OK</x:v>
      </x:c>
    </x:row>
    <x:row r="611">
      <x:c r="A611" s="51" t="n">
        <x:v>40026</x:v>
      </x:c>
      <x:c r="B611" s="14" t="str">
        <x:v>Norte</x:v>
      </x:c>
      <x:c r="C611" s="14" t="str">
        <x:v>SISTEMAS ISOLADOS</x:v>
      </x:c>
      <x:c r="D611" s="53" t="str">
        <x:v>Cativo</x:v>
      </x:c>
      <x:c r="E611" s="49" t="n">
        <x:v>247581</x:v>
      </x:c>
      <x:c r="F611" s="52" t="n">
        <x:v>1372562</x:v>
      </x:c>
      <x:c r="G611" s="54" t="n">
        <x:v>46220</x:v>
      </x:c>
      <x:c r="H611" s="14" t="str">
        <x:f>IF(E611&lt;0,"Componente negativo — manter e investigar","OK")</x:f>
        <x:v>OK</x:v>
      </x:c>
    </x:row>
    <x:row r="612">
      <x:c r="A612" s="51" t="n">
        <x:v>40026</x:v>
      </x:c>
      <x:c r="B612" s="14" t="str">
        <x:v>Sudeste</x:v>
      </x:c>
      <x:c r="C612" s="14" t="str">
        <x:v>SUDESTE / CENTRO - OESTE</x:v>
      </x:c>
      <x:c r="D612" s="53" t="str">
        <x:v>Cativo</x:v>
      </x:c>
      <x:c r="E612" s="49" t="n">
        <x:v>4521489</x:v>
      </x:c>
      <x:c r="F612" s="52" t="n">
        <x:v>26360620</x:v>
      </x:c>
      <x:c r="G612" s="54" t="n">
        <x:v>46220</x:v>
      </x:c>
      <x:c r="H612" s="14" t="str">
        <x:f>IF(E612&lt;0,"Componente negativo — manter e investigar","OK")</x:f>
        <x:v>OK</x:v>
      </x:c>
    </x:row>
    <x:row r="613">
      <x:c r="A613" s="51" t="n">
        <x:v>40026</x:v>
      </x:c>
      <x:c r="B613" s="14" t="str">
        <x:v>Sul</x:v>
      </x:c>
      <x:c r="C613" s="14" t="str">
        <x:v>SUL</x:v>
      </x:c>
      <x:c r="D613" s="53" t="str">
        <x:v>Cativo</x:v>
      </x:c>
      <x:c r="E613" s="49" t="n">
        <x:v>1381261</x:v>
      </x:c>
      <x:c r="F613" s="52" t="n">
        <x:v>7851101</x:v>
      </x:c>
      <x:c r="G613" s="54" t="n">
        <x:v>46220</x:v>
      </x:c>
      <x:c r="H613" s="14" t="str">
        <x:f>IF(E613&lt;0,"Componente negativo — manter e investigar","OK")</x:f>
        <x:v>OK</x:v>
      </x:c>
    </x:row>
    <x:row r="614">
      <x:c r="A614" s="51" t="n">
        <x:v>40057</x:v>
      </x:c>
      <x:c r="B614" s="14" t="str">
        <x:v>Centro-Oeste</x:v>
      </x:c>
      <x:c r="C614" s="14" t="str">
        <x:v>SISTEMAS ISOLADOS</x:v>
      </x:c>
      <x:c r="D614" s="53" t="str">
        <x:v>Cativo</x:v>
      </x:c>
      <x:c r="E614" s="49" t="n">
        <x:v>2443</x:v>
      </x:c>
      <x:c r="F614" s="52" t="n">
        <x:v>15748</x:v>
      </x:c>
      <x:c r="G614" s="54" t="n">
        <x:v>46220</x:v>
      </x:c>
      <x:c r="H614" s="14" t="str">
        <x:f>IF(E614&lt;0,"Componente negativo — manter e investigar","OK")</x:f>
        <x:v>OK</x:v>
      </x:c>
    </x:row>
    <x:row r="615">
      <x:c r="A615" s="51" t="n">
        <x:v>40057</x:v>
      </x:c>
      <x:c r="B615" s="14" t="str">
        <x:v>Centro-Oeste</x:v>
      </x:c>
      <x:c r="C615" s="14" t="str">
        <x:v>SUDESTE / CENTRO - OESTE</x:v>
      </x:c>
      <x:c r="D615" s="53" t="str">
        <x:v>Cativo</x:v>
      </x:c>
      <x:c r="E615" s="49" t="n">
        <x:v>647063</x:v>
      </x:c>
      <x:c r="F615" s="52" t="n">
        <x:v>3943065</x:v>
      </x:c>
      <x:c r="G615" s="54" t="n">
        <x:v>46220</x:v>
      </x:c>
      <x:c r="H615" s="14" t="str">
        <x:f>IF(E615&lt;0,"Componente negativo — manter e investigar","OK")</x:f>
        <x:v>OK</x:v>
      </x:c>
    </x:row>
    <x:row r="616">
      <x:c r="A616" s="51" t="n">
        <x:v>40057</x:v>
      </x:c>
      <x:c r="B616" s="14" t="str">
        <x:v>Nordeste</x:v>
      </x:c>
      <x:c r="C616" s="14" t="str">
        <x:v>NORDESTE</x:v>
      </x:c>
      <x:c r="D616" s="53" t="str">
        <x:v>Cativo</x:v>
      </x:c>
      <x:c r="E616" s="49" t="n">
        <x:v>1278632</x:v>
      </x:c>
      <x:c r="F616" s="52" t="n">
        <x:v>12763340</x:v>
      </x:c>
      <x:c r="G616" s="54" t="n">
        <x:v>46220</x:v>
      </x:c>
      <x:c r="H616" s="14" t="str">
        <x:f>IF(E616&lt;0,"Componente negativo — manter e investigar","OK")</x:f>
        <x:v>OK</x:v>
      </x:c>
    </x:row>
    <x:row r="617">
      <x:c r="A617" s="51" t="n">
        <x:v>40057</x:v>
      </x:c>
      <x:c r="B617" s="14" t="str">
        <x:v>Nordeste</x:v>
      </x:c>
      <x:c r="C617" s="14" t="str">
        <x:v>NORTE INTERLIGADO</x:v>
      </x:c>
      <x:c r="D617" s="53" t="str">
        <x:v>Cativo</x:v>
      </x:c>
      <x:c r="E617" s="49" t="n">
        <x:v>159431</x:v>
      </x:c>
      <x:c r="F617" s="52" t="n">
        <x:v>1466334</x:v>
      </x:c>
      <x:c r="G617" s="54" t="n">
        <x:v>46220</x:v>
      </x:c>
      <x:c r="H617" s="14" t="str">
        <x:f>IF(E617&lt;0,"Componente negativo — manter e investigar","OK")</x:f>
        <x:v>OK</x:v>
      </x:c>
    </x:row>
    <x:row r="618">
      <x:c r="A618" s="51" t="n">
        <x:v>40057</x:v>
      </x:c>
      <x:c r="B618" s="14" t="str">
        <x:v>Nordeste</x:v>
      </x:c>
      <x:c r="C618" s="14" t="str">
        <x:v>SISTEMAS ISOLADOS</x:v>
      </x:c>
      <x:c r="D618" s="53" t="str">
        <x:v>Cativo</x:v>
      </x:c>
      <x:c r="E618" s="49" t="n">
        <x:v>193</x:v>
      </x:c>
      <x:c r="F618" s="52" t="n">
        <x:v>492</x:v>
      </x:c>
      <x:c r="G618" s="54" t="n">
        <x:v>46220</x:v>
      </x:c>
      <x:c r="H618" s="14" t="str">
        <x:f>IF(E618&lt;0,"Componente negativo — manter e investigar","OK")</x:f>
        <x:v>OK</x:v>
      </x:c>
    </x:row>
    <x:row r="619">
      <x:c r="A619" s="51" t="n">
        <x:v>40057</x:v>
      </x:c>
      <x:c r="B619" s="14" t="str">
        <x:v>Norte</x:v>
      </x:c>
      <x:c r="C619" s="14" t="str">
        <x:v>NORTE INTERLIGADO</x:v>
      </x:c>
      <x:c r="D619" s="53" t="str">
        <x:v>Cativo</x:v>
      </x:c>
      <x:c r="E619" s="49" t="n">
        <x:v>213280</x:v>
      </x:c>
      <x:c r="F619" s="52" t="n">
        <x:v>1582758</x:v>
      </x:c>
      <x:c r="G619" s="54" t="n">
        <x:v>46220</x:v>
      </x:c>
      <x:c r="H619" s="14" t="str">
        <x:f>IF(E619&lt;0,"Componente negativo — manter e investigar","OK")</x:f>
        <x:v>OK</x:v>
      </x:c>
    </x:row>
    <x:row r="620">
      <x:c r="A620" s="51" t="n">
        <x:v>40057</x:v>
      </x:c>
      <x:c r="B620" s="14" t="str">
        <x:v>Norte</x:v>
      </x:c>
      <x:c r="C620" s="14" t="str">
        <x:v>SISTEMAS ISOLADOS</x:v>
      </x:c>
      <x:c r="D620" s="53" t="str">
        <x:v>Cativo</x:v>
      </x:c>
      <x:c r="E620" s="49" t="n">
        <x:v>262437</x:v>
      </x:c>
      <x:c r="F620" s="52" t="n">
        <x:v>1378139</x:v>
      </x:c>
      <x:c r="G620" s="54" t="n">
        <x:v>46220</x:v>
      </x:c>
      <x:c r="H620" s="14" t="str">
        <x:f>IF(E620&lt;0,"Componente negativo — manter e investigar","OK")</x:f>
        <x:v>OK</x:v>
      </x:c>
    </x:row>
    <x:row r="621">
      <x:c r="A621" s="51" t="n">
        <x:v>40057</x:v>
      </x:c>
      <x:c r="B621" s="14" t="str">
        <x:v>Sudeste</x:v>
      </x:c>
      <x:c r="C621" s="14" t="str">
        <x:v>SUDESTE / CENTRO - OESTE</x:v>
      </x:c>
      <x:c r="D621" s="53" t="str">
        <x:v>Cativo</x:v>
      </x:c>
      <x:c r="E621" s="49" t="n">
        <x:v>4516470</x:v>
      </x:c>
      <x:c r="F621" s="52" t="n">
        <x:v>26429086</x:v>
      </x:c>
      <x:c r="G621" s="54" t="n">
        <x:v>46220</x:v>
      </x:c>
      <x:c r="H621" s="14" t="str">
        <x:f>IF(E621&lt;0,"Componente negativo — manter e investigar","OK")</x:f>
        <x:v>OK</x:v>
      </x:c>
    </x:row>
    <x:row r="622">
      <x:c r="A622" s="51" t="n">
        <x:v>40057</x:v>
      </x:c>
      <x:c r="B622" s="14" t="str">
        <x:v>Sul</x:v>
      </x:c>
      <x:c r="C622" s="14" t="str">
        <x:v>SUL</x:v>
      </x:c>
      <x:c r="D622" s="53" t="str">
        <x:v>Cativo</x:v>
      </x:c>
      <x:c r="E622" s="49" t="n">
        <x:v>1336852</x:v>
      </x:c>
      <x:c r="F622" s="52" t="n">
        <x:v>7863542</x:v>
      </x:c>
      <x:c r="G622" s="54" t="n">
        <x:v>46220</x:v>
      </x:c>
      <x:c r="H622" s="14" t="str">
        <x:f>IF(E622&lt;0,"Componente negativo — manter e investigar","OK")</x:f>
        <x:v>OK</x:v>
      </x:c>
    </x:row>
    <x:row r="623">
      <x:c r="A623" s="51" t="n">
        <x:v>40087</x:v>
      </x:c>
      <x:c r="B623" s="14" t="str">
        <x:v>Centro-Oeste</x:v>
      </x:c>
      <x:c r="C623" s="14" t="str">
        <x:v>SISTEMAS ISOLADOS</x:v>
      </x:c>
      <x:c r="D623" s="53" t="str">
        <x:v>Cativo</x:v>
      </x:c>
      <x:c r="E623" s="49" t="n">
        <x:v>2558</x:v>
      </x:c>
      <x:c r="F623" s="52" t="n">
        <x:v>15792</x:v>
      </x:c>
      <x:c r="G623" s="54" t="n">
        <x:v>46220</x:v>
      </x:c>
      <x:c r="H623" s="14" t="str">
        <x:f>IF(E623&lt;0,"Componente negativo — manter e investigar","OK")</x:f>
        <x:v>OK</x:v>
      </x:c>
    </x:row>
    <x:row r="624">
      <x:c r="A624" s="51" t="n">
        <x:v>40087</x:v>
      </x:c>
      <x:c r="B624" s="14" t="str">
        <x:v>Centro-Oeste</x:v>
      </x:c>
      <x:c r="C624" s="14" t="str">
        <x:v>SUDESTE / CENTRO - OESTE</x:v>
      </x:c>
      <x:c r="D624" s="53" t="str">
        <x:v>Cativo</x:v>
      </x:c>
      <x:c r="E624" s="49" t="n">
        <x:v>656299</x:v>
      </x:c>
      <x:c r="F624" s="52" t="n">
        <x:v>3957013</x:v>
      </x:c>
      <x:c r="G624" s="54" t="n">
        <x:v>46220</x:v>
      </x:c>
      <x:c r="H624" s="14" t="str">
        <x:f>IF(E624&lt;0,"Componente negativo — manter e investigar","OK")</x:f>
        <x:v>OK</x:v>
      </x:c>
    </x:row>
    <x:row r="625">
      <x:c r="A625" s="51" t="n">
        <x:v>40087</x:v>
      </x:c>
      <x:c r="B625" s="14" t="str">
        <x:v>Nordeste</x:v>
      </x:c>
      <x:c r="C625" s="14" t="str">
        <x:v>NORDESTE</x:v>
      </x:c>
      <x:c r="D625" s="53" t="str">
        <x:v>Cativo</x:v>
      </x:c>
      <x:c r="E625" s="49" t="n">
        <x:v>1330298</x:v>
      </x:c>
      <x:c r="F625" s="52" t="n">
        <x:v>12786220</x:v>
      </x:c>
      <x:c r="G625" s="54" t="n">
        <x:v>46220</x:v>
      </x:c>
      <x:c r="H625" s="14" t="str">
        <x:f>IF(E625&lt;0,"Componente negativo — manter e investigar","OK")</x:f>
        <x:v>OK</x:v>
      </x:c>
    </x:row>
    <x:row r="626">
      <x:c r="A626" s="51" t="n">
        <x:v>40087</x:v>
      </x:c>
      <x:c r="B626" s="14" t="str">
        <x:v>Nordeste</x:v>
      </x:c>
      <x:c r="C626" s="14" t="str">
        <x:v>NORTE INTERLIGADO</x:v>
      </x:c>
      <x:c r="D626" s="53" t="str">
        <x:v>Cativo</x:v>
      </x:c>
      <x:c r="E626" s="49" t="n">
        <x:v>158278</x:v>
      </x:c>
      <x:c r="F626" s="52" t="n">
        <x:v>1473150</x:v>
      </x:c>
      <x:c r="G626" s="54" t="n">
        <x:v>46220</x:v>
      </x:c>
      <x:c r="H626" s="14" t="str">
        <x:f>IF(E626&lt;0,"Componente negativo — manter e investigar","OK")</x:f>
        <x:v>OK</x:v>
      </x:c>
    </x:row>
    <x:row r="627">
      <x:c r="A627" s="51" t="n">
        <x:v>40087</x:v>
      </x:c>
      <x:c r="B627" s="14" t="str">
        <x:v>Nordeste</x:v>
      </x:c>
      <x:c r="C627" s="14" t="str">
        <x:v>SISTEMAS ISOLADOS</x:v>
      </x:c>
      <x:c r="D627" s="53" t="str">
        <x:v>Cativo</x:v>
      </x:c>
      <x:c r="E627" s="49" t="n">
        <x:v>169</x:v>
      </x:c>
      <x:c r="F627" s="52" t="n">
        <x:v>467</x:v>
      </x:c>
      <x:c r="G627" s="54" t="n">
        <x:v>46220</x:v>
      </x:c>
      <x:c r="H627" s="14" t="str">
        <x:f>IF(E627&lt;0,"Componente negativo — manter e investigar","OK")</x:f>
        <x:v>OK</x:v>
      </x:c>
    </x:row>
    <x:row r="628">
      <x:c r="A628" s="51" t="n">
        <x:v>40087</x:v>
      </x:c>
      <x:c r="B628" s="14" t="str">
        <x:v>Norte</x:v>
      </x:c>
      <x:c r="C628" s="14" t="str">
        <x:v>NORTE INTERLIGADO</x:v>
      </x:c>
      <x:c r="D628" s="53" t="str">
        <x:v>Cativo</x:v>
      </x:c>
      <x:c r="E628" s="49" t="n">
        <x:v>211199</x:v>
      </x:c>
      <x:c r="F628" s="52" t="n">
        <x:v>1590211</x:v>
      </x:c>
      <x:c r="G628" s="54" t="n">
        <x:v>46220</x:v>
      </x:c>
      <x:c r="H628" s="14" t="str">
        <x:f>IF(E628&lt;0,"Componente negativo — manter e investigar","OK")</x:f>
        <x:v>OK</x:v>
      </x:c>
    </x:row>
    <x:row r="629">
      <x:c r="A629" s="51" t="n">
        <x:v>40087</x:v>
      </x:c>
      <x:c r="B629" s="14" t="str">
        <x:v>Norte</x:v>
      </x:c>
      <x:c r="C629" s="14" t="str">
        <x:v>SISTEMAS ISOLADOS</x:v>
      </x:c>
      <x:c r="D629" s="53" t="str">
        <x:v>Cativo</x:v>
      </x:c>
      <x:c r="E629" s="49" t="n">
        <x:v>261679</x:v>
      </x:c>
      <x:c r="F629" s="52" t="n">
        <x:v>1383159</x:v>
      </x:c>
      <x:c r="G629" s="54" t="n">
        <x:v>46220</x:v>
      </x:c>
      <x:c r="H629" s="14" t="str">
        <x:f>IF(E629&lt;0,"Componente negativo — manter e investigar","OK")</x:f>
        <x:v>OK</x:v>
      </x:c>
    </x:row>
    <x:row r="630">
      <x:c r="A630" s="51" t="n">
        <x:v>40087</x:v>
      </x:c>
      <x:c r="B630" s="14" t="str">
        <x:v>Sudeste</x:v>
      </x:c>
      <x:c r="C630" s="14" t="str">
        <x:v>SUDESTE / CENTRO - OESTE</x:v>
      </x:c>
      <x:c r="D630" s="53" t="str">
        <x:v>Cativo</x:v>
      </x:c>
      <x:c r="E630" s="49" t="n">
        <x:v>4587326</x:v>
      </x:c>
      <x:c r="F630" s="52" t="n">
        <x:v>26504561</x:v>
      </x:c>
      <x:c r="G630" s="54" t="n">
        <x:v>46220</x:v>
      </x:c>
      <x:c r="H630" s="14" t="str">
        <x:f>IF(E630&lt;0,"Componente negativo — manter e investigar","OK")</x:f>
        <x:v>OK</x:v>
      </x:c>
    </x:row>
    <x:row r="631">
      <x:c r="A631" s="51" t="n">
        <x:v>40087</x:v>
      </x:c>
      <x:c r="B631" s="14" t="str">
        <x:v>Sul</x:v>
      </x:c>
      <x:c r="C631" s="14" t="str">
        <x:v>SUL</x:v>
      </x:c>
      <x:c r="D631" s="53" t="str">
        <x:v>Cativo</x:v>
      </x:c>
      <x:c r="E631" s="49" t="n">
        <x:v>1317935</x:v>
      </x:c>
      <x:c r="F631" s="52" t="n">
        <x:v>7887203</x:v>
      </x:c>
      <x:c r="G631" s="54" t="n">
        <x:v>46220</x:v>
      </x:c>
      <x:c r="H631" s="14" t="str">
        <x:f>IF(E631&lt;0,"Componente negativo — manter e investigar","OK")</x:f>
        <x:v>OK</x:v>
      </x:c>
    </x:row>
    <x:row r="632">
      <x:c r="A632" s="51" t="n">
        <x:v>40118</x:v>
      </x:c>
      <x:c r="B632" s="14" t="str">
        <x:v>Centro-Oeste</x:v>
      </x:c>
      <x:c r="C632" s="14" t="str">
        <x:v>SISTEMAS ISOLADOS</x:v>
      </x:c>
      <x:c r="D632" s="53" t="str">
        <x:v>Cativo</x:v>
      </x:c>
      <x:c r="E632" s="49" t="n">
        <x:v>2382</x:v>
      </x:c>
      <x:c r="F632" s="52" t="n">
        <x:v>15780</x:v>
      </x:c>
      <x:c r="G632" s="54" t="n">
        <x:v>46220</x:v>
      </x:c>
      <x:c r="H632" s="14" t="str">
        <x:f>IF(E632&lt;0,"Componente negativo — manter e investigar","OK")</x:f>
        <x:v>OK</x:v>
      </x:c>
    </x:row>
    <x:row r="633">
      <x:c r="A633" s="51" t="n">
        <x:v>40118</x:v>
      </x:c>
      <x:c r="B633" s="14" t="str">
        <x:v>Centro-Oeste</x:v>
      </x:c>
      <x:c r="C633" s="14" t="str">
        <x:v>SUDESTE / CENTRO - OESTE</x:v>
      </x:c>
      <x:c r="D633" s="53" t="str">
        <x:v>Cativo</x:v>
      </x:c>
      <x:c r="E633" s="49" t="n">
        <x:v>663227</x:v>
      </x:c>
      <x:c r="F633" s="52" t="n">
        <x:v>3968821</x:v>
      </x:c>
      <x:c r="G633" s="54" t="n">
        <x:v>46220</x:v>
      </x:c>
      <x:c r="H633" s="14" t="str">
        <x:f>IF(E633&lt;0,"Componente negativo — manter e investigar","OK")</x:f>
        <x:v>OK</x:v>
      </x:c>
    </x:row>
    <x:row r="634">
      <x:c r="A634" s="51" t="n">
        <x:v>40118</x:v>
      </x:c>
      <x:c r="B634" s="14" t="str">
        <x:v>Nordeste</x:v>
      </x:c>
      <x:c r="C634" s="14" t="str">
        <x:v>NORDESTE</x:v>
      </x:c>
      <x:c r="D634" s="53" t="str">
        <x:v>Cativo</x:v>
      </x:c>
      <x:c r="E634" s="49" t="n">
        <x:v>1364321</x:v>
      </x:c>
      <x:c r="F634" s="52" t="n">
        <x:v>12872925</x:v>
      </x:c>
      <x:c r="G634" s="54" t="n">
        <x:v>46220</x:v>
      </x:c>
      <x:c r="H634" s="14" t="str">
        <x:f>IF(E634&lt;0,"Componente negativo — manter e investigar","OK")</x:f>
        <x:v>OK</x:v>
      </x:c>
    </x:row>
    <x:row r="635">
      <x:c r="A635" s="51" t="n">
        <x:v>40118</x:v>
      </x:c>
      <x:c r="B635" s="14" t="str">
        <x:v>Nordeste</x:v>
      </x:c>
      <x:c r="C635" s="14" t="str">
        <x:v>NORTE INTERLIGADO</x:v>
      </x:c>
      <x:c r="D635" s="53" t="str">
        <x:v>Cativo</x:v>
      </x:c>
      <x:c r="E635" s="49" t="n">
        <x:v>155713</x:v>
      </x:c>
      <x:c r="F635" s="52" t="n">
        <x:v>1478201</x:v>
      </x:c>
      <x:c r="G635" s="54" t="n">
        <x:v>46220</x:v>
      </x:c>
      <x:c r="H635" s="14" t="str">
        <x:f>IF(E635&lt;0,"Componente negativo — manter e investigar","OK")</x:f>
        <x:v>OK</x:v>
      </x:c>
    </x:row>
    <x:row r="636">
      <x:c r="A636" s="51" t="n">
        <x:v>40118</x:v>
      </x:c>
      <x:c r="B636" s="14" t="str">
        <x:v>Nordeste</x:v>
      </x:c>
      <x:c r="C636" s="14" t="str">
        <x:v>SISTEMAS ISOLADOS</x:v>
      </x:c>
      <x:c r="D636" s="53" t="str">
        <x:v>Cativo</x:v>
      </x:c>
      <x:c r="E636" s="49" t="n">
        <x:v>200</x:v>
      </x:c>
      <x:c r="F636" s="52" t="n">
        <x:v>468</x:v>
      </x:c>
      <x:c r="G636" s="54" t="n">
        <x:v>46220</x:v>
      </x:c>
      <x:c r="H636" s="14" t="str">
        <x:f>IF(E636&lt;0,"Componente negativo — manter e investigar","OK")</x:f>
        <x:v>OK</x:v>
      </x:c>
    </x:row>
    <x:row r="637">
      <x:c r="A637" s="51" t="n">
        <x:v>40118</x:v>
      </x:c>
      <x:c r="B637" s="14" t="str">
        <x:v>Norte</x:v>
      </x:c>
      <x:c r="C637" s="14" t="str">
        <x:v>NORTE INTERLIGADO</x:v>
      </x:c>
      <x:c r="D637" s="53" t="str">
        <x:v>Cativo</x:v>
      </x:c>
      <x:c r="E637" s="49" t="n">
        <x:v>213109</x:v>
      </x:c>
      <x:c r="F637" s="52" t="n">
        <x:v>1598384</x:v>
      </x:c>
      <x:c r="G637" s="54" t="n">
        <x:v>46220</x:v>
      </x:c>
      <x:c r="H637" s="14" t="str">
        <x:f>IF(E637&lt;0,"Componente negativo — manter e investigar","OK")</x:f>
        <x:v>OK</x:v>
      </x:c>
    </x:row>
    <x:row r="638">
      <x:c r="A638" s="51" t="n">
        <x:v>40118</x:v>
      </x:c>
      <x:c r="B638" s="14" t="str">
        <x:v>Norte</x:v>
      </x:c>
      <x:c r="C638" s="14" t="str">
        <x:v>SISTEMAS ISOLADOS</x:v>
      </x:c>
      <x:c r="D638" s="53" t="str">
        <x:v>Cativo</x:v>
      </x:c>
      <x:c r="E638" s="49" t="n">
        <x:v>191187</x:v>
      </x:c>
      <x:c r="F638" s="52" t="n">
        <x:v>977116</x:v>
      </x:c>
      <x:c r="G638" s="54" t="n">
        <x:v>46220</x:v>
      </x:c>
      <x:c r="H638" s="14" t="str">
        <x:f>IF(E638&lt;0,"Componente negativo — manter e investigar","OK")</x:f>
        <x:v>OK</x:v>
      </x:c>
    </x:row>
    <x:row r="639">
      <x:c r="A639" s="51" t="n">
        <x:v>40118</x:v>
      </x:c>
      <x:c r="B639" s="14" t="str">
        <x:v>Norte</x:v>
      </x:c>
      <x:c r="C639" s="14" t="str">
        <x:v>SUDESTE / CENTRO - OESTE</x:v>
      </x:c>
      <x:c r="D639" s="53" t="str">
        <x:v>Cativo</x:v>
      </x:c>
      <x:c r="E639" s="49" t="n">
        <x:v>79777</x:v>
      </x:c>
      <x:c r="F639" s="52" t="n">
        <x:v>410103</x:v>
      </x:c>
      <x:c r="G639" s="54" t="n">
        <x:v>46220</x:v>
      </x:c>
      <x:c r="H639" s="14" t="str">
        <x:f>IF(E639&lt;0,"Componente negativo — manter e investigar","OK")</x:f>
        <x:v>OK</x:v>
      </x:c>
    </x:row>
    <x:row r="640">
      <x:c r="A640" s="51" t="n">
        <x:v>40118</x:v>
      </x:c>
      <x:c r="B640" s="14" t="str">
        <x:v>Sudeste</x:v>
      </x:c>
      <x:c r="C640" s="14" t="str">
        <x:v>SUDESTE / CENTRO - OESTE</x:v>
      </x:c>
      <x:c r="D640" s="53" t="str">
        <x:v>Cativo</x:v>
      </x:c>
      <x:c r="E640" s="49" t="n">
        <x:v>4586570</x:v>
      </x:c>
      <x:c r="F640" s="52" t="n">
        <x:v>26505030</x:v>
      </x:c>
      <x:c r="G640" s="54" t="n">
        <x:v>46220</x:v>
      </x:c>
      <x:c r="H640" s="14" t="str">
        <x:f>IF(E640&lt;0,"Componente negativo — manter e investigar","OK")</x:f>
        <x:v>OK</x:v>
      </x:c>
    </x:row>
    <x:row r="641">
      <x:c r="A641" s="51" t="n">
        <x:v>40118</x:v>
      </x:c>
      <x:c r="B641" s="14" t="str">
        <x:v>Sul</x:v>
      </x:c>
      <x:c r="C641" s="14" t="str">
        <x:v>SUL</x:v>
      </x:c>
      <x:c r="D641" s="53" t="str">
        <x:v>Cativo</x:v>
      </x:c>
      <x:c r="E641" s="49" t="n">
        <x:v>1379266</x:v>
      </x:c>
      <x:c r="F641" s="52" t="n">
        <x:v>7908682</x:v>
      </x:c>
      <x:c r="G641" s="54" t="n">
        <x:v>46220</x:v>
      </x:c>
      <x:c r="H641" s="14" t="str">
        <x:f>IF(E641&lt;0,"Componente negativo — manter e investigar","OK")</x:f>
        <x:v>OK</x:v>
      </x:c>
    </x:row>
    <x:row r="642">
      <x:c r="A642" s="51" t="n">
        <x:v>40148</x:v>
      </x:c>
      <x:c r="B642" s="14" t="str">
        <x:v>Centro-Oeste</x:v>
      </x:c>
      <x:c r="C642" s="14" t="str">
        <x:v>SISTEMAS ISOLADOS</x:v>
      </x:c>
      <x:c r="D642" s="53" t="str">
        <x:v>Cativo</x:v>
      </x:c>
      <x:c r="E642" s="49" t="n">
        <x:v>2335</x:v>
      </x:c>
      <x:c r="F642" s="52" t="n">
        <x:v>15771</x:v>
      </x:c>
      <x:c r="G642" s="54" t="n">
        <x:v>46220</x:v>
      </x:c>
      <x:c r="H642" s="14" t="str">
        <x:f>IF(E642&lt;0,"Componente negativo — manter e investigar","OK")</x:f>
        <x:v>OK</x:v>
      </x:c>
    </x:row>
    <x:row r="643">
      <x:c r="A643" s="51" t="n">
        <x:v>40148</x:v>
      </x:c>
      <x:c r="B643" s="14" t="str">
        <x:v>Centro-Oeste</x:v>
      </x:c>
      <x:c r="C643" s="14" t="str">
        <x:v>SUDESTE / CENTRO - OESTE</x:v>
      </x:c>
      <x:c r="D643" s="53" t="str">
        <x:v>Cativo</x:v>
      </x:c>
      <x:c r="E643" s="49" t="n">
        <x:v>652699</x:v>
      </x:c>
      <x:c r="F643" s="52" t="n">
        <x:v>3983178</x:v>
      </x:c>
      <x:c r="G643" s="54" t="n">
        <x:v>46220</x:v>
      </x:c>
      <x:c r="H643" s="14" t="str">
        <x:f>IF(E643&lt;0,"Componente negativo — manter e investigar","OK")</x:f>
        <x:v>OK</x:v>
      </x:c>
    </x:row>
    <x:row r="644">
      <x:c r="A644" s="51" t="n">
        <x:v>40148</x:v>
      </x:c>
      <x:c r="B644" s="14" t="str">
        <x:v>Nordeste</x:v>
      </x:c>
      <x:c r="C644" s="14" t="str">
        <x:v>NORDESTE</x:v>
      </x:c>
      <x:c r="D644" s="53" t="str">
        <x:v>Cativo</x:v>
      </x:c>
      <x:c r="E644" s="49" t="n">
        <x:v>1435690</x:v>
      </x:c>
      <x:c r="F644" s="52" t="n">
        <x:v>12937241</x:v>
      </x:c>
      <x:c r="G644" s="54" t="n">
        <x:v>46220</x:v>
      </x:c>
      <x:c r="H644" s="14" t="str">
        <x:f>IF(E644&lt;0,"Componente negativo — manter e investigar","OK")</x:f>
        <x:v>OK</x:v>
      </x:c>
    </x:row>
    <x:row r="645">
      <x:c r="A645" s="51" t="n">
        <x:v>40148</x:v>
      </x:c>
      <x:c r="B645" s="14" t="str">
        <x:v>Nordeste</x:v>
      </x:c>
      <x:c r="C645" s="14" t="str">
        <x:v>NORTE INTERLIGADO</x:v>
      </x:c>
      <x:c r="D645" s="53" t="str">
        <x:v>Cativo</x:v>
      </x:c>
      <x:c r="E645" s="49" t="n">
        <x:v>141441</x:v>
      </x:c>
      <x:c r="F645" s="52" t="n">
        <x:v>1482200</x:v>
      </x:c>
      <x:c r="G645" s="54" t="n">
        <x:v>46220</x:v>
      </x:c>
      <x:c r="H645" s="14" t="str">
        <x:f>IF(E645&lt;0,"Componente negativo — manter e investigar","OK")</x:f>
        <x:v>OK</x:v>
      </x:c>
    </x:row>
    <x:row r="646">
      <x:c r="A646" s="51" t="n">
        <x:v>40148</x:v>
      </x:c>
      <x:c r="B646" s="14" t="str">
        <x:v>Nordeste</x:v>
      </x:c>
      <x:c r="C646" s="14" t="str">
        <x:v>SISTEMAS ISOLADOS</x:v>
      </x:c>
      <x:c r="D646" s="53" t="str">
        <x:v>Cativo</x:v>
      </x:c>
      <x:c r="E646" s="49" t="n">
        <x:v>205</x:v>
      </x:c>
      <x:c r="F646" s="52" t="n">
        <x:v>473</x:v>
      </x:c>
      <x:c r="G646" s="54" t="n">
        <x:v>46220</x:v>
      </x:c>
      <x:c r="H646" s="14" t="str">
        <x:f>IF(E646&lt;0,"Componente negativo — manter e investigar","OK")</x:f>
        <x:v>OK</x:v>
      </x:c>
    </x:row>
    <x:row r="647">
      <x:c r="A647" s="51" t="n">
        <x:v>40148</x:v>
      </x:c>
      <x:c r="B647" s="14" t="str">
        <x:v>Norte</x:v>
      </x:c>
      <x:c r="C647" s="14" t="str">
        <x:v>NORTE INTERLIGADO</x:v>
      </x:c>
      <x:c r="D647" s="53" t="str">
        <x:v>Cativo</x:v>
      </x:c>
      <x:c r="E647" s="49" t="n">
        <x:v>214571</x:v>
      </x:c>
      <x:c r="F647" s="52" t="n">
        <x:v>1606505</x:v>
      </x:c>
      <x:c r="G647" s="54" t="n">
        <x:v>46220</x:v>
      </x:c>
      <x:c r="H647" s="14" t="str">
        <x:f>IF(E647&lt;0,"Componente negativo — manter e investigar","OK")</x:f>
        <x:v>OK</x:v>
      </x:c>
    </x:row>
    <x:row r="648">
      <x:c r="A648" s="51" t="n">
        <x:v>40148</x:v>
      </x:c>
      <x:c r="B648" s="14" t="str">
        <x:v>Norte</x:v>
      </x:c>
      <x:c r="C648" s="14" t="str">
        <x:v>SISTEMAS ISOLADOS</x:v>
      </x:c>
      <x:c r="D648" s="53" t="str">
        <x:v>Cativo</x:v>
      </x:c>
      <x:c r="E648" s="49" t="n">
        <x:v>186818</x:v>
      </x:c>
      <x:c r="F648" s="52" t="n">
        <x:v>978478</x:v>
      </x:c>
      <x:c r="G648" s="54" t="n">
        <x:v>46220</x:v>
      </x:c>
      <x:c r="H648" s="14" t="str">
        <x:f>IF(E648&lt;0,"Componente negativo — manter e investigar","OK")</x:f>
        <x:v>OK</x:v>
      </x:c>
    </x:row>
    <x:row r="649">
      <x:c r="A649" s="51" t="n">
        <x:v>40148</x:v>
      </x:c>
      <x:c r="B649" s="14" t="str">
        <x:v>Norte</x:v>
      </x:c>
      <x:c r="C649" s="14" t="str">
        <x:v>SUDESTE / CENTRO - OESTE</x:v>
      </x:c>
      <x:c r="D649" s="53" t="str">
        <x:v>Cativo</x:v>
      </x:c>
      <x:c r="E649" s="49" t="n">
        <x:v>77132</x:v>
      </x:c>
      <x:c r="F649" s="52" t="n">
        <x:v>411493</x:v>
      </x:c>
      <x:c r="G649" s="54" t="n">
        <x:v>46220</x:v>
      </x:c>
      <x:c r="H649" s="14" t="str">
        <x:f>IF(E649&lt;0,"Componente negativo — manter e investigar","OK")</x:f>
        <x:v>OK</x:v>
      </x:c>
    </x:row>
    <x:row r="650">
      <x:c r="A650" s="51" t="n">
        <x:v>40148</x:v>
      </x:c>
      <x:c r="B650" s="14" t="str">
        <x:v>Sudeste</x:v>
      </x:c>
      <x:c r="C650" s="14" t="str">
        <x:v>SUDESTE / CENTRO - OESTE</x:v>
      </x:c>
      <x:c r="D650" s="53" t="str">
        <x:v>Cativo</x:v>
      </x:c>
      <x:c r="E650" s="49" t="n">
        <x:v>4768804</x:v>
      </x:c>
      <x:c r="F650" s="52" t="n">
        <x:v>26627555</x:v>
      </x:c>
      <x:c r="G650" s="54" t="n">
        <x:v>46220</x:v>
      </x:c>
      <x:c r="H650" s="14" t="str">
        <x:f>IF(E650&lt;0,"Componente negativo — manter e investigar","OK")</x:f>
        <x:v>OK</x:v>
      </x:c>
    </x:row>
    <x:row r="651">
      <x:c r="A651" s="51" t="n">
        <x:v>40148</x:v>
      </x:c>
      <x:c r="B651" s="14" t="str">
        <x:v>Sul</x:v>
      </x:c>
      <x:c r="C651" s="14" t="str">
        <x:v>SUL</x:v>
      </x:c>
      <x:c r="D651" s="53" t="str">
        <x:v>Cativo</x:v>
      </x:c>
      <x:c r="E651" s="49" t="n">
        <x:v>1396936</x:v>
      </x:c>
      <x:c r="F651" s="52" t="n">
        <x:v>7906509</x:v>
      </x:c>
      <x:c r="G651" s="54" t="n">
        <x:v>46220</x:v>
      </x:c>
      <x:c r="H651" s="14" t="str">
        <x:f>IF(E651&lt;0,"Componente negativo — manter e investigar","OK")</x:f>
        <x:v>OK</x:v>
      </x:c>
    </x:row>
    <x:row r="652">
      <x:c r="A652" s="51" t="n">
        <x:v>40179</x:v>
      </x:c>
      <x:c r="B652" s="14" t="str">
        <x:v>Centro-Oeste</x:v>
      </x:c>
      <x:c r="C652" s="14" t="str">
        <x:v>SISTEMAS ISOLADOS</x:v>
      </x:c>
      <x:c r="D652" s="53" t="str">
        <x:v>Cativo</x:v>
      </x:c>
      <x:c r="E652" s="49" t="n">
        <x:v>2228</x:v>
      </x:c>
      <x:c r="F652" s="52" t="n">
        <x:v>15014</x:v>
      </x:c>
      <x:c r="G652" s="54" t="n">
        <x:v>46220</x:v>
      </x:c>
      <x:c r="H652" s="14" t="str">
        <x:f>IF(E652&lt;0,"Componente negativo — manter e investigar","OK")</x:f>
        <x:v>OK</x:v>
      </x:c>
    </x:row>
    <x:row r="653">
      <x:c r="A653" s="51" t="n">
        <x:v>40179</x:v>
      </x:c>
      <x:c r="B653" s="14" t="str">
        <x:v>Centro-Oeste</x:v>
      </x:c>
      <x:c r="C653" s="14" t="str">
        <x:v>SUDESTE / CENTRO - OESTE</x:v>
      </x:c>
      <x:c r="D653" s="53" t="str">
        <x:v>Cativo</x:v>
      </x:c>
      <x:c r="E653" s="49" t="n">
        <x:v>683903</x:v>
      </x:c>
      <x:c r="F653" s="52" t="n">
        <x:v>3995563</x:v>
      </x:c>
      <x:c r="G653" s="54" t="n">
        <x:v>46220</x:v>
      </x:c>
      <x:c r="H653" s="14" t="str">
        <x:f>IF(E653&lt;0,"Componente negativo — manter e investigar","OK")</x:f>
        <x:v>OK</x:v>
      </x:c>
    </x:row>
    <x:row r="654">
      <x:c r="A654" s="51" t="n">
        <x:v>40179</x:v>
      </x:c>
      <x:c r="B654" s="14" t="str">
        <x:v>Nordeste</x:v>
      </x:c>
      <x:c r="C654" s="14" t="str">
        <x:v>NORDESTE</x:v>
      </x:c>
      <x:c r="D654" s="53" t="str">
        <x:v>Cativo</x:v>
      </x:c>
      <x:c r="E654" s="49" t="n">
        <x:v>1424618</x:v>
      </x:c>
      <x:c r="F654" s="52" t="n">
        <x:v>12977504</x:v>
      </x:c>
      <x:c r="G654" s="54" t="n">
        <x:v>46220</x:v>
      </x:c>
      <x:c r="H654" s="14" t="str">
        <x:f>IF(E654&lt;0,"Componente negativo — manter e investigar","OK")</x:f>
        <x:v>OK</x:v>
      </x:c>
    </x:row>
    <x:row r="655">
      <x:c r="A655" s="51" t="n">
        <x:v>40179</x:v>
      </x:c>
      <x:c r="B655" s="14" t="str">
        <x:v>Nordeste</x:v>
      </x:c>
      <x:c r="C655" s="14" t="str">
        <x:v>NORTE INTERLIGADO</x:v>
      </x:c>
      <x:c r="D655" s="53" t="str">
        <x:v>Cativo</x:v>
      </x:c>
      <x:c r="E655" s="49" t="n">
        <x:v>152509</x:v>
      </x:c>
      <x:c r="F655" s="52" t="n">
        <x:v>1500645</x:v>
      </x:c>
      <x:c r="G655" s="54" t="n">
        <x:v>46220</x:v>
      </x:c>
      <x:c r="H655" s="14" t="str">
        <x:f>IF(E655&lt;0,"Componente negativo — manter e investigar","OK")</x:f>
        <x:v>OK</x:v>
      </x:c>
    </x:row>
    <x:row r="656">
      <x:c r="A656" s="51" t="n">
        <x:v>40179</x:v>
      </x:c>
      <x:c r="B656" s="14" t="str">
        <x:v>Nordeste</x:v>
      </x:c>
      <x:c r="C656" s="14" t="str">
        <x:v>SISTEMAS ISOLADOS</x:v>
      </x:c>
      <x:c r="D656" s="53" t="str">
        <x:v>Cativo</x:v>
      </x:c>
      <x:c r="E656" s="49" t="n">
        <x:v>218</x:v>
      </x:c>
      <x:c r="F656" s="52" t="n">
        <x:v>476</x:v>
      </x:c>
      <x:c r="G656" s="54" t="n">
        <x:v>46220</x:v>
      </x:c>
      <x:c r="H656" s="14" t="str">
        <x:f>IF(E656&lt;0,"Componente negativo — manter e investigar","OK")</x:f>
        <x:v>OK</x:v>
      </x:c>
    </x:row>
    <x:row r="657">
      <x:c r="A657" s="51" t="n">
        <x:v>40179</x:v>
      </x:c>
      <x:c r="B657" s="14" t="str">
        <x:v>Norte</x:v>
      </x:c>
      <x:c r="C657" s="14" t="str">
        <x:v>NORTE INTERLIGADO</x:v>
      </x:c>
      <x:c r="D657" s="53" t="str">
        <x:v>Cativo</x:v>
      </x:c>
      <x:c r="E657" s="49" t="n">
        <x:v>205171</x:v>
      </x:c>
      <x:c r="F657" s="52" t="n">
        <x:v>1611646</x:v>
      </x:c>
      <x:c r="G657" s="54" t="n">
        <x:v>46220</x:v>
      </x:c>
      <x:c r="H657" s="14" t="str">
        <x:f>IF(E657&lt;0,"Componente negativo — manter e investigar","OK")</x:f>
        <x:v>OK</x:v>
      </x:c>
    </x:row>
    <x:row r="658">
      <x:c r="A658" s="51" t="n">
        <x:v>40179</x:v>
      </x:c>
      <x:c r="B658" s="14" t="str">
        <x:v>Norte</x:v>
      </x:c>
      <x:c r="C658" s="14" t="str">
        <x:v>SISTEMAS ISOLADOS</x:v>
      </x:c>
      <x:c r="D658" s="53" t="str">
        <x:v>Cativo</x:v>
      </x:c>
      <x:c r="E658" s="49" t="n">
        <x:v>178764</x:v>
      </x:c>
      <x:c r="F658" s="52" t="n">
        <x:v>983459</x:v>
      </x:c>
      <x:c r="G658" s="54" t="n">
        <x:v>46220</x:v>
      </x:c>
      <x:c r="H658" s="14" t="str">
        <x:f>IF(E658&lt;0,"Componente negativo — manter e investigar","OK")</x:f>
        <x:v>OK</x:v>
      </x:c>
    </x:row>
    <x:row r="659">
      <x:c r="A659" s="51" t="n">
        <x:v>40179</x:v>
      </x:c>
      <x:c r="B659" s="14" t="str">
        <x:v>Norte</x:v>
      </x:c>
      <x:c r="C659" s="14" t="str">
        <x:v>SUDESTE / CENTRO - OESTE</x:v>
      </x:c>
      <x:c r="D659" s="53" t="str">
        <x:v>Cativo</x:v>
      </x:c>
      <x:c r="E659" s="49" t="n">
        <x:v>76448</x:v>
      </x:c>
      <x:c r="F659" s="52" t="n">
        <x:v>414625</x:v>
      </x:c>
      <x:c r="G659" s="54" t="n">
        <x:v>46220</x:v>
      </x:c>
      <x:c r="H659" s="14" t="str">
        <x:f>IF(E659&lt;0,"Componente negativo — manter e investigar","OK")</x:f>
        <x:v>OK</x:v>
      </x:c>
    </x:row>
    <x:row r="660">
      <x:c r="A660" s="51" t="n">
        <x:v>40179</x:v>
      </x:c>
      <x:c r="B660" s="14" t="str">
        <x:v>Sudeste</x:v>
      </x:c>
      <x:c r="C660" s="14" t="str">
        <x:v>SUDESTE / CENTRO - OESTE</x:v>
      </x:c>
      <x:c r="D660" s="53" t="str">
        <x:v>Cativo</x:v>
      </x:c>
      <x:c r="E660" s="49" t="n">
        <x:v>4934723</x:v>
      </x:c>
      <x:c r="F660" s="52" t="n">
        <x:v>26609660</x:v>
      </x:c>
      <x:c r="G660" s="54" t="n">
        <x:v>46220</x:v>
      </x:c>
      <x:c r="H660" s="14" t="str">
        <x:f>IF(E660&lt;0,"Componente negativo — manter e investigar","OK")</x:f>
        <x:v>OK</x:v>
      </x:c>
    </x:row>
    <x:row r="661">
      <x:c r="A661" s="51" t="n">
        <x:v>40179</x:v>
      </x:c>
      <x:c r="B661" s="14" t="str">
        <x:v>Sul</x:v>
      </x:c>
      <x:c r="C661" s="14" t="str">
        <x:v>SUL</x:v>
      </x:c>
      <x:c r="D661" s="53" t="str">
        <x:v>Cativo</x:v>
      </x:c>
      <x:c r="E661" s="49" t="n">
        <x:v>1576494</x:v>
      </x:c>
      <x:c r="F661" s="52" t="n">
        <x:v>8003140</x:v>
      </x:c>
      <x:c r="G661" s="54" t="n">
        <x:v>46220</x:v>
      </x:c>
      <x:c r="H661" s="14" t="str">
        <x:f>IF(E661&lt;0,"Componente negativo — manter e investigar","OK")</x:f>
        <x:v>OK</x:v>
      </x:c>
    </x:row>
    <x:row r="662">
      <x:c r="A662" s="51" t="n">
        <x:v>40210</x:v>
      </x:c>
      <x:c r="B662" s="14" t="str">
        <x:v>Centro-Oeste</x:v>
      </x:c>
      <x:c r="C662" s="14" t="str">
        <x:v>SISTEMAS ISOLADOS</x:v>
      </x:c>
      <x:c r="D662" s="53" t="str">
        <x:v>Cativo</x:v>
      </x:c>
      <x:c r="E662" s="49" t="n">
        <x:v>2082</x:v>
      </x:c>
      <x:c r="F662" s="52" t="n">
        <x:v>15058</x:v>
      </x:c>
      <x:c r="G662" s="54" t="n">
        <x:v>46220</x:v>
      </x:c>
      <x:c r="H662" s="14" t="str">
        <x:f>IF(E662&lt;0,"Componente negativo — manter e investigar","OK")</x:f>
        <x:v>OK</x:v>
      </x:c>
    </x:row>
    <x:row r="663">
      <x:c r="A663" s="51" t="n">
        <x:v>40210</x:v>
      </x:c>
      <x:c r="B663" s="14" t="str">
        <x:v>Centro-Oeste</x:v>
      </x:c>
      <x:c r="C663" s="14" t="str">
        <x:v>SUDESTE / CENTRO - OESTE</x:v>
      </x:c>
      <x:c r="D663" s="53" t="str">
        <x:v>Cativo</x:v>
      </x:c>
      <x:c r="E663" s="49" t="n">
        <x:v>652174</x:v>
      </x:c>
      <x:c r="F663" s="52" t="n">
        <x:v>4001364</x:v>
      </x:c>
      <x:c r="G663" s="54" t="n">
        <x:v>46220</x:v>
      </x:c>
      <x:c r="H663" s="14" t="str">
        <x:f>IF(E663&lt;0,"Componente negativo — manter e investigar","OK")</x:f>
        <x:v>OK</x:v>
      </x:c>
    </x:row>
    <x:row r="664">
      <x:c r="A664" s="51" t="n">
        <x:v>40210</x:v>
      </x:c>
      <x:c r="B664" s="14" t="str">
        <x:v>Nordeste</x:v>
      </x:c>
      <x:c r="C664" s="14" t="str">
        <x:v>NORDESTE</x:v>
      </x:c>
      <x:c r="D664" s="53" t="str">
        <x:v>Cativo</x:v>
      </x:c>
      <x:c r="E664" s="49" t="n">
        <x:v>1373050</x:v>
      </x:c>
      <x:c r="F664" s="52" t="n">
        <x:v>13020993</x:v>
      </x:c>
      <x:c r="G664" s="54" t="n">
        <x:v>46220</x:v>
      </x:c>
      <x:c r="H664" s="14" t="str">
        <x:f>IF(E664&lt;0,"Componente negativo — manter e investigar","OK")</x:f>
        <x:v>OK</x:v>
      </x:c>
    </x:row>
    <x:row r="665">
      <x:c r="A665" s="51" t="n">
        <x:v>40210</x:v>
      </x:c>
      <x:c r="B665" s="14" t="str">
        <x:v>Nordeste</x:v>
      </x:c>
      <x:c r="C665" s="14" t="str">
        <x:v>NORTE INTERLIGADO</x:v>
      </x:c>
      <x:c r="D665" s="53" t="str">
        <x:v>Cativo</x:v>
      </x:c>
      <x:c r="E665" s="49" t="n">
        <x:v>147766</x:v>
      </x:c>
      <x:c r="F665" s="52" t="n">
        <x:v>1509113</x:v>
      </x:c>
      <x:c r="G665" s="54" t="n">
        <x:v>46220</x:v>
      </x:c>
      <x:c r="H665" s="14" t="str">
        <x:f>IF(E665&lt;0,"Componente negativo — manter e investigar","OK")</x:f>
        <x:v>OK</x:v>
      </x:c>
    </x:row>
    <x:row r="666">
      <x:c r="A666" s="51" t="n">
        <x:v>40210</x:v>
      </x:c>
      <x:c r="B666" s="14" t="str">
        <x:v>Nordeste</x:v>
      </x:c>
      <x:c r="C666" s="14" t="str">
        <x:v>SISTEMAS ISOLADOS</x:v>
      </x:c>
      <x:c r="D666" s="53" t="str">
        <x:v>Cativo</x:v>
      </x:c>
      <x:c r="E666" s="49" t="n">
        <x:v>231</x:v>
      </x:c>
      <x:c r="F666" s="52" t="n">
        <x:v>474</x:v>
      </x:c>
      <x:c r="G666" s="54" t="n">
        <x:v>46220</x:v>
      </x:c>
      <x:c r="H666" s="14" t="str">
        <x:f>IF(E666&lt;0,"Componente negativo — manter e investigar","OK")</x:f>
        <x:v>OK</x:v>
      </x:c>
    </x:row>
    <x:row r="667">
      <x:c r="A667" s="51" t="n">
        <x:v>40210</x:v>
      </x:c>
      <x:c r="B667" s="14" t="str">
        <x:v>Norte</x:v>
      </x:c>
      <x:c r="C667" s="14" t="str">
        <x:v>NORTE INTERLIGADO</x:v>
      </x:c>
      <x:c r="D667" s="53" t="str">
        <x:v>Cativo</x:v>
      </x:c>
      <x:c r="E667" s="49" t="n">
        <x:v>200021</x:v>
      </x:c>
      <x:c r="F667" s="52" t="n">
        <x:v>1616902</x:v>
      </x:c>
      <x:c r="G667" s="54" t="n">
        <x:v>46220</x:v>
      </x:c>
      <x:c r="H667" s="14" t="str">
        <x:f>IF(E667&lt;0,"Componente negativo — manter e investigar","OK")</x:f>
        <x:v>OK</x:v>
      </x:c>
    </x:row>
    <x:row r="668">
      <x:c r="A668" s="51" t="n">
        <x:v>40210</x:v>
      </x:c>
      <x:c r="B668" s="14" t="str">
        <x:v>Norte</x:v>
      </x:c>
      <x:c r="C668" s="14" t="str">
        <x:v>SISTEMAS ISOLADOS</x:v>
      </x:c>
      <x:c r="D668" s="53" t="str">
        <x:v>Cativo</x:v>
      </x:c>
      <x:c r="E668" s="49" t="n">
        <x:v>169673</x:v>
      </x:c>
      <x:c r="F668" s="52" t="n">
        <x:v>985984</x:v>
      </x:c>
      <x:c r="G668" s="54" t="n">
        <x:v>46220</x:v>
      </x:c>
      <x:c r="H668" s="14" t="str">
        <x:f>IF(E668&lt;0,"Componente negativo — manter e investigar","OK")</x:f>
        <x:v>OK</x:v>
      </x:c>
    </x:row>
    <x:row r="669">
      <x:c r="A669" s="51" t="n">
        <x:v>40210</x:v>
      </x:c>
      <x:c r="B669" s="14" t="str">
        <x:v>Norte</x:v>
      </x:c>
      <x:c r="C669" s="14" t="str">
        <x:v>SUDESTE / CENTRO - OESTE</x:v>
      </x:c>
      <x:c r="D669" s="53" t="str">
        <x:v>Cativo</x:v>
      </x:c>
      <x:c r="E669" s="49" t="n">
        <x:v>72852</x:v>
      </x:c>
      <x:c r="F669" s="52" t="n">
        <x:v>416069</x:v>
      </x:c>
      <x:c r="G669" s="54" t="n">
        <x:v>46220</x:v>
      </x:c>
      <x:c r="H669" s="14" t="str">
        <x:f>IF(E669&lt;0,"Componente negativo — manter e investigar","OK")</x:f>
        <x:v>OK</x:v>
      </x:c>
    </x:row>
    <x:row r="670">
      <x:c r="A670" s="51" t="n">
        <x:v>40210</x:v>
      </x:c>
      <x:c r="B670" s="14" t="str">
        <x:v>Sudeste</x:v>
      </x:c>
      <x:c r="C670" s="14" t="str">
        <x:v>SUDESTE / CENTRO - OESTE</x:v>
      </x:c>
      <x:c r="D670" s="53" t="str">
        <x:v>Cativo</x:v>
      </x:c>
      <x:c r="E670" s="49" t="n">
        <x:v>4805332</x:v>
      </x:c>
      <x:c r="F670" s="52" t="n">
        <x:v>26713269</x:v>
      </x:c>
      <x:c r="G670" s="54" t="n">
        <x:v>46220</x:v>
      </x:c>
      <x:c r="H670" s="14" t="str">
        <x:f>IF(E670&lt;0,"Componente negativo — manter e investigar","OK")</x:f>
        <x:v>OK</x:v>
      </x:c>
    </x:row>
    <x:row r="671">
      <x:c r="A671" s="51" t="n">
        <x:v>40210</x:v>
      </x:c>
      <x:c r="B671" s="14" t="str">
        <x:v>Sul</x:v>
      </x:c>
      <x:c r="C671" s="14" t="str">
        <x:v>SUL</x:v>
      </x:c>
      <x:c r="D671" s="53" t="str">
        <x:v>Cativo</x:v>
      </x:c>
      <x:c r="E671" s="49" t="n">
        <x:v>1489158</x:v>
      </x:c>
      <x:c r="F671" s="52" t="n">
        <x:v>7945413</x:v>
      </x:c>
      <x:c r="G671" s="54" t="n">
        <x:v>46220</x:v>
      </x:c>
      <x:c r="H671" s="14" t="str">
        <x:f>IF(E671&lt;0,"Componente negativo — manter e investigar","OK")</x:f>
        <x:v>OK</x:v>
      </x:c>
    </x:row>
    <x:row r="672">
      <x:c r="A672" s="51" t="n">
        <x:v>40238</x:v>
      </x:c>
      <x:c r="B672" s="14" t="str">
        <x:v>Centro-Oeste</x:v>
      </x:c>
      <x:c r="C672" s="14" t="str">
        <x:v>SISTEMAS ISOLADOS</x:v>
      </x:c>
      <x:c r="D672" s="53" t="str">
        <x:v>Cativo</x:v>
      </x:c>
      <x:c r="E672" s="49" t="n">
        <x:v>2273</x:v>
      </x:c>
      <x:c r="F672" s="52" t="n">
        <x:v>15110</x:v>
      </x:c>
      <x:c r="G672" s="54" t="n">
        <x:v>46220</x:v>
      </x:c>
      <x:c r="H672" s="14" t="str">
        <x:f>IF(E672&lt;0,"Componente negativo — manter e investigar","OK")</x:f>
        <x:v>OK</x:v>
      </x:c>
    </x:row>
    <x:row r="673">
      <x:c r="A673" s="51" t="n">
        <x:v>40238</x:v>
      </x:c>
      <x:c r="B673" s="14" t="str">
        <x:v>Centro-Oeste</x:v>
      </x:c>
      <x:c r="C673" s="14" t="str">
        <x:v>SUDESTE / CENTRO - OESTE</x:v>
      </x:c>
      <x:c r="D673" s="53" t="str">
        <x:v>Cativo</x:v>
      </x:c>
      <x:c r="E673" s="49" t="n">
        <x:v>683142</x:v>
      </x:c>
      <x:c r="F673" s="52" t="n">
        <x:v>4008068</x:v>
      </x:c>
      <x:c r="G673" s="54" t="n">
        <x:v>46220</x:v>
      </x:c>
      <x:c r="H673" s="14" t="str">
        <x:f>IF(E673&lt;0,"Componente negativo — manter e investigar","OK")</x:f>
        <x:v>OK</x:v>
      </x:c>
    </x:row>
    <x:row r="674">
      <x:c r="A674" s="51" t="n">
        <x:v>40238</x:v>
      </x:c>
      <x:c r="B674" s="14" t="str">
        <x:v>Nordeste</x:v>
      </x:c>
      <x:c r="C674" s="14" t="str">
        <x:v>NORDESTE</x:v>
      </x:c>
      <x:c r="D674" s="53" t="str">
        <x:v>Cativo</x:v>
      </x:c>
      <x:c r="E674" s="49" t="n">
        <x:v>1521612</x:v>
      </x:c>
      <x:c r="F674" s="52" t="n">
        <x:v>13115875</x:v>
      </x:c>
      <x:c r="G674" s="54" t="n">
        <x:v>46220</x:v>
      </x:c>
      <x:c r="H674" s="14" t="str">
        <x:f>IF(E674&lt;0,"Componente negativo — manter e investigar","OK")</x:f>
        <x:v>OK</x:v>
      </x:c>
    </x:row>
    <x:row r="675">
      <x:c r="A675" s="51" t="n">
        <x:v>40238</x:v>
      </x:c>
      <x:c r="B675" s="14" t="str">
        <x:v>Nordeste</x:v>
      </x:c>
      <x:c r="C675" s="14" t="str">
        <x:v>NORTE INTERLIGADO</x:v>
      </x:c>
      <x:c r="D675" s="53" t="str">
        <x:v>Cativo</x:v>
      </x:c>
      <x:c r="E675" s="49" t="n">
        <x:v>149153</x:v>
      </x:c>
      <x:c r="F675" s="52" t="n">
        <x:v>1518854</x:v>
      </x:c>
      <x:c r="G675" s="54" t="n">
        <x:v>46220</x:v>
      </x:c>
      <x:c r="H675" s="14" t="str">
        <x:f>IF(E675&lt;0,"Componente negativo — manter e investigar","OK")</x:f>
        <x:v>OK</x:v>
      </x:c>
    </x:row>
    <x:row r="676">
      <x:c r="A676" s="51" t="n">
        <x:v>40238</x:v>
      </x:c>
      <x:c r="B676" s="14" t="str">
        <x:v>Nordeste</x:v>
      </x:c>
      <x:c r="C676" s="14" t="str">
        <x:v>SISTEMAS ISOLADOS</x:v>
      </x:c>
      <x:c r="D676" s="53" t="str">
        <x:v>Cativo</x:v>
      </x:c>
      <x:c r="E676" s="49" t="n">
        <x:v>243</x:v>
      </x:c>
      <x:c r="F676" s="52" t="n">
        <x:v>477</x:v>
      </x:c>
      <x:c r="G676" s="54" t="n">
        <x:v>46220</x:v>
      </x:c>
      <x:c r="H676" s="14" t="str">
        <x:f>IF(E676&lt;0,"Componente negativo — manter e investigar","OK")</x:f>
        <x:v>OK</x:v>
      </x:c>
    </x:row>
    <x:row r="677">
      <x:c r="A677" s="51" t="n">
        <x:v>40238</x:v>
      </x:c>
      <x:c r="B677" s="14" t="str">
        <x:v>Norte</x:v>
      </x:c>
      <x:c r="C677" s="14" t="str">
        <x:v>NORTE INTERLIGADO</x:v>
      </x:c>
      <x:c r="D677" s="53" t="str">
        <x:v>Cativo</x:v>
      </x:c>
      <x:c r="E677" s="49" t="n">
        <x:v>217254</x:v>
      </x:c>
      <x:c r="F677" s="52" t="n">
        <x:v>1625551</x:v>
      </x:c>
      <x:c r="G677" s="54" t="n">
        <x:v>46220</x:v>
      </x:c>
      <x:c r="H677" s="14" t="str">
        <x:f>IF(E677&lt;0,"Componente negativo — manter e investigar","OK")</x:f>
        <x:v>OK</x:v>
      </x:c>
    </x:row>
    <x:row r="678">
      <x:c r="A678" s="51" t="n">
        <x:v>40238</x:v>
      </x:c>
      <x:c r="B678" s="14" t="str">
        <x:v>Norte</x:v>
      </x:c>
      <x:c r="C678" s="14" t="str">
        <x:v>SISTEMAS ISOLADOS</x:v>
      </x:c>
      <x:c r="D678" s="53" t="str">
        <x:v>Cativo</x:v>
      </x:c>
      <x:c r="E678" s="49" t="n">
        <x:v>171607</x:v>
      </x:c>
      <x:c r="F678" s="52" t="n">
        <x:v>988597</x:v>
      </x:c>
      <x:c r="G678" s="54" t="n">
        <x:v>46220</x:v>
      </x:c>
      <x:c r="H678" s="14" t="str">
        <x:f>IF(E678&lt;0,"Componente negativo — manter e investigar","OK")</x:f>
        <x:v>OK</x:v>
      </x:c>
    </x:row>
    <x:row r="679">
      <x:c r="A679" s="51" t="n">
        <x:v>40238</x:v>
      </x:c>
      <x:c r="B679" s="14" t="str">
        <x:v>Norte</x:v>
      </x:c>
      <x:c r="C679" s="14" t="str">
        <x:v>SUDESTE / CENTRO - OESTE</x:v>
      </x:c>
      <x:c r="D679" s="53" t="str">
        <x:v>Cativo</x:v>
      </x:c>
      <x:c r="E679" s="49" t="n">
        <x:v>78134</x:v>
      </x:c>
      <x:c r="F679" s="52" t="n">
        <x:v>417415</x:v>
      </x:c>
      <x:c r="G679" s="54" t="n">
        <x:v>46220</x:v>
      </x:c>
      <x:c r="H679" s="14" t="str">
        <x:f>IF(E679&lt;0,"Componente negativo — manter e investigar","OK")</x:f>
        <x:v>OK</x:v>
      </x:c>
    </x:row>
    <x:row r="680">
      <x:c r="A680" s="51" t="n">
        <x:v>40238</x:v>
      </x:c>
      <x:c r="B680" s="14" t="str">
        <x:v>Sudeste</x:v>
      </x:c>
      <x:c r="C680" s="14" t="str">
        <x:v>SUDESTE / CENTRO - OESTE</x:v>
      </x:c>
      <x:c r="D680" s="53" t="str">
        <x:v>Cativo</x:v>
      </x:c>
      <x:c r="E680" s="49" t="n">
        <x:v>4841148</x:v>
      </x:c>
      <x:c r="F680" s="52" t="n">
        <x:v>26787133</x:v>
      </x:c>
      <x:c r="G680" s="54" t="n">
        <x:v>46220</x:v>
      </x:c>
      <x:c r="H680" s="14" t="str">
        <x:f>IF(E680&lt;0,"Componente negativo — manter e investigar","OK")</x:f>
        <x:v>OK</x:v>
      </x:c>
    </x:row>
    <x:row r="681">
      <x:c r="A681" s="51" t="n">
        <x:v>40238</x:v>
      </x:c>
      <x:c r="B681" s="14" t="str">
        <x:v>Sul</x:v>
      </x:c>
      <x:c r="C681" s="14" t="str">
        <x:v>SUL</x:v>
      </x:c>
      <x:c r="D681" s="53" t="str">
        <x:v>Cativo</x:v>
      </x:c>
      <x:c r="E681" s="49" t="n">
        <x:v>1488181</x:v>
      </x:c>
      <x:c r="F681" s="52" t="n">
        <x:v>8062997</x:v>
      </x:c>
      <x:c r="G681" s="54" t="n">
        <x:v>46220</x:v>
      </x:c>
      <x:c r="H681" s="14" t="str">
        <x:f>IF(E681&lt;0,"Componente negativo — manter e investigar","OK")</x:f>
        <x:v>OK</x:v>
      </x:c>
    </x:row>
    <x:row r="682">
      <x:c r="A682" s="51" t="n">
        <x:v>40269</x:v>
      </x:c>
      <x:c r="B682" s="14" t="str">
        <x:v>Centro-Oeste</x:v>
      </x:c>
      <x:c r="C682" s="14" t="str">
        <x:v>SISTEMAS ISOLADOS</x:v>
      </x:c>
      <x:c r="D682" s="53" t="str">
        <x:v>Cativo</x:v>
      </x:c>
      <x:c r="E682" s="49" t="n">
        <x:v>2361</x:v>
      </x:c>
      <x:c r="F682" s="52" t="n">
        <x:v>15208</x:v>
      </x:c>
      <x:c r="G682" s="54" t="n">
        <x:v>46220</x:v>
      </x:c>
      <x:c r="H682" s="14" t="str">
        <x:f>IF(E682&lt;0,"Componente negativo — manter e investigar","OK")</x:f>
        <x:v>OK</x:v>
      </x:c>
    </x:row>
    <x:row r="683">
      <x:c r="A683" s="51" t="n">
        <x:v>40269</x:v>
      </x:c>
      <x:c r="B683" s="14" t="str">
        <x:v>Centro-Oeste</x:v>
      </x:c>
      <x:c r="C683" s="14" t="str">
        <x:v>SUDESTE / CENTRO - OESTE</x:v>
      </x:c>
      <x:c r="D683" s="53" t="str">
        <x:v>Cativo</x:v>
      </x:c>
      <x:c r="E683" s="49" t="n">
        <x:v>686212</x:v>
      </x:c>
      <x:c r="F683" s="52" t="n">
        <x:v>4025455</x:v>
      </x:c>
      <x:c r="G683" s="54" t="n">
        <x:v>46220</x:v>
      </x:c>
      <x:c r="H683" s="14" t="str">
        <x:f>IF(E683&lt;0,"Componente negativo — manter e investigar","OK")</x:f>
        <x:v>OK</x:v>
      </x:c>
    </x:row>
    <x:row r="684">
      <x:c r="A684" s="51" t="n">
        <x:v>40269</x:v>
      </x:c>
      <x:c r="B684" s="14" t="str">
        <x:v>Nordeste</x:v>
      </x:c>
      <x:c r="C684" s="14" t="str">
        <x:v>NORDESTE</x:v>
      </x:c>
      <x:c r="D684" s="53" t="str">
        <x:v>Cativo</x:v>
      </x:c>
      <x:c r="E684" s="49" t="n">
        <x:v>1499496</x:v>
      </x:c>
      <x:c r="F684" s="52" t="n">
        <x:v>13184855</x:v>
      </x:c>
      <x:c r="G684" s="54" t="n">
        <x:v>46220</x:v>
      </x:c>
      <x:c r="H684" s="14" t="str">
        <x:f>IF(E684&lt;0,"Componente negativo — manter e investigar","OK")</x:f>
        <x:v>OK</x:v>
      </x:c>
    </x:row>
    <x:row r="685">
      <x:c r="A685" s="51" t="n">
        <x:v>40269</x:v>
      </x:c>
      <x:c r="B685" s="14" t="str">
        <x:v>Nordeste</x:v>
      </x:c>
      <x:c r="C685" s="14" t="str">
        <x:v>NORTE INTERLIGADO</x:v>
      </x:c>
      <x:c r="D685" s="53" t="str">
        <x:v>Cativo</x:v>
      </x:c>
      <x:c r="E685" s="49" t="n">
        <x:v>160009</x:v>
      </x:c>
      <x:c r="F685" s="52" t="n">
        <x:v>1524486</x:v>
      </x:c>
      <x:c r="G685" s="54" t="n">
        <x:v>46220</x:v>
      </x:c>
      <x:c r="H685" s="14" t="str">
        <x:f>IF(E685&lt;0,"Componente negativo — manter e investigar","OK")</x:f>
        <x:v>OK</x:v>
      </x:c>
    </x:row>
    <x:row r="686">
      <x:c r="A686" s="51" t="n">
        <x:v>40269</x:v>
      </x:c>
      <x:c r="B686" s="14" t="str">
        <x:v>Nordeste</x:v>
      </x:c>
      <x:c r="C686" s="14" t="str">
        <x:v>SISTEMAS ISOLADOS</x:v>
      </x:c>
      <x:c r="D686" s="53" t="str">
        <x:v>Cativo</x:v>
      </x:c>
      <x:c r="E686" s="49" t="n">
        <x:v>223</x:v>
      </x:c>
      <x:c r="F686" s="52" t="n">
        <x:v>476</x:v>
      </x:c>
      <x:c r="G686" s="54" t="n">
        <x:v>46220</x:v>
      </x:c>
      <x:c r="H686" s="14" t="str">
        <x:f>IF(E686&lt;0,"Componente negativo — manter e investigar","OK")</x:f>
        <x:v>OK</x:v>
      </x:c>
    </x:row>
    <x:row r="687">
      <x:c r="A687" s="51" t="n">
        <x:v>40269</x:v>
      </x:c>
      <x:c r="B687" s="14" t="str">
        <x:v>Norte</x:v>
      </x:c>
      <x:c r="C687" s="14" t="str">
        <x:v>NORTE INTERLIGADO</x:v>
      </x:c>
      <x:c r="D687" s="53" t="str">
        <x:v>Cativo</x:v>
      </x:c>
      <x:c r="E687" s="49" t="n">
        <x:v>222629</x:v>
      </x:c>
      <x:c r="F687" s="52" t="n">
        <x:v>1636600</x:v>
      </x:c>
      <x:c r="G687" s="54" t="n">
        <x:v>46220</x:v>
      </x:c>
      <x:c r="H687" s="14" t="str">
        <x:f>IF(E687&lt;0,"Componente negativo — manter e investigar","OK")</x:f>
        <x:v>OK</x:v>
      </x:c>
    </x:row>
    <x:row r="688">
      <x:c r="A688" s="51" t="n">
        <x:v>40269</x:v>
      </x:c>
      <x:c r="B688" s="14" t="str">
        <x:v>Norte</x:v>
      </x:c>
      <x:c r="C688" s="14" t="str">
        <x:v>SISTEMAS ISOLADOS</x:v>
      </x:c>
      <x:c r="D688" s="53" t="str">
        <x:v>Cativo</x:v>
      </x:c>
      <x:c r="E688" s="49" t="n">
        <x:v>181138</x:v>
      </x:c>
      <x:c r="F688" s="52" t="n">
        <x:v>991082</x:v>
      </x:c>
      <x:c r="G688" s="54" t="n">
        <x:v>46220</x:v>
      </x:c>
      <x:c r="H688" s="14" t="str">
        <x:f>IF(E688&lt;0,"Componente negativo — manter e investigar","OK")</x:f>
        <x:v>OK</x:v>
      </x:c>
    </x:row>
    <x:row r="689">
      <x:c r="A689" s="51" t="n">
        <x:v>40269</x:v>
      </x:c>
      <x:c r="B689" s="14" t="str">
        <x:v>Norte</x:v>
      </x:c>
      <x:c r="C689" s="14" t="str">
        <x:v>SUDESTE / CENTRO - OESTE</x:v>
      </x:c>
      <x:c r="D689" s="53" t="str">
        <x:v>Cativo</x:v>
      </x:c>
      <x:c r="E689" s="49" t="n">
        <x:v>83261</x:v>
      </x:c>
      <x:c r="F689" s="52" t="n">
        <x:v>419546</x:v>
      </x:c>
      <x:c r="G689" s="54" t="n">
        <x:v>46220</x:v>
      </x:c>
      <x:c r="H689" s="14" t="str">
        <x:f>IF(E689&lt;0,"Componente negativo — manter e investigar","OK")</x:f>
        <x:v>OK</x:v>
      </x:c>
    </x:row>
    <x:row r="690">
      <x:c r="A690" s="51" t="n">
        <x:v>40269</x:v>
      </x:c>
      <x:c r="B690" s="14" t="str">
        <x:v>Sudeste</x:v>
      </x:c>
      <x:c r="C690" s="14" t="str">
        <x:v>SUDESTE / CENTRO - OESTE</x:v>
      </x:c>
      <x:c r="D690" s="53" t="str">
        <x:v>Cativo</x:v>
      </x:c>
      <x:c r="E690" s="49" t="n">
        <x:v>4871630</x:v>
      </x:c>
      <x:c r="F690" s="52" t="n">
        <x:v>26809655</x:v>
      </x:c>
      <x:c r="G690" s="54" t="n">
        <x:v>46220</x:v>
      </x:c>
      <x:c r="H690" s="14" t="str">
        <x:f>IF(E690&lt;0,"Componente negativo — manter e investigar","OK")</x:f>
        <x:v>OK</x:v>
      </x:c>
    </x:row>
    <x:row r="691">
      <x:c r="A691" s="51" t="n">
        <x:v>40269</x:v>
      </x:c>
      <x:c r="B691" s="14" t="str">
        <x:v>Sul</x:v>
      </x:c>
      <x:c r="C691" s="14" t="str">
        <x:v>SUL</x:v>
      </x:c>
      <x:c r="D691" s="53" t="str">
        <x:v>Cativo</x:v>
      </x:c>
      <x:c r="E691" s="49" t="n">
        <x:v>1443291</x:v>
      </x:c>
      <x:c r="F691" s="52" t="n">
        <x:v>8030950</x:v>
      </x:c>
      <x:c r="G691" s="54" t="n">
        <x:v>46220</x:v>
      </x:c>
      <x:c r="H691" s="14" t="str">
        <x:f>IF(E691&lt;0,"Componente negativo — manter e investigar","OK")</x:f>
        <x:v>OK</x:v>
      </x:c>
    </x:row>
    <x:row r="692">
      <x:c r="A692" s="51" t="n">
        <x:v>40299</x:v>
      </x:c>
      <x:c r="B692" s="14" t="str">
        <x:v>Centro-Oeste</x:v>
      </x:c>
      <x:c r="C692" s="14" t="str">
        <x:v>SISTEMAS ISOLADOS</x:v>
      </x:c>
      <x:c r="D692" s="53" t="str">
        <x:v>Cativo</x:v>
      </x:c>
      <x:c r="E692" s="49" t="n">
        <x:v>2363</x:v>
      </x:c>
      <x:c r="F692" s="52" t="n">
        <x:v>15195</x:v>
      </x:c>
      <x:c r="G692" s="54" t="n">
        <x:v>46220</x:v>
      </x:c>
      <x:c r="H692" s="14" t="str">
        <x:f>IF(E692&lt;0,"Componente negativo — manter e investigar","OK")</x:f>
        <x:v>OK</x:v>
      </x:c>
    </x:row>
    <x:row r="693">
      <x:c r="A693" s="51" t="n">
        <x:v>40299</x:v>
      </x:c>
      <x:c r="B693" s="14" t="str">
        <x:v>Centro-Oeste</x:v>
      </x:c>
      <x:c r="C693" s="14" t="str">
        <x:v>SUDESTE / CENTRO - OESTE</x:v>
      </x:c>
      <x:c r="D693" s="53" t="str">
        <x:v>Cativo</x:v>
      </x:c>
      <x:c r="E693" s="49" t="n">
        <x:v>667225</x:v>
      </x:c>
      <x:c r="F693" s="52" t="n">
        <x:v>4039645</x:v>
      </x:c>
      <x:c r="G693" s="54" t="n">
        <x:v>46220</x:v>
      </x:c>
      <x:c r="H693" s="14" t="str">
        <x:f>IF(E693&lt;0,"Componente negativo — manter e investigar","OK")</x:f>
        <x:v>OK</x:v>
      </x:c>
    </x:row>
    <x:row r="694">
      <x:c r="A694" s="51" t="n">
        <x:v>40299</x:v>
      </x:c>
      <x:c r="B694" s="14" t="str">
        <x:v>Nordeste</x:v>
      </x:c>
      <x:c r="C694" s="14" t="str">
        <x:v>NORDESTE</x:v>
      </x:c>
      <x:c r="D694" s="53" t="str">
        <x:v>Cativo</x:v>
      </x:c>
      <x:c r="E694" s="49" t="n">
        <x:v>1460283</x:v>
      </x:c>
      <x:c r="F694" s="52" t="n">
        <x:v>13248523</x:v>
      </x:c>
      <x:c r="G694" s="54" t="n">
        <x:v>46220</x:v>
      </x:c>
      <x:c r="H694" s="14" t="str">
        <x:f>IF(E694&lt;0,"Componente negativo — manter e investigar","OK")</x:f>
        <x:v>OK</x:v>
      </x:c>
    </x:row>
    <x:row r="695">
      <x:c r="A695" s="51" t="n">
        <x:v>40299</x:v>
      </x:c>
      <x:c r="B695" s="14" t="str">
        <x:v>Nordeste</x:v>
      </x:c>
      <x:c r="C695" s="14" t="str">
        <x:v>NORTE INTERLIGADO</x:v>
      </x:c>
      <x:c r="D695" s="53" t="str">
        <x:v>Cativo</x:v>
      </x:c>
      <x:c r="E695" s="49" t="n">
        <x:v>155650</x:v>
      </x:c>
      <x:c r="F695" s="52" t="n">
        <x:v>1534701</x:v>
      </x:c>
      <x:c r="G695" s="54" t="n">
        <x:v>46220</x:v>
      </x:c>
      <x:c r="H695" s="14" t="str">
        <x:f>IF(E695&lt;0,"Componente negativo — manter e investigar","OK")</x:f>
        <x:v>OK</x:v>
      </x:c>
    </x:row>
    <x:row r="696">
      <x:c r="A696" s="51" t="n">
        <x:v>40299</x:v>
      </x:c>
      <x:c r="B696" s="14" t="str">
        <x:v>Nordeste</x:v>
      </x:c>
      <x:c r="C696" s="14" t="str">
        <x:v>SISTEMAS ISOLADOS</x:v>
      </x:c>
      <x:c r="D696" s="53" t="str">
        <x:v>Cativo</x:v>
      </x:c>
      <x:c r="E696" s="49" t="n">
        <x:v>223</x:v>
      </x:c>
      <x:c r="F696" s="52" t="n">
        <x:v>478</x:v>
      </x:c>
      <x:c r="G696" s="54" t="n">
        <x:v>46220</x:v>
      </x:c>
      <x:c r="H696" s="14" t="str">
        <x:f>IF(E696&lt;0,"Componente negativo — manter e investigar","OK")</x:f>
        <x:v>OK</x:v>
      </x:c>
    </x:row>
    <x:row r="697">
      <x:c r="A697" s="51" t="n">
        <x:v>40299</x:v>
      </x:c>
      <x:c r="B697" s="14" t="str">
        <x:v>Norte</x:v>
      </x:c>
      <x:c r="C697" s="14" t="str">
        <x:v>NORTE INTERLIGADO</x:v>
      </x:c>
      <x:c r="D697" s="53" t="str">
        <x:v>Cativo</x:v>
      </x:c>
      <x:c r="E697" s="49" t="n">
        <x:v>219608</x:v>
      </x:c>
      <x:c r="F697" s="52" t="n">
        <x:v>1646087</x:v>
      </x:c>
      <x:c r="G697" s="54" t="n">
        <x:v>46220</x:v>
      </x:c>
      <x:c r="H697" s="14" t="str">
        <x:f>IF(E697&lt;0,"Componente negativo — manter e investigar","OK")</x:f>
        <x:v>OK</x:v>
      </x:c>
    </x:row>
    <x:row r="698">
      <x:c r="A698" s="51" t="n">
        <x:v>40299</x:v>
      </x:c>
      <x:c r="B698" s="14" t="str">
        <x:v>Norte</x:v>
      </x:c>
      <x:c r="C698" s="14" t="str">
        <x:v>SISTEMAS ISOLADOS</x:v>
      </x:c>
      <x:c r="D698" s="53" t="str">
        <x:v>Cativo</x:v>
      </x:c>
      <x:c r="E698" s="49" t="n">
        <x:v>177378</x:v>
      </x:c>
      <x:c r="F698" s="52" t="n">
        <x:v>991480</x:v>
      </x:c>
      <x:c r="G698" s="54" t="n">
        <x:v>46220</x:v>
      </x:c>
      <x:c r="H698" s="14" t="str">
        <x:f>IF(E698&lt;0,"Componente negativo — manter e investigar","OK")</x:f>
        <x:v>OK</x:v>
      </x:c>
    </x:row>
    <x:row r="699">
      <x:c r="A699" s="51" t="n">
        <x:v>40299</x:v>
      </x:c>
      <x:c r="B699" s="14" t="str">
        <x:v>Norte</x:v>
      </x:c>
      <x:c r="C699" s="14" t="str">
        <x:v>SUDESTE / CENTRO - OESTE</x:v>
      </x:c>
      <x:c r="D699" s="53" t="str">
        <x:v>Cativo</x:v>
      </x:c>
      <x:c r="E699" s="49" t="n">
        <x:v>82202</x:v>
      </x:c>
      <x:c r="F699" s="52" t="n">
        <x:v>421400</x:v>
      </x:c>
      <x:c r="G699" s="54" t="n">
        <x:v>46220</x:v>
      </x:c>
      <x:c r="H699" s="14" t="str">
        <x:f>IF(E699&lt;0,"Componente negativo — manter e investigar","OK")</x:f>
        <x:v>OK</x:v>
      </x:c>
    </x:row>
    <x:row r="700">
      <x:c r="A700" s="51" t="n">
        <x:v>40299</x:v>
      </x:c>
      <x:c r="B700" s="14" t="str">
        <x:v>Sudeste</x:v>
      </x:c>
      <x:c r="C700" s="14" t="str">
        <x:v>SUDESTE / CENTRO - OESTE</x:v>
      </x:c>
      <x:c r="D700" s="53" t="str">
        <x:v>Cativo</x:v>
      </x:c>
      <x:c r="E700" s="49" t="n">
        <x:v>4594567</x:v>
      </x:c>
      <x:c r="F700" s="52" t="n">
        <x:v>26860681</x:v>
      </x:c>
      <x:c r="G700" s="54" t="n">
        <x:v>46220</x:v>
      </x:c>
      <x:c r="H700" s="14" t="str">
        <x:f>IF(E700&lt;0,"Componente negativo — manter e investigar","OK")</x:f>
        <x:v>OK</x:v>
      </x:c>
    </x:row>
    <x:row r="701">
      <x:c r="A701" s="51" t="n">
        <x:v>40299</x:v>
      </x:c>
      <x:c r="B701" s="14" t="str">
        <x:v>Sul</x:v>
      </x:c>
      <x:c r="C701" s="14" t="str">
        <x:v>SUL</x:v>
      </x:c>
      <x:c r="D701" s="53" t="str">
        <x:v>Cativo</x:v>
      </x:c>
      <x:c r="E701" s="49" t="n">
        <x:v>1349500</x:v>
      </x:c>
      <x:c r="F701" s="52" t="n">
        <x:v>8037158</x:v>
      </x:c>
      <x:c r="G701" s="54" t="n">
        <x:v>46220</x:v>
      </x:c>
      <x:c r="H701" s="14" t="str">
        <x:f>IF(E701&lt;0,"Componente negativo — manter e investigar","OK")</x:f>
        <x:v>OK</x:v>
      </x:c>
    </x:row>
    <x:row r="702">
      <x:c r="A702" s="51" t="n">
        <x:v>40330</x:v>
      </x:c>
      <x:c r="B702" s="14" t="str">
        <x:v>Centro-Oeste</x:v>
      </x:c>
      <x:c r="C702" s="14" t="str">
        <x:v>SISTEMAS ISOLADOS</x:v>
      </x:c>
      <x:c r="D702" s="53" t="str">
        <x:v>Cativo</x:v>
      </x:c>
      <x:c r="E702" s="49" t="n">
        <x:v>2347</x:v>
      </x:c>
      <x:c r="F702" s="52" t="n">
        <x:v>15237</x:v>
      </x:c>
      <x:c r="G702" s="54" t="n">
        <x:v>46220</x:v>
      </x:c>
      <x:c r="H702" s="14" t="str">
        <x:f>IF(E702&lt;0,"Componente negativo — manter e investigar","OK")</x:f>
        <x:v>OK</x:v>
      </x:c>
    </x:row>
    <x:row r="703">
      <x:c r="A703" s="51" t="n">
        <x:v>40330</x:v>
      </x:c>
      <x:c r="B703" s="14" t="str">
        <x:v>Centro-Oeste</x:v>
      </x:c>
      <x:c r="C703" s="14" t="str">
        <x:v>SUDESTE / CENTRO - OESTE</x:v>
      </x:c>
      <x:c r="D703" s="53" t="str">
        <x:v>Cativo</x:v>
      </x:c>
      <x:c r="E703" s="49" t="n">
        <x:v>665173</x:v>
      </x:c>
      <x:c r="F703" s="52" t="n">
        <x:v>4052983</x:v>
      </x:c>
      <x:c r="G703" s="54" t="n">
        <x:v>46220</x:v>
      </x:c>
      <x:c r="H703" s="14" t="str">
        <x:f>IF(E703&lt;0,"Componente negativo — manter e investigar","OK")</x:f>
        <x:v>OK</x:v>
      </x:c>
    </x:row>
    <x:row r="704">
      <x:c r="A704" s="51" t="n">
        <x:v>40330</x:v>
      </x:c>
      <x:c r="B704" s="14" t="str">
        <x:v>Nordeste</x:v>
      </x:c>
      <x:c r="C704" s="14" t="str">
        <x:v>NORDESTE</x:v>
      </x:c>
      <x:c r="D704" s="53" t="str">
        <x:v>Cativo</x:v>
      </x:c>
      <x:c r="E704" s="49" t="n">
        <x:v>1442868</x:v>
      </x:c>
      <x:c r="F704" s="52" t="n">
        <x:v>13297235</x:v>
      </x:c>
      <x:c r="G704" s="54" t="n">
        <x:v>46220</x:v>
      </x:c>
      <x:c r="H704" s="14" t="str">
        <x:f>IF(E704&lt;0,"Componente negativo — manter e investigar","OK")</x:f>
        <x:v>OK</x:v>
      </x:c>
    </x:row>
    <x:row r="705">
      <x:c r="A705" s="51" t="n">
        <x:v>40330</x:v>
      </x:c>
      <x:c r="B705" s="14" t="str">
        <x:v>Nordeste</x:v>
      </x:c>
      <x:c r="C705" s="14" t="str">
        <x:v>NORTE INTERLIGADO</x:v>
      </x:c>
      <x:c r="D705" s="53" t="str">
        <x:v>Cativo</x:v>
      </x:c>
      <x:c r="E705" s="49" t="n">
        <x:v>158906</x:v>
      </x:c>
      <x:c r="F705" s="52" t="n">
        <x:v>1542031</x:v>
      </x:c>
      <x:c r="G705" s="54" t="n">
        <x:v>46220</x:v>
      </x:c>
      <x:c r="H705" s="14" t="str">
        <x:f>IF(E705&lt;0,"Componente negativo — manter e investigar","OK")</x:f>
        <x:v>OK</x:v>
      </x:c>
    </x:row>
    <x:row r="706">
      <x:c r="A706" s="51" t="n">
        <x:v>40330</x:v>
      </x:c>
      <x:c r="B706" s="14" t="str">
        <x:v>Nordeste</x:v>
      </x:c>
      <x:c r="C706" s="14" t="str">
        <x:v>SISTEMAS ISOLADOS</x:v>
      </x:c>
      <x:c r="D706" s="53" t="str">
        <x:v>Cativo</x:v>
      </x:c>
      <x:c r="E706" s="49" t="n">
        <x:v>224</x:v>
      </x:c>
      <x:c r="F706" s="52" t="n">
        <x:v>480</x:v>
      </x:c>
      <x:c r="G706" s="54" t="n">
        <x:v>46220</x:v>
      </x:c>
      <x:c r="H706" s="14" t="str">
        <x:f>IF(E706&lt;0,"Componente negativo — manter e investigar","OK")</x:f>
        <x:v>OK</x:v>
      </x:c>
    </x:row>
    <x:row r="707">
      <x:c r="A707" s="51" t="n">
        <x:v>40330</x:v>
      </x:c>
      <x:c r="B707" s="14" t="str">
        <x:v>Norte</x:v>
      </x:c>
      <x:c r="C707" s="14" t="str">
        <x:v>NORTE INTERLIGADO</x:v>
      </x:c>
      <x:c r="D707" s="53" t="str">
        <x:v>Cativo</x:v>
      </x:c>
      <x:c r="E707" s="49" t="n">
        <x:v>235342</x:v>
      </x:c>
      <x:c r="F707" s="52" t="n">
        <x:v>1657408</x:v>
      </x:c>
      <x:c r="G707" s="54" t="n">
        <x:v>46220</x:v>
      </x:c>
      <x:c r="H707" s="14" t="str">
        <x:f>IF(E707&lt;0,"Componente negativo — manter e investigar","OK")</x:f>
        <x:v>OK</x:v>
      </x:c>
    </x:row>
    <x:row r="708">
      <x:c r="A708" s="51" t="n">
        <x:v>40330</x:v>
      </x:c>
      <x:c r="B708" s="14" t="str">
        <x:v>Norte</x:v>
      </x:c>
      <x:c r="C708" s="14" t="str">
        <x:v>SISTEMAS ISOLADOS</x:v>
      </x:c>
      <x:c r="D708" s="53" t="str">
        <x:v>Cativo</x:v>
      </x:c>
      <x:c r="E708" s="49" t="n">
        <x:v>184558</x:v>
      </x:c>
      <x:c r="F708" s="52" t="n">
        <x:v>991703</x:v>
      </x:c>
      <x:c r="G708" s="54" t="n">
        <x:v>46220</x:v>
      </x:c>
      <x:c r="H708" s="14" t="str">
        <x:f>IF(E708&lt;0,"Componente negativo — manter e investigar","OK")</x:f>
        <x:v>OK</x:v>
      </x:c>
    </x:row>
    <x:row r="709">
      <x:c r="A709" s="51" t="n">
        <x:v>40330</x:v>
      </x:c>
      <x:c r="B709" s="14" t="str">
        <x:v>Norte</x:v>
      </x:c>
      <x:c r="C709" s="14" t="str">
        <x:v>SUDESTE / CENTRO - OESTE</x:v>
      </x:c>
      <x:c r="D709" s="53" t="str">
        <x:v>Cativo</x:v>
      </x:c>
      <x:c r="E709" s="49" t="n">
        <x:v>77584</x:v>
      </x:c>
      <x:c r="F709" s="52" t="n">
        <x:v>422803</x:v>
      </x:c>
      <x:c r="G709" s="54" t="n">
        <x:v>46220</x:v>
      </x:c>
      <x:c r="H709" s="14" t="str">
        <x:f>IF(E709&lt;0,"Componente negativo — manter e investigar","OK")</x:f>
        <x:v>OK</x:v>
      </x:c>
    </x:row>
    <x:row r="710">
      <x:c r="A710" s="51" t="n">
        <x:v>40330</x:v>
      </x:c>
      <x:c r="B710" s="14" t="str">
        <x:v>Sudeste</x:v>
      </x:c>
      <x:c r="C710" s="14" t="str">
        <x:v>SUDESTE / CENTRO - OESTE</x:v>
      </x:c>
      <x:c r="D710" s="53" t="str">
        <x:v>Cativo</x:v>
      </x:c>
      <x:c r="E710" s="49" t="n">
        <x:v>4520711</x:v>
      </x:c>
      <x:c r="F710" s="52" t="n">
        <x:v>26902855</x:v>
      </x:c>
      <x:c r="G710" s="54" t="n">
        <x:v>46220</x:v>
      </x:c>
      <x:c r="H710" s="14" t="str">
        <x:f>IF(E710&lt;0,"Componente negativo — manter e investigar","OK")</x:f>
        <x:v>OK</x:v>
      </x:c>
    </x:row>
    <x:row r="711">
      <x:c r="A711" s="51" t="n">
        <x:v>40330</x:v>
      </x:c>
      <x:c r="B711" s="14" t="str">
        <x:v>Sul</x:v>
      </x:c>
      <x:c r="C711" s="14" t="str">
        <x:v>SUL</x:v>
      </x:c>
      <x:c r="D711" s="53" t="str">
        <x:v>Cativo</x:v>
      </x:c>
      <x:c r="E711" s="49" t="n">
        <x:v>1388083</x:v>
      </x:c>
      <x:c r="F711" s="52" t="n">
        <x:v>8051319</x:v>
      </x:c>
      <x:c r="G711" s="54" t="n">
        <x:v>46220</x:v>
      </x:c>
      <x:c r="H711" s="14" t="str">
        <x:f>IF(E711&lt;0,"Componente negativo — manter e investigar","OK")</x:f>
        <x:v>OK</x:v>
      </x:c>
    </x:row>
    <x:row r="712">
      <x:c r="A712" s="51" t="n">
        <x:v>40360</x:v>
      </x:c>
      <x:c r="B712" s="14" t="str">
        <x:v>Centro-Oeste</x:v>
      </x:c>
      <x:c r="C712" s="14" t="str">
        <x:v>SISTEMAS ISOLADOS</x:v>
      </x:c>
      <x:c r="D712" s="53" t="str">
        <x:v>Cativo</x:v>
      </x:c>
      <x:c r="E712" s="49" t="n">
        <x:v>2329</x:v>
      </x:c>
      <x:c r="F712" s="52" t="n">
        <x:v>15398</x:v>
      </x:c>
      <x:c r="G712" s="54" t="n">
        <x:v>46220</x:v>
      </x:c>
      <x:c r="H712" s="14" t="str">
        <x:f>IF(E712&lt;0,"Componente negativo — manter e investigar","OK")</x:f>
        <x:v>OK</x:v>
      </x:c>
    </x:row>
    <x:row r="713">
      <x:c r="A713" s="51" t="n">
        <x:v>40360</x:v>
      </x:c>
      <x:c r="B713" s="14" t="str">
        <x:v>Centro-Oeste</x:v>
      </x:c>
      <x:c r="C713" s="14" t="str">
        <x:v>SUDESTE / CENTRO - OESTE</x:v>
      </x:c>
      <x:c r="D713" s="53" t="str">
        <x:v>Cativo</x:v>
      </x:c>
      <x:c r="E713" s="49" t="n">
        <x:v>632785</x:v>
      </x:c>
      <x:c r="F713" s="52" t="n">
        <x:v>4068401</x:v>
      </x:c>
      <x:c r="G713" s="54" t="n">
        <x:v>46220</x:v>
      </x:c>
      <x:c r="H713" s="14" t="str">
        <x:f>IF(E713&lt;0,"Componente negativo — manter e investigar","OK")</x:f>
        <x:v>OK</x:v>
      </x:c>
    </x:row>
    <x:row r="714">
      <x:c r="A714" s="51" t="n">
        <x:v>40360</x:v>
      </x:c>
      <x:c r="B714" s="14" t="str">
        <x:v>Nordeste</x:v>
      </x:c>
      <x:c r="C714" s="14" t="str">
        <x:v>NORDESTE</x:v>
      </x:c>
      <x:c r="D714" s="53" t="str">
        <x:v>Cativo</x:v>
      </x:c>
      <x:c r="E714" s="49" t="n">
        <x:v>1388306</x:v>
      </x:c>
      <x:c r="F714" s="52" t="n">
        <x:v>13348386</x:v>
      </x:c>
      <x:c r="G714" s="54" t="n">
        <x:v>46220</x:v>
      </x:c>
      <x:c r="H714" s="14" t="str">
        <x:f>IF(E714&lt;0,"Componente negativo — manter e investigar","OK")</x:f>
        <x:v>OK</x:v>
      </x:c>
    </x:row>
    <x:row r="715">
      <x:c r="A715" s="51" t="n">
        <x:v>40360</x:v>
      </x:c>
      <x:c r="B715" s="14" t="str">
        <x:v>Nordeste</x:v>
      </x:c>
      <x:c r="C715" s="14" t="str">
        <x:v>NORTE INTERLIGADO</x:v>
      </x:c>
      <x:c r="D715" s="53" t="str">
        <x:v>Cativo</x:v>
      </x:c>
      <x:c r="E715" s="49" t="n">
        <x:v>153337</x:v>
      </x:c>
      <x:c r="F715" s="52" t="n">
        <x:v>1555045</x:v>
      </x:c>
      <x:c r="G715" s="54" t="n">
        <x:v>46220</x:v>
      </x:c>
      <x:c r="H715" s="14" t="str">
        <x:f>IF(E715&lt;0,"Componente negativo — manter e investigar","OK")</x:f>
        <x:v>OK</x:v>
      </x:c>
    </x:row>
    <x:row r="716">
      <x:c r="A716" s="51" t="n">
        <x:v>40360</x:v>
      </x:c>
      <x:c r="B716" s="14" t="str">
        <x:v>Nordeste</x:v>
      </x:c>
      <x:c r="C716" s="14" t="str">
        <x:v>SISTEMAS ISOLADOS</x:v>
      </x:c>
      <x:c r="D716" s="53" t="str">
        <x:v>Cativo</x:v>
      </x:c>
      <x:c r="E716" s="49" t="n">
        <x:v>212</x:v>
      </x:c>
      <x:c r="F716" s="52" t="n">
        <x:v>482</x:v>
      </x:c>
      <x:c r="G716" s="54" t="n">
        <x:v>46220</x:v>
      </x:c>
      <x:c r="H716" s="14" t="str">
        <x:f>IF(E716&lt;0,"Componente negativo — manter e investigar","OK")</x:f>
        <x:v>OK</x:v>
      </x:c>
    </x:row>
    <x:row r="717">
      <x:c r="A717" s="51" t="n">
        <x:v>40360</x:v>
      </x:c>
      <x:c r="B717" s="14" t="str">
        <x:v>Norte</x:v>
      </x:c>
      <x:c r="C717" s="14" t="str">
        <x:v>NORTE INTERLIGADO</x:v>
      </x:c>
      <x:c r="D717" s="53" t="str">
        <x:v>Cativo</x:v>
      </x:c>
      <x:c r="E717" s="49" t="n">
        <x:v>224636</x:v>
      </x:c>
      <x:c r="F717" s="52" t="n">
        <x:v>1666965</x:v>
      </x:c>
      <x:c r="G717" s="54" t="n">
        <x:v>46220</x:v>
      </x:c>
      <x:c r="H717" s="14" t="str">
        <x:f>IF(E717&lt;0,"Componente negativo — manter e investigar","OK")</x:f>
        <x:v>OK</x:v>
      </x:c>
    </x:row>
    <x:row r="718">
      <x:c r="A718" s="51" t="n">
        <x:v>40360</x:v>
      </x:c>
      <x:c r="B718" s="14" t="str">
        <x:v>Norte</x:v>
      </x:c>
      <x:c r="C718" s="14" t="str">
        <x:v>SISTEMAS ISOLADOS</x:v>
      </x:c>
      <x:c r="D718" s="53" t="str">
        <x:v>Cativo</x:v>
      </x:c>
      <x:c r="E718" s="49" t="n">
        <x:v>181801</x:v>
      </x:c>
      <x:c r="F718" s="52" t="n">
        <x:v>996018</x:v>
      </x:c>
      <x:c r="G718" s="54" t="n">
        <x:v>46220</x:v>
      </x:c>
      <x:c r="H718" s="14" t="str">
        <x:f>IF(E718&lt;0,"Componente negativo — manter e investigar","OK")</x:f>
        <x:v>OK</x:v>
      </x:c>
    </x:row>
    <x:row r="719">
      <x:c r="A719" s="51" t="n">
        <x:v>40360</x:v>
      </x:c>
      <x:c r="B719" s="14" t="str">
        <x:v>Norte</x:v>
      </x:c>
      <x:c r="C719" s="14" t="str">
        <x:v>SUDESTE / CENTRO - OESTE</x:v>
      </x:c>
      <x:c r="D719" s="53" t="str">
        <x:v>Cativo</x:v>
      </x:c>
      <x:c r="E719" s="49" t="n">
        <x:v>83634</x:v>
      </x:c>
      <x:c r="F719" s="52" t="n">
        <x:v>425199</x:v>
      </x:c>
      <x:c r="G719" s="54" t="n">
        <x:v>46220</x:v>
      </x:c>
      <x:c r="H719" s="14" t="str">
        <x:f>IF(E719&lt;0,"Componente negativo — manter e investigar","OK")</x:f>
        <x:v>OK</x:v>
      </x:c>
    </x:row>
    <x:row r="720">
      <x:c r="A720" s="51" t="n">
        <x:v>40360</x:v>
      </x:c>
      <x:c r="B720" s="14" t="str">
        <x:v>Sudeste</x:v>
      </x:c>
      <x:c r="C720" s="14" t="str">
        <x:v>SUDESTE / CENTRO - OESTE</x:v>
      </x:c>
      <x:c r="D720" s="53" t="str">
        <x:v>Cativo</x:v>
      </x:c>
      <x:c r="E720" s="49" t="n">
        <x:v>4385968</x:v>
      </x:c>
      <x:c r="F720" s="52" t="n">
        <x:v>26964956</x:v>
      </x:c>
      <x:c r="G720" s="54" t="n">
        <x:v>46220</x:v>
      </x:c>
      <x:c r="H720" s="14" t="str">
        <x:f>IF(E720&lt;0,"Componente negativo — manter e investigar","OK")</x:f>
        <x:v>OK</x:v>
      </x:c>
    </x:row>
    <x:row r="721">
      <x:c r="A721" s="51" t="n">
        <x:v>40360</x:v>
      </x:c>
      <x:c r="B721" s="14" t="str">
        <x:v>Sul</x:v>
      </x:c>
      <x:c r="C721" s="14" t="str">
        <x:v>SUL</x:v>
      </x:c>
      <x:c r="D721" s="53" t="str">
        <x:v>Cativo</x:v>
      </x:c>
      <x:c r="E721" s="49" t="n">
        <x:v>1394531</x:v>
      </x:c>
      <x:c r="F721" s="52" t="n">
        <x:v>8086149</x:v>
      </x:c>
      <x:c r="G721" s="54" t="n">
        <x:v>46220</x:v>
      </x:c>
      <x:c r="H721" s="14" t="str">
        <x:f>IF(E721&lt;0,"Componente negativo — manter e investigar","OK")</x:f>
        <x:v>OK</x:v>
      </x:c>
    </x:row>
    <x:row r="722">
      <x:c r="A722" s="51" t="n">
        <x:v>40391</x:v>
      </x:c>
      <x:c r="B722" s="14" t="str">
        <x:v>Centro-Oeste</x:v>
      </x:c>
      <x:c r="C722" s="14" t="str">
        <x:v>SISTEMAS ISOLADOS</x:v>
      </x:c>
      <x:c r="D722" s="53" t="str">
        <x:v>Cativo</x:v>
      </x:c>
      <x:c r="E722" s="49" t="n">
        <x:v>2287</x:v>
      </x:c>
      <x:c r="F722" s="52" t="n">
        <x:v>15468</x:v>
      </x:c>
      <x:c r="G722" s="54" t="n">
        <x:v>46220</x:v>
      </x:c>
      <x:c r="H722" s="14" t="str">
        <x:f>IF(E722&lt;0,"Componente negativo — manter e investigar","OK")</x:f>
        <x:v>OK</x:v>
      </x:c>
    </x:row>
    <x:row r="723">
      <x:c r="A723" s="51" t="n">
        <x:v>40391</x:v>
      </x:c>
      <x:c r="B723" s="14" t="str">
        <x:v>Centro-Oeste</x:v>
      </x:c>
      <x:c r="C723" s="14" t="str">
        <x:v>SUDESTE / CENTRO - OESTE</x:v>
      </x:c>
      <x:c r="D723" s="53" t="str">
        <x:v>Cativo</x:v>
      </x:c>
      <x:c r="E723" s="49" t="n">
        <x:v>675393</x:v>
      </x:c>
      <x:c r="F723" s="52" t="n">
        <x:v>4081566</x:v>
      </x:c>
      <x:c r="G723" s="54" t="n">
        <x:v>46220</x:v>
      </x:c>
      <x:c r="H723" s="14" t="str">
        <x:f>IF(E723&lt;0,"Componente negativo — manter e investigar","OK")</x:f>
        <x:v>OK</x:v>
      </x:c>
    </x:row>
    <x:row r="724">
      <x:c r="A724" s="51" t="n">
        <x:v>40391</x:v>
      </x:c>
      <x:c r="B724" s="14" t="str">
        <x:v>Nordeste</x:v>
      </x:c>
      <x:c r="C724" s="14" t="str">
        <x:v>NORDESTE</x:v>
      </x:c>
      <x:c r="D724" s="53" t="str">
        <x:v>Cativo</x:v>
      </x:c>
      <x:c r="E724" s="49" t="n">
        <x:v>1348244</x:v>
      </x:c>
      <x:c r="F724" s="52" t="n">
        <x:v>13401795</x:v>
      </x:c>
      <x:c r="G724" s="54" t="n">
        <x:v>46220</x:v>
      </x:c>
      <x:c r="H724" s="14" t="str">
        <x:f>IF(E724&lt;0,"Componente negativo — manter e investigar","OK")</x:f>
        <x:v>OK</x:v>
      </x:c>
    </x:row>
    <x:row r="725">
      <x:c r="A725" s="51" t="n">
        <x:v>40391</x:v>
      </x:c>
      <x:c r="B725" s="14" t="str">
        <x:v>Nordeste</x:v>
      </x:c>
      <x:c r="C725" s="14" t="str">
        <x:v>NORTE INTERLIGADO</x:v>
      </x:c>
      <x:c r="D725" s="53" t="str">
        <x:v>Cativo</x:v>
      </x:c>
      <x:c r="E725" s="49" t="n">
        <x:v>164382</x:v>
      </x:c>
      <x:c r="F725" s="52" t="n">
        <x:v>1561746</x:v>
      </x:c>
      <x:c r="G725" s="54" t="n">
        <x:v>46220</x:v>
      </x:c>
      <x:c r="H725" s="14" t="str">
        <x:f>IF(E725&lt;0,"Componente negativo — manter e investigar","OK")</x:f>
        <x:v>OK</x:v>
      </x:c>
    </x:row>
    <x:row r="726">
      <x:c r="A726" s="51" t="n">
        <x:v>40391</x:v>
      </x:c>
      <x:c r="B726" s="14" t="str">
        <x:v>Nordeste</x:v>
      </x:c>
      <x:c r="C726" s="14" t="str">
        <x:v>SISTEMAS ISOLADOS</x:v>
      </x:c>
      <x:c r="D726" s="53" t="str">
        <x:v>Cativo</x:v>
      </x:c>
      <x:c r="E726" s="49" t="n">
        <x:v>176</x:v>
      </x:c>
      <x:c r="F726" s="52" t="n">
        <x:v>486</x:v>
      </x:c>
      <x:c r="G726" s="54" t="n">
        <x:v>46220</x:v>
      </x:c>
      <x:c r="H726" s="14" t="str">
        <x:f>IF(E726&lt;0,"Componente negativo — manter e investigar","OK")</x:f>
        <x:v>OK</x:v>
      </x:c>
    </x:row>
    <x:row r="727">
      <x:c r="A727" s="51" t="n">
        <x:v>40391</x:v>
      </x:c>
      <x:c r="B727" s="14" t="str">
        <x:v>Norte</x:v>
      </x:c>
      <x:c r="C727" s="14" t="str">
        <x:v>NORTE INTERLIGADO</x:v>
      </x:c>
      <x:c r="D727" s="53" t="str">
        <x:v>Cativo</x:v>
      </x:c>
      <x:c r="E727" s="49" t="n">
        <x:v>225923</x:v>
      </x:c>
      <x:c r="F727" s="52" t="n">
        <x:v>1675908</x:v>
      </x:c>
      <x:c r="G727" s="54" t="n">
        <x:v>46220</x:v>
      </x:c>
      <x:c r="H727" s="14" t="str">
        <x:f>IF(E727&lt;0,"Componente negativo — manter e investigar","OK")</x:f>
        <x:v>OK</x:v>
      </x:c>
    </x:row>
    <x:row r="728">
      <x:c r="A728" s="51" t="n">
        <x:v>40391</x:v>
      </x:c>
      <x:c r="B728" s="14" t="str">
        <x:v>Norte</x:v>
      </x:c>
      <x:c r="C728" s="14" t="str">
        <x:v>SISTEMAS ISOLADOS</x:v>
      </x:c>
      <x:c r="D728" s="53" t="str">
        <x:v>Cativo</x:v>
      </x:c>
      <x:c r="E728" s="49" t="n">
        <x:v>188450</x:v>
      </x:c>
      <x:c r="F728" s="52" t="n">
        <x:v>998831</x:v>
      </x:c>
      <x:c r="G728" s="54" t="n">
        <x:v>46220</x:v>
      </x:c>
      <x:c r="H728" s="14" t="str">
        <x:f>IF(E728&lt;0,"Componente negativo — manter e investigar","OK")</x:f>
        <x:v>OK</x:v>
      </x:c>
    </x:row>
    <x:row r="729">
      <x:c r="A729" s="51" t="n">
        <x:v>40391</x:v>
      </x:c>
      <x:c r="B729" s="14" t="str">
        <x:v>Norte</x:v>
      </x:c>
      <x:c r="C729" s="14" t="str">
        <x:v>SUDESTE / CENTRO - OESTE</x:v>
      </x:c>
      <x:c r="D729" s="53" t="str">
        <x:v>Cativo</x:v>
      </x:c>
      <x:c r="E729" s="49" t="n">
        <x:v>77730</x:v>
      </x:c>
      <x:c r="F729" s="52" t="n">
        <x:v>426999</x:v>
      </x:c>
      <x:c r="G729" s="54" t="n">
        <x:v>46220</x:v>
      </x:c>
      <x:c r="H729" s="14" t="str">
        <x:f>IF(E729&lt;0,"Componente negativo — manter e investigar","OK")</x:f>
        <x:v>OK</x:v>
      </x:c>
    </x:row>
    <x:row r="730">
      <x:c r="A730" s="51" t="n">
        <x:v>40391</x:v>
      </x:c>
      <x:c r="B730" s="14" t="str">
        <x:v>Sudeste</x:v>
      </x:c>
      <x:c r="C730" s="14" t="str">
        <x:v>SUDESTE / CENTRO - OESTE</x:v>
      </x:c>
      <x:c r="D730" s="53" t="str">
        <x:v>Cativo</x:v>
      </x:c>
      <x:c r="E730" s="49" t="n">
        <x:v>4674267</x:v>
      </x:c>
      <x:c r="F730" s="52" t="n">
        <x:v>27073752</x:v>
      </x:c>
      <x:c r="G730" s="54" t="n">
        <x:v>46220</x:v>
      </x:c>
      <x:c r="H730" s="14" t="str">
        <x:f>IF(E730&lt;0,"Componente negativo — manter e investigar","OK")</x:f>
        <x:v>OK</x:v>
      </x:c>
    </x:row>
    <x:row r="731">
      <x:c r="A731" s="51" t="n">
        <x:v>40391</x:v>
      </x:c>
      <x:c r="B731" s="14" t="str">
        <x:v>Sul</x:v>
      </x:c>
      <x:c r="C731" s="14" t="str">
        <x:v>SUL</x:v>
      </x:c>
      <x:c r="D731" s="53" t="str">
        <x:v>Cativo</x:v>
      </x:c>
      <x:c r="E731" s="49" t="n">
        <x:v>1455445</x:v>
      </x:c>
      <x:c r="F731" s="52" t="n">
        <x:v>8107139</x:v>
      </x:c>
      <x:c r="G731" s="54" t="n">
        <x:v>46220</x:v>
      </x:c>
      <x:c r="H731" s="14" t="str">
        <x:f>IF(E731&lt;0,"Componente negativo — manter e investigar","OK")</x:f>
        <x:v>OK</x:v>
      </x:c>
    </x:row>
    <x:row r="732">
      <x:c r="A732" s="51" t="n">
        <x:v>40422</x:v>
      </x:c>
      <x:c r="B732" s="14" t="str">
        <x:v>Centro-Oeste</x:v>
      </x:c>
      <x:c r="C732" s="14" t="str">
        <x:v>SISTEMAS ISOLADOS</x:v>
      </x:c>
      <x:c r="D732" s="53" t="str">
        <x:v>Cativo</x:v>
      </x:c>
      <x:c r="E732" s="49" t="n">
        <x:v>2464</x:v>
      </x:c>
      <x:c r="F732" s="52" t="n">
        <x:v>15572</x:v>
      </x:c>
      <x:c r="G732" s="54" t="n">
        <x:v>46220</x:v>
      </x:c>
      <x:c r="H732" s="14" t="str">
        <x:f>IF(E732&lt;0,"Componente negativo — manter e investigar","OK")</x:f>
        <x:v>OK</x:v>
      </x:c>
    </x:row>
    <x:row r="733">
      <x:c r="A733" s="51" t="n">
        <x:v>40422</x:v>
      </x:c>
      <x:c r="B733" s="14" t="str">
        <x:v>Centro-Oeste</x:v>
      </x:c>
      <x:c r="C733" s="14" t="str">
        <x:v>SUDESTE / CENTRO - OESTE</x:v>
      </x:c>
      <x:c r="D733" s="53" t="str">
        <x:v>Cativo</x:v>
      </x:c>
      <x:c r="E733" s="49" t="n">
        <x:v>702851</x:v>
      </x:c>
      <x:c r="F733" s="52" t="n">
        <x:v>4098006</x:v>
      </x:c>
      <x:c r="G733" s="54" t="n">
        <x:v>46220</x:v>
      </x:c>
      <x:c r="H733" s="14" t="str">
        <x:f>IF(E733&lt;0,"Componente negativo — manter e investigar","OK")</x:f>
        <x:v>OK</x:v>
      </x:c>
    </x:row>
    <x:row r="734">
      <x:c r="A734" s="51" t="n">
        <x:v>40422</x:v>
      </x:c>
      <x:c r="B734" s="14" t="str">
        <x:v>Nordeste</x:v>
      </x:c>
      <x:c r="C734" s="14" t="str">
        <x:v>NORDESTE</x:v>
      </x:c>
      <x:c r="D734" s="53" t="str">
        <x:v>Cativo</x:v>
      </x:c>
      <x:c r="E734" s="49" t="n">
        <x:v>1382837</x:v>
      </x:c>
      <x:c r="F734" s="52" t="n">
        <x:v>13435644</x:v>
      </x:c>
      <x:c r="G734" s="54" t="n">
        <x:v>46220</x:v>
      </x:c>
      <x:c r="H734" s="14" t="str">
        <x:f>IF(E734&lt;0,"Componente negativo — manter e investigar","OK")</x:f>
        <x:v>OK</x:v>
      </x:c>
    </x:row>
    <x:row r="735">
      <x:c r="A735" s="51" t="n">
        <x:v>40422</x:v>
      </x:c>
      <x:c r="B735" s="14" t="str">
        <x:v>Nordeste</x:v>
      </x:c>
      <x:c r="C735" s="14" t="str">
        <x:v>NORTE INTERLIGADO</x:v>
      </x:c>
      <x:c r="D735" s="53" t="str">
        <x:v>Cativo</x:v>
      </x:c>
      <x:c r="E735" s="49" t="n">
        <x:v>167890</x:v>
      </x:c>
      <x:c r="F735" s="52" t="n">
        <x:v>1571006</x:v>
      </x:c>
      <x:c r="G735" s="54" t="n">
        <x:v>46220</x:v>
      </x:c>
      <x:c r="H735" s="14" t="str">
        <x:f>IF(E735&lt;0,"Componente negativo — manter e investigar","OK")</x:f>
        <x:v>OK</x:v>
      </x:c>
    </x:row>
    <x:row r="736">
      <x:c r="A736" s="51" t="n">
        <x:v>40422</x:v>
      </x:c>
      <x:c r="B736" s="14" t="str">
        <x:v>Nordeste</x:v>
      </x:c>
      <x:c r="C736" s="14" t="str">
        <x:v>SISTEMAS ISOLADOS</x:v>
      </x:c>
      <x:c r="D736" s="53" t="str">
        <x:v>Cativo</x:v>
      </x:c>
      <x:c r="E736" s="49" t="n">
        <x:v>200</x:v>
      </x:c>
      <x:c r="F736" s="52" t="n">
        <x:v>487</x:v>
      </x:c>
      <x:c r="G736" s="54" t="n">
        <x:v>46220</x:v>
      </x:c>
      <x:c r="H736" s="14" t="str">
        <x:f>IF(E736&lt;0,"Componente negativo — manter e investigar","OK")</x:f>
        <x:v>OK</x:v>
      </x:c>
    </x:row>
    <x:row r="737">
      <x:c r="A737" s="51" t="n">
        <x:v>40422</x:v>
      </x:c>
      <x:c r="B737" s="14" t="str">
        <x:v>Norte</x:v>
      </x:c>
      <x:c r="C737" s="14" t="str">
        <x:v>NORTE INTERLIGADO</x:v>
      </x:c>
      <x:c r="D737" s="53" t="str">
        <x:v>Cativo</x:v>
      </x:c>
      <x:c r="E737" s="49" t="n">
        <x:v>236940</x:v>
      </x:c>
      <x:c r="F737" s="52" t="n">
        <x:v>1683382</x:v>
      </x:c>
      <x:c r="G737" s="54" t="n">
        <x:v>46220</x:v>
      </x:c>
      <x:c r="H737" s="14" t="str">
        <x:f>IF(E737&lt;0,"Componente negativo — manter e investigar","OK")</x:f>
        <x:v>OK</x:v>
      </x:c>
    </x:row>
    <x:row r="738">
      <x:c r="A738" s="51" t="n">
        <x:v>40422</x:v>
      </x:c>
      <x:c r="B738" s="14" t="str">
        <x:v>Norte</x:v>
      </x:c>
      <x:c r="C738" s="14" t="str">
        <x:v>SISTEMAS ISOLADOS</x:v>
      </x:c>
      <x:c r="D738" s="53" t="str">
        <x:v>Cativo</x:v>
      </x:c>
      <x:c r="E738" s="49" t="n">
        <x:v>205439</x:v>
      </x:c>
      <x:c r="F738" s="52" t="n">
        <x:v>1002827</x:v>
      </x:c>
      <x:c r="G738" s="54" t="n">
        <x:v>46220</x:v>
      </x:c>
      <x:c r="H738" s="14" t="str">
        <x:f>IF(E738&lt;0,"Componente negativo — manter e investigar","OK")</x:f>
        <x:v>OK</x:v>
      </x:c>
    </x:row>
    <x:row r="739">
      <x:c r="A739" s="51" t="n">
        <x:v>40422</x:v>
      </x:c>
      <x:c r="B739" s="14" t="str">
        <x:v>Norte</x:v>
      </x:c>
      <x:c r="C739" s="14" t="str">
        <x:v>SUDESTE / CENTRO - OESTE</x:v>
      </x:c>
      <x:c r="D739" s="53" t="str">
        <x:v>Cativo</x:v>
      </x:c>
      <x:c r="E739" s="49" t="n">
        <x:v>87565</x:v>
      </x:c>
      <x:c r="F739" s="52" t="n">
        <x:v>429472</x:v>
      </x:c>
      <x:c r="G739" s="54" t="n">
        <x:v>46220</x:v>
      </x:c>
      <x:c r="H739" s="14" t="str">
        <x:f>IF(E739&lt;0,"Componente negativo — manter e investigar","OK")</x:f>
        <x:v>OK</x:v>
      </x:c>
    </x:row>
    <x:row r="740">
      <x:c r="A740" s="51" t="n">
        <x:v>40422</x:v>
      </x:c>
      <x:c r="B740" s="14" t="str">
        <x:v>Sudeste</x:v>
      </x:c>
      <x:c r="C740" s="14" t="str">
        <x:v>SUDESTE / CENTRO - OESTE</x:v>
      </x:c>
      <x:c r="D740" s="53" t="str">
        <x:v>Cativo</x:v>
      </x:c>
      <x:c r="E740" s="49" t="n">
        <x:v>4715169</x:v>
      </x:c>
      <x:c r="F740" s="52" t="n">
        <x:v>27135959</x:v>
      </x:c>
      <x:c r="G740" s="54" t="n">
        <x:v>46220</x:v>
      </x:c>
      <x:c r="H740" s="14" t="str">
        <x:f>IF(E740&lt;0,"Componente negativo — manter e investigar","OK")</x:f>
        <x:v>OK</x:v>
      </x:c>
    </x:row>
    <x:row r="741">
      <x:c r="A741" s="51" t="n">
        <x:v>40422</x:v>
      </x:c>
      <x:c r="B741" s="14" t="str">
        <x:v>Sul</x:v>
      </x:c>
      <x:c r="C741" s="14" t="str">
        <x:v>SUL</x:v>
      </x:c>
      <x:c r="D741" s="53" t="str">
        <x:v>Cativo</x:v>
      </x:c>
      <x:c r="E741" s="49" t="n">
        <x:v>1402641</x:v>
      </x:c>
      <x:c r="F741" s="52" t="n">
        <x:v>8124469</x:v>
      </x:c>
      <x:c r="G741" s="54" t="n">
        <x:v>46220</x:v>
      </x:c>
      <x:c r="H741" s="14" t="str">
        <x:f>IF(E741&lt;0,"Componente negativo — manter e investigar","OK")</x:f>
        <x:v>OK</x:v>
      </x:c>
    </x:row>
    <x:row r="742">
      <x:c r="A742" s="51" t="n">
        <x:v>40452</x:v>
      </x:c>
      <x:c r="B742" s="14" t="str">
        <x:v>Centro-Oeste</x:v>
      </x:c>
      <x:c r="C742" s="14" t="str">
        <x:v>SISTEMAS ISOLADOS</x:v>
      </x:c>
      <x:c r="D742" s="53" t="str">
        <x:v>Cativo</x:v>
      </x:c>
      <x:c r="E742" s="49" t="n">
        <x:v>2638</x:v>
      </x:c>
      <x:c r="F742" s="52" t="n">
        <x:v>15638</x:v>
      </x:c>
      <x:c r="G742" s="54" t="n">
        <x:v>46220</x:v>
      </x:c>
      <x:c r="H742" s="14" t="str">
        <x:f>IF(E742&lt;0,"Componente negativo — manter e investigar","OK")</x:f>
        <x:v>OK</x:v>
      </x:c>
    </x:row>
    <x:row r="743">
      <x:c r="A743" s="51" t="n">
        <x:v>40452</x:v>
      </x:c>
      <x:c r="B743" s="14" t="str">
        <x:v>Centro-Oeste</x:v>
      </x:c>
      <x:c r="C743" s="14" t="str">
        <x:v>SUDESTE / CENTRO - OESTE</x:v>
      </x:c>
      <x:c r="D743" s="53" t="str">
        <x:v>Cativo</x:v>
      </x:c>
      <x:c r="E743" s="49" t="n">
        <x:v>718391</x:v>
      </x:c>
      <x:c r="F743" s="52" t="n">
        <x:v>4111932</x:v>
      </x:c>
      <x:c r="G743" s="54" t="n">
        <x:v>46220</x:v>
      </x:c>
      <x:c r="H743" s="14" t="str">
        <x:f>IF(E743&lt;0,"Componente negativo — manter e investigar","OK")</x:f>
        <x:v>OK</x:v>
      </x:c>
    </x:row>
    <x:row r="744">
      <x:c r="A744" s="51" t="n">
        <x:v>40452</x:v>
      </x:c>
      <x:c r="B744" s="14" t="str">
        <x:v>Nordeste</x:v>
      </x:c>
      <x:c r="C744" s="14" t="str">
        <x:v>NORDESTE</x:v>
      </x:c>
      <x:c r="D744" s="53" t="str">
        <x:v>Cativo</x:v>
      </x:c>
      <x:c r="E744" s="49" t="n">
        <x:v>1437672</x:v>
      </x:c>
      <x:c r="F744" s="52" t="n">
        <x:v>13493174</x:v>
      </x:c>
      <x:c r="G744" s="54" t="n">
        <x:v>46220</x:v>
      </x:c>
      <x:c r="H744" s="14" t="str">
        <x:f>IF(E744&lt;0,"Componente negativo — manter e investigar","OK")</x:f>
        <x:v>OK</x:v>
      </x:c>
    </x:row>
    <x:row r="745">
      <x:c r="A745" s="51" t="n">
        <x:v>40452</x:v>
      </x:c>
      <x:c r="B745" s="14" t="str">
        <x:v>Nordeste</x:v>
      </x:c>
      <x:c r="C745" s="14" t="str">
        <x:v>NORTE INTERLIGADO</x:v>
      </x:c>
      <x:c r="D745" s="53" t="str">
        <x:v>Cativo</x:v>
      </x:c>
      <x:c r="E745" s="49" t="n">
        <x:v>170812</x:v>
      </x:c>
      <x:c r="F745" s="52" t="n">
        <x:v>1585494</x:v>
      </x:c>
      <x:c r="G745" s="54" t="n">
        <x:v>46220</x:v>
      </x:c>
      <x:c r="H745" s="14" t="str">
        <x:f>IF(E745&lt;0,"Componente negativo — manter e investigar","OK")</x:f>
        <x:v>OK</x:v>
      </x:c>
    </x:row>
    <x:row r="746">
      <x:c r="A746" s="51" t="n">
        <x:v>40452</x:v>
      </x:c>
      <x:c r="B746" s="14" t="str">
        <x:v>Nordeste</x:v>
      </x:c>
      <x:c r="C746" s="14" t="str">
        <x:v>SISTEMAS ISOLADOS</x:v>
      </x:c>
      <x:c r="D746" s="53" t="str">
        <x:v>Cativo</x:v>
      </x:c>
      <x:c r="E746" s="49" t="n">
        <x:v>226</x:v>
      </x:c>
      <x:c r="F746" s="52" t="n">
        <x:v>487</x:v>
      </x:c>
      <x:c r="G746" s="54" t="n">
        <x:v>46220</x:v>
      </x:c>
      <x:c r="H746" s="14" t="str">
        <x:f>IF(E746&lt;0,"Componente negativo — manter e investigar","OK")</x:f>
        <x:v>OK</x:v>
      </x:c>
    </x:row>
    <x:row r="747">
      <x:c r="A747" s="51" t="n">
        <x:v>40452</x:v>
      </x:c>
      <x:c r="B747" s="14" t="str">
        <x:v>Norte</x:v>
      </x:c>
      <x:c r="C747" s="14" t="str">
        <x:v>NORTE INTERLIGADO</x:v>
      </x:c>
      <x:c r="D747" s="53" t="str">
        <x:v>Cativo</x:v>
      </x:c>
      <x:c r="E747" s="49" t="n">
        <x:v>239082</x:v>
      </x:c>
      <x:c r="F747" s="52" t="n">
        <x:v>1692322</x:v>
      </x:c>
      <x:c r="G747" s="54" t="n">
        <x:v>46220</x:v>
      </x:c>
      <x:c r="H747" s="14" t="str">
        <x:f>IF(E747&lt;0,"Componente negativo — manter e investigar","OK")</x:f>
        <x:v>OK</x:v>
      </x:c>
    </x:row>
    <x:row r="748">
      <x:c r="A748" s="51" t="n">
        <x:v>40452</x:v>
      </x:c>
      <x:c r="B748" s="14" t="str">
        <x:v>Norte</x:v>
      </x:c>
      <x:c r="C748" s="14" t="str">
        <x:v>SISTEMAS ISOLADOS</x:v>
      </x:c>
      <x:c r="D748" s="53" t="str">
        <x:v>Cativo</x:v>
      </x:c>
      <x:c r="E748" s="49" t="n">
        <x:v>204392</x:v>
      </x:c>
      <x:c r="F748" s="52" t="n">
        <x:v>1006565</x:v>
      </x:c>
      <x:c r="G748" s="54" t="n">
        <x:v>46220</x:v>
      </x:c>
      <x:c r="H748" s="14" t="str">
        <x:f>IF(E748&lt;0,"Componente negativo — manter e investigar","OK")</x:f>
        <x:v>OK</x:v>
      </x:c>
    </x:row>
    <x:row r="749">
      <x:c r="A749" s="51" t="n">
        <x:v>40452</x:v>
      </x:c>
      <x:c r="B749" s="14" t="str">
        <x:v>Norte</x:v>
      </x:c>
      <x:c r="C749" s="14" t="str">
        <x:v>SUDESTE / CENTRO - OESTE</x:v>
      </x:c>
      <x:c r="D749" s="53" t="str">
        <x:v>Cativo</x:v>
      </x:c>
      <x:c r="E749" s="49" t="n">
        <x:v>98026</x:v>
      </x:c>
      <x:c r="F749" s="52" t="n">
        <x:v>431154</x:v>
      </x:c>
      <x:c r="G749" s="54" t="n">
        <x:v>46220</x:v>
      </x:c>
      <x:c r="H749" s="14" t="str">
        <x:f>IF(E749&lt;0,"Componente negativo — manter e investigar","OK")</x:f>
        <x:v>OK</x:v>
      </x:c>
    </x:row>
    <x:row r="750">
      <x:c r="A750" s="51" t="n">
        <x:v>40452</x:v>
      </x:c>
      <x:c r="B750" s="14" t="str">
        <x:v>Sudeste</x:v>
      </x:c>
      <x:c r="C750" s="14" t="str">
        <x:v>SUDESTE / CENTRO - OESTE</x:v>
      </x:c>
      <x:c r="D750" s="53" t="str">
        <x:v>Cativo</x:v>
      </x:c>
      <x:c r="E750" s="49" t="n">
        <x:v>4722642</x:v>
      </x:c>
      <x:c r="F750" s="52" t="n">
        <x:v>27170517</x:v>
      </x:c>
      <x:c r="G750" s="54" t="n">
        <x:v>46220</x:v>
      </x:c>
      <x:c r="H750" s="14" t="str">
        <x:f>IF(E750&lt;0,"Componente negativo — manter e investigar","OK")</x:f>
        <x:v>OK</x:v>
      </x:c>
    </x:row>
    <x:row r="751">
      <x:c r="A751" s="51" t="n">
        <x:v>40452</x:v>
      </x:c>
      <x:c r="B751" s="14" t="str">
        <x:v>Sul</x:v>
      </x:c>
      <x:c r="C751" s="14" t="str">
        <x:v>SUL</x:v>
      </x:c>
      <x:c r="D751" s="53" t="str">
        <x:v>Cativo</x:v>
      </x:c>
      <x:c r="E751" s="49" t="n">
        <x:v>1357167</x:v>
      </x:c>
      <x:c r="F751" s="52" t="n">
        <x:v>8058053</x:v>
      </x:c>
      <x:c r="G751" s="54" t="n">
        <x:v>46220</x:v>
      </x:c>
      <x:c r="H751" s="14" t="str">
        <x:f>IF(E751&lt;0,"Componente negativo — manter e investigar","OK")</x:f>
        <x:v>OK</x:v>
      </x:c>
    </x:row>
    <x:row r="752">
      <x:c r="A752" s="51" t="n">
        <x:v>40483</x:v>
      </x:c>
      <x:c r="B752" s="14" t="str">
        <x:v>Centro-Oeste</x:v>
      </x:c>
      <x:c r="C752" s="14" t="str">
        <x:v>SISTEMAS ISOLADOS</x:v>
      </x:c>
      <x:c r="D752" s="53" t="str">
        <x:v>Cativo</x:v>
      </x:c>
      <x:c r="E752" s="49" t="n">
        <x:v>2460</x:v>
      </x:c>
      <x:c r="F752" s="52" t="n">
        <x:v>15660</x:v>
      </x:c>
      <x:c r="G752" s="54" t="n">
        <x:v>46220</x:v>
      </x:c>
      <x:c r="H752" s="14" t="str">
        <x:f>IF(E752&lt;0,"Componente negativo — manter e investigar","OK")</x:f>
        <x:v>OK</x:v>
      </x:c>
    </x:row>
    <x:row r="753">
      <x:c r="A753" s="51" t="n">
        <x:v>40483</x:v>
      </x:c>
      <x:c r="B753" s="14" t="str">
        <x:v>Centro-Oeste</x:v>
      </x:c>
      <x:c r="C753" s="14" t="str">
        <x:v>SUDESTE / CENTRO - OESTE</x:v>
      </x:c>
      <x:c r="D753" s="53" t="str">
        <x:v>Cativo</x:v>
      </x:c>
      <x:c r="E753" s="49" t="n">
        <x:v>704439</x:v>
      </x:c>
      <x:c r="F753" s="52" t="n">
        <x:v>4121709</x:v>
      </x:c>
      <x:c r="G753" s="54" t="n">
        <x:v>46220</x:v>
      </x:c>
      <x:c r="H753" s="14" t="str">
        <x:f>IF(E753&lt;0,"Componente negativo — manter e investigar","OK")</x:f>
        <x:v>OK</x:v>
      </x:c>
    </x:row>
    <x:row r="754">
      <x:c r="A754" s="51" t="n">
        <x:v>40483</x:v>
      </x:c>
      <x:c r="B754" s="14" t="str">
        <x:v>Nordeste</x:v>
      </x:c>
      <x:c r="C754" s="14" t="str">
        <x:v>NORDESTE</x:v>
      </x:c>
      <x:c r="D754" s="53" t="str">
        <x:v>Cativo</x:v>
      </x:c>
      <x:c r="E754" s="49" t="n">
        <x:v>1520297</x:v>
      </x:c>
      <x:c r="F754" s="52" t="n">
        <x:v>13551605</x:v>
      </x:c>
      <x:c r="G754" s="54" t="n">
        <x:v>46220</x:v>
      </x:c>
      <x:c r="H754" s="14" t="str">
        <x:f>IF(E754&lt;0,"Componente negativo — manter e investigar","OK")</x:f>
        <x:v>OK</x:v>
      </x:c>
    </x:row>
    <x:row r="755">
      <x:c r="A755" s="51" t="n">
        <x:v>40483</x:v>
      </x:c>
      <x:c r="B755" s="14" t="str">
        <x:v>Nordeste</x:v>
      </x:c>
      <x:c r="C755" s="14" t="str">
        <x:v>NORTE INTERLIGADO</x:v>
      </x:c>
      <x:c r="D755" s="53" t="str">
        <x:v>Cativo</x:v>
      </x:c>
      <x:c r="E755" s="49" t="n">
        <x:v>176378</x:v>
      </x:c>
      <x:c r="F755" s="52" t="n">
        <x:v>1595133</x:v>
      </x:c>
      <x:c r="G755" s="54" t="n">
        <x:v>46220</x:v>
      </x:c>
      <x:c r="H755" s="14" t="str">
        <x:f>IF(E755&lt;0,"Componente negativo — manter e investigar","OK")</x:f>
        <x:v>OK</x:v>
      </x:c>
    </x:row>
    <x:row r="756">
      <x:c r="A756" s="51" t="n">
        <x:v>40483</x:v>
      </x:c>
      <x:c r="B756" s="14" t="str">
        <x:v>Nordeste</x:v>
      </x:c>
      <x:c r="C756" s="14" t="str">
        <x:v>SISTEMAS ISOLADOS</x:v>
      </x:c>
      <x:c r="D756" s="53" t="str">
        <x:v>Cativo</x:v>
      </x:c>
      <x:c r="E756" s="49" t="n">
        <x:v>227</x:v>
      </x:c>
      <x:c r="F756" s="52" t="n">
        <x:v>491</x:v>
      </x:c>
      <x:c r="G756" s="54" t="n">
        <x:v>46220</x:v>
      </x:c>
      <x:c r="H756" s="14" t="str">
        <x:f>IF(E756&lt;0,"Componente negativo — manter e investigar","OK")</x:f>
        <x:v>OK</x:v>
      </x:c>
    </x:row>
    <x:row r="757">
      <x:c r="A757" s="51" t="n">
        <x:v>40483</x:v>
      </x:c>
      <x:c r="B757" s="14" t="str">
        <x:v>Norte</x:v>
      </x:c>
      <x:c r="C757" s="14" t="str">
        <x:v>NORTE INTERLIGADO</x:v>
      </x:c>
      <x:c r="D757" s="53" t="str">
        <x:v>Cativo</x:v>
      </x:c>
      <x:c r="E757" s="49" t="n">
        <x:v>233369</x:v>
      </x:c>
      <x:c r="F757" s="52" t="n">
        <x:v>1700287</x:v>
      </x:c>
      <x:c r="G757" s="54" t="n">
        <x:v>46220</x:v>
      </x:c>
      <x:c r="H757" s="14" t="str">
        <x:f>IF(E757&lt;0,"Componente negativo — manter e investigar","OK")</x:f>
        <x:v>OK</x:v>
      </x:c>
    </x:row>
    <x:row r="758">
      <x:c r="A758" s="51" t="n">
        <x:v>40483</x:v>
      </x:c>
      <x:c r="B758" s="14" t="str">
        <x:v>Norte</x:v>
      </x:c>
      <x:c r="C758" s="14" t="str">
        <x:v>SISTEMAS ISOLADOS</x:v>
      </x:c>
      <x:c r="D758" s="53" t="str">
        <x:v>Cativo</x:v>
      </x:c>
      <x:c r="E758" s="49" t="n">
        <x:v>201448</x:v>
      </x:c>
      <x:c r="F758" s="52" t="n">
        <x:v>1008857</x:v>
      </x:c>
      <x:c r="G758" s="54" t="n">
        <x:v>46220</x:v>
      </x:c>
      <x:c r="H758" s="14" t="str">
        <x:f>IF(E758&lt;0,"Componente negativo — manter e investigar","OK")</x:f>
        <x:v>OK</x:v>
      </x:c>
    </x:row>
    <x:row r="759">
      <x:c r="A759" s="51" t="n">
        <x:v>40483</x:v>
      </x:c>
      <x:c r="B759" s="14" t="str">
        <x:v>Norte</x:v>
      </x:c>
      <x:c r="C759" s="14" t="str">
        <x:v>SUDESTE / CENTRO - OESTE</x:v>
      </x:c>
      <x:c r="D759" s="53" t="str">
        <x:v>Cativo</x:v>
      </x:c>
      <x:c r="E759" s="49" t="n">
        <x:v>91081</x:v>
      </x:c>
      <x:c r="F759" s="52" t="n">
        <x:v>432934</x:v>
      </x:c>
      <x:c r="G759" s="54" t="n">
        <x:v>46220</x:v>
      </x:c>
      <x:c r="H759" s="14" t="str">
        <x:f>IF(E759&lt;0,"Componente negativo — manter e investigar","OK")</x:f>
        <x:v>OK</x:v>
      </x:c>
    </x:row>
    <x:row r="760">
      <x:c r="A760" s="51" t="n">
        <x:v>40483</x:v>
      </x:c>
      <x:c r="B760" s="14" t="str">
        <x:v>Sudeste</x:v>
      </x:c>
      <x:c r="C760" s="14" t="str">
        <x:v>SUDESTE / CENTRO - OESTE</x:v>
      </x:c>
      <x:c r="D760" s="53" t="str">
        <x:v>Cativo</x:v>
      </x:c>
      <x:c r="E760" s="49" t="n">
        <x:v>4672324</x:v>
      </x:c>
      <x:c r="F760" s="52" t="n">
        <x:v>27245373</x:v>
      </x:c>
      <x:c r="G760" s="54" t="n">
        <x:v>46220</x:v>
      </x:c>
      <x:c r="H760" s="14" t="str">
        <x:f>IF(E760&lt;0,"Componente negativo — manter e investigar","OK")</x:f>
        <x:v>OK</x:v>
      </x:c>
    </x:row>
    <x:row r="761">
      <x:c r="A761" s="51" t="n">
        <x:v>40483</x:v>
      </x:c>
      <x:c r="B761" s="14" t="str">
        <x:v>Sul</x:v>
      </x:c>
      <x:c r="C761" s="14" t="str">
        <x:v>SUL</x:v>
      </x:c>
      <x:c r="D761" s="53" t="str">
        <x:v>Cativo</x:v>
      </x:c>
      <x:c r="E761" s="49" t="n">
        <x:v>1360716</x:v>
      </x:c>
      <x:c r="F761" s="52" t="n">
        <x:v>8228165</x:v>
      </x:c>
      <x:c r="G761" s="54" t="n">
        <x:v>46220</x:v>
      </x:c>
      <x:c r="H761" s="14" t="str">
        <x:f>IF(E761&lt;0,"Componente negativo — manter e investigar","OK")</x:f>
        <x:v>OK</x:v>
      </x:c>
    </x:row>
    <x:row r="762">
      <x:c r="A762" s="51" t="n">
        <x:v>40513</x:v>
      </x:c>
      <x:c r="B762" s="14" t="str">
        <x:v>Centro-Oeste</x:v>
      </x:c>
      <x:c r="C762" s="14" t="str">
        <x:v>SISTEMAS ISOLADOS</x:v>
      </x:c>
      <x:c r="D762" s="53" t="str">
        <x:v>Cativo</x:v>
      </x:c>
      <x:c r="E762" s="49" t="n">
        <x:v>2381</x:v>
      </x:c>
      <x:c r="F762" s="52" t="n">
        <x:v>15677</x:v>
      </x:c>
      <x:c r="G762" s="54" t="n">
        <x:v>46220</x:v>
      </x:c>
      <x:c r="H762" s="14" t="str">
        <x:f>IF(E762&lt;0,"Componente negativo — manter e investigar","OK")</x:f>
        <x:v>OK</x:v>
      </x:c>
    </x:row>
    <x:row r="763">
      <x:c r="A763" s="51" t="n">
        <x:v>40513</x:v>
      </x:c>
      <x:c r="B763" s="14" t="str">
        <x:v>Centro-Oeste</x:v>
      </x:c>
      <x:c r="C763" s="14" t="str">
        <x:v>SUDESTE / CENTRO - OESTE</x:v>
      </x:c>
      <x:c r="D763" s="53" t="str">
        <x:v>Cativo</x:v>
      </x:c>
      <x:c r="E763" s="49" t="n">
        <x:v>706465</x:v>
      </x:c>
      <x:c r="F763" s="52" t="n">
        <x:v>4135068</x:v>
      </x:c>
      <x:c r="G763" s="54" t="n">
        <x:v>46220</x:v>
      </x:c>
      <x:c r="H763" s="14" t="str">
        <x:f>IF(E763&lt;0,"Componente negativo — manter e investigar","OK")</x:f>
        <x:v>OK</x:v>
      </x:c>
    </x:row>
    <x:row r="764">
      <x:c r="A764" s="51" t="n">
        <x:v>40513</x:v>
      </x:c>
      <x:c r="B764" s="14" t="str">
        <x:v>Nordeste</x:v>
      </x:c>
      <x:c r="C764" s="14" t="str">
        <x:v>NORDESTE</x:v>
      </x:c>
      <x:c r="D764" s="53" t="str">
        <x:v>Cativo</x:v>
      </x:c>
      <x:c r="E764" s="49" t="n">
        <x:v>1565779</x:v>
      </x:c>
      <x:c r="F764" s="52" t="n">
        <x:v>13605295</x:v>
      </x:c>
      <x:c r="G764" s="54" t="n">
        <x:v>46220</x:v>
      </x:c>
      <x:c r="H764" s="14" t="str">
        <x:f>IF(E764&lt;0,"Componente negativo — manter e investigar","OK")</x:f>
        <x:v>OK</x:v>
      </x:c>
    </x:row>
    <x:row r="765">
      <x:c r="A765" s="51" t="n">
        <x:v>40513</x:v>
      </x:c>
      <x:c r="B765" s="14" t="str">
        <x:v>Nordeste</x:v>
      </x:c>
      <x:c r="C765" s="14" t="str">
        <x:v>NORTE INTERLIGADO</x:v>
      </x:c>
      <x:c r="D765" s="53" t="str">
        <x:v>Cativo</x:v>
      </x:c>
      <x:c r="E765" s="49" t="n">
        <x:v>159773</x:v>
      </x:c>
      <x:c r="F765" s="52" t="n">
        <x:v>1598117</x:v>
      </x:c>
      <x:c r="G765" s="54" t="n">
        <x:v>46220</x:v>
      </x:c>
      <x:c r="H765" s="14" t="str">
        <x:f>IF(E765&lt;0,"Componente negativo — manter e investigar","OK")</x:f>
        <x:v>OK</x:v>
      </x:c>
    </x:row>
    <x:row r="766">
      <x:c r="A766" s="51" t="n">
        <x:v>40513</x:v>
      </x:c>
      <x:c r="B766" s="14" t="str">
        <x:v>Nordeste</x:v>
      </x:c>
      <x:c r="C766" s="14" t="str">
        <x:v>SISTEMAS ISOLADOS</x:v>
      </x:c>
      <x:c r="D766" s="53" t="str">
        <x:v>Cativo</x:v>
      </x:c>
      <x:c r="E766" s="49" t="n">
        <x:v>234</x:v>
      </x:c>
      <x:c r="F766" s="52" t="n">
        <x:v>491</x:v>
      </x:c>
      <x:c r="G766" s="54" t="n">
        <x:v>46220</x:v>
      </x:c>
      <x:c r="H766" s="14" t="str">
        <x:f>IF(E766&lt;0,"Componente negativo — manter e investigar","OK")</x:f>
        <x:v>OK</x:v>
      </x:c>
    </x:row>
    <x:row r="767">
      <x:c r="A767" s="51" t="n">
        <x:v>40513</x:v>
      </x:c>
      <x:c r="B767" s="14" t="str">
        <x:v>Norte</x:v>
      </x:c>
      <x:c r="C767" s="14" t="str">
        <x:v>NORTE INTERLIGADO</x:v>
      </x:c>
      <x:c r="D767" s="53" t="str">
        <x:v>Cativo</x:v>
      </x:c>
      <x:c r="E767" s="49" t="n">
        <x:v>228639</x:v>
      </x:c>
      <x:c r="F767" s="52" t="n">
        <x:v>1707042</x:v>
      </x:c>
      <x:c r="G767" s="54" t="n">
        <x:v>46220</x:v>
      </x:c>
      <x:c r="H767" s="14" t="str">
        <x:f>IF(E767&lt;0,"Componente negativo — manter e investigar","OK")</x:f>
        <x:v>OK</x:v>
      </x:c>
    </x:row>
    <x:row r="768">
      <x:c r="A768" s="51" t="n">
        <x:v>40513</x:v>
      </x:c>
      <x:c r="B768" s="14" t="str">
        <x:v>Norte</x:v>
      </x:c>
      <x:c r="C768" s="14" t="str">
        <x:v>SISTEMAS ISOLADOS</x:v>
      </x:c>
      <x:c r="D768" s="53" t="str">
        <x:v>Cativo</x:v>
      </x:c>
      <x:c r="E768" s="49" t="n">
        <x:v>194455</x:v>
      </x:c>
      <x:c r="F768" s="52" t="n">
        <x:v>1013083</x:v>
      </x:c>
      <x:c r="G768" s="54" t="n">
        <x:v>46220</x:v>
      </x:c>
      <x:c r="H768" s="14" t="str">
        <x:f>IF(E768&lt;0,"Componente negativo — manter e investigar","OK")</x:f>
        <x:v>OK</x:v>
      </x:c>
    </x:row>
    <x:row r="769">
      <x:c r="A769" s="51" t="n">
        <x:v>40513</x:v>
      </x:c>
      <x:c r="B769" s="14" t="str">
        <x:v>Norte</x:v>
      </x:c>
      <x:c r="C769" s="14" t="str">
        <x:v>SUDESTE / CENTRO - OESTE</x:v>
      </x:c>
      <x:c r="D769" s="53" t="str">
        <x:v>Cativo</x:v>
      </x:c>
      <x:c r="E769" s="49" t="n">
        <x:v>86335</x:v>
      </x:c>
      <x:c r="F769" s="52" t="n">
        <x:v>434223</x:v>
      </x:c>
      <x:c r="G769" s="54" t="n">
        <x:v>46220</x:v>
      </x:c>
      <x:c r="H769" s="14" t="str">
        <x:f>IF(E769&lt;0,"Componente negativo — manter e investigar","OK")</x:f>
        <x:v>OK</x:v>
      </x:c>
    </x:row>
    <x:row r="770">
      <x:c r="A770" s="51" t="n">
        <x:v>40513</x:v>
      </x:c>
      <x:c r="B770" s="14" t="str">
        <x:v>Sudeste</x:v>
      </x:c>
      <x:c r="C770" s="14" t="str">
        <x:v>SUDESTE / CENTRO - OESTE</x:v>
      </x:c>
      <x:c r="D770" s="53" t="str">
        <x:v>Cativo</x:v>
      </x:c>
      <x:c r="E770" s="49" t="n">
        <x:v>4941867</x:v>
      </x:c>
      <x:c r="F770" s="52" t="n">
        <x:v>27297941</x:v>
      </x:c>
      <x:c r="G770" s="54" t="n">
        <x:v>46220</x:v>
      </x:c>
      <x:c r="H770" s="14" t="str">
        <x:f>IF(E770&lt;0,"Componente negativo — manter e investigar","OK")</x:f>
        <x:v>OK</x:v>
      </x:c>
    </x:row>
    <x:row r="771">
      <x:c r="A771" s="51" t="n">
        <x:v>40513</x:v>
      </x:c>
      <x:c r="B771" s="14" t="str">
        <x:v>Sul</x:v>
      </x:c>
      <x:c r="C771" s="14" t="str">
        <x:v>SUL</x:v>
      </x:c>
      <x:c r="D771" s="53" t="str">
        <x:v>Cativo</x:v>
      </x:c>
      <x:c r="E771" s="49" t="n">
        <x:v>1415916</x:v>
      </x:c>
      <x:c r="F771" s="52" t="n">
        <x:v>8199142</x:v>
      </x:c>
      <x:c r="G771" s="54" t="n">
        <x:v>46220</x:v>
      </x:c>
      <x:c r="H771" s="14" t="str">
        <x:f>IF(E771&lt;0,"Componente negativo — manter e investigar","OK")</x:f>
        <x:v>OK</x:v>
      </x:c>
    </x:row>
    <x:row r="772">
      <x:c r="A772" s="51" t="n">
        <x:v>40544</x:v>
      </x:c>
      <x:c r="B772" s="14" t="str">
        <x:v>Centro-Oeste</x:v>
      </x:c>
      <x:c r="C772" s="14" t="str">
        <x:v>SISTEMAS ISOLADOS</x:v>
      </x:c>
      <x:c r="D772" s="53" t="str">
        <x:v>Cativo</x:v>
      </x:c>
      <x:c r="E772" s="49" t="n">
        <x:v>2239</x:v>
      </x:c>
      <x:c r="F772" s="52" t="n">
        <x:v>15716</x:v>
      </x:c>
      <x:c r="G772" s="54" t="n">
        <x:v>46220</x:v>
      </x:c>
      <x:c r="H772" s="14" t="str">
        <x:f>IF(E772&lt;0,"Componente negativo — manter e investigar","OK")</x:f>
        <x:v>OK</x:v>
      </x:c>
    </x:row>
    <x:row r="773">
      <x:c r="A773" s="51" t="n">
        <x:v>40544</x:v>
      </x:c>
      <x:c r="B773" s="14" t="str">
        <x:v>Centro-Oeste</x:v>
      </x:c>
      <x:c r="C773" s="14" t="str">
        <x:v>SUDESTE / CENTRO - OESTE</x:v>
      </x:c>
      <x:c r="D773" s="53" t="str">
        <x:v>Cativo</x:v>
      </x:c>
      <x:c r="E773" s="49" t="n">
        <x:v>702100</x:v>
      </x:c>
      <x:c r="F773" s="52" t="n">
        <x:v>4148498</x:v>
      </x:c>
      <x:c r="G773" s="54" t="n">
        <x:v>46220</x:v>
      </x:c>
      <x:c r="H773" s="14" t="str">
        <x:f>IF(E773&lt;0,"Componente negativo — manter e investigar","OK")</x:f>
        <x:v>OK</x:v>
      </x:c>
    </x:row>
    <x:row r="774">
      <x:c r="A774" s="51" t="n">
        <x:v>40544</x:v>
      </x:c>
      <x:c r="B774" s="14" t="str">
        <x:v>Nordeste</x:v>
      </x:c>
      <x:c r="C774" s="14" t="str">
        <x:v>NORDESTE</x:v>
      </x:c>
      <x:c r="D774" s="53" t="str">
        <x:v>Cativo</x:v>
      </x:c>
      <x:c r="E774" s="49" t="n">
        <x:v>1587264</x:v>
      </x:c>
      <x:c r="F774" s="52" t="n">
        <x:v>13661765</x:v>
      </x:c>
      <x:c r="G774" s="54" t="n">
        <x:v>46220</x:v>
      </x:c>
      <x:c r="H774" s="14" t="str">
        <x:f>IF(E774&lt;0,"Componente negativo — manter e investigar","OK")</x:f>
        <x:v>OK</x:v>
      </x:c>
    </x:row>
    <x:row r="775">
      <x:c r="A775" s="51" t="n">
        <x:v>40544</x:v>
      </x:c>
      <x:c r="B775" s="14" t="str">
        <x:v>Nordeste</x:v>
      </x:c>
      <x:c r="C775" s="14" t="str">
        <x:v>NORTE INTERLIGADO</x:v>
      </x:c>
      <x:c r="D775" s="53" t="str">
        <x:v>Cativo</x:v>
      </x:c>
      <x:c r="E775" s="49" t="n">
        <x:v>164216</x:v>
      </x:c>
      <x:c r="F775" s="52" t="n">
        <x:v>1616206</x:v>
      </x:c>
      <x:c r="G775" s="54" t="n">
        <x:v>46220</x:v>
      </x:c>
      <x:c r="H775" s="14" t="str">
        <x:f>IF(E775&lt;0,"Componente negativo — manter e investigar","OK")</x:f>
        <x:v>OK</x:v>
      </x:c>
    </x:row>
    <x:row r="776">
      <x:c r="A776" s="51" t="n">
        <x:v>40544</x:v>
      </x:c>
      <x:c r="B776" s="14" t="str">
        <x:v>Nordeste</x:v>
      </x:c>
      <x:c r="C776" s="14" t="str">
        <x:v>SISTEMAS ISOLADOS</x:v>
      </x:c>
      <x:c r="D776" s="53" t="str">
        <x:v>Cativo</x:v>
      </x:c>
      <x:c r="E776" s="49" t="n">
        <x:v>281</x:v>
      </x:c>
      <x:c r="F776" s="52" t="n">
        <x:v>491</x:v>
      </x:c>
      <x:c r="G776" s="54" t="n">
        <x:v>46220</x:v>
      </x:c>
      <x:c r="H776" s="14" t="str">
        <x:f>IF(E776&lt;0,"Componente negativo — manter e investigar","OK")</x:f>
        <x:v>OK</x:v>
      </x:c>
    </x:row>
    <x:row r="777">
      <x:c r="A777" s="51" t="n">
        <x:v>40544</x:v>
      </x:c>
      <x:c r="B777" s="14" t="str">
        <x:v>Norte</x:v>
      </x:c>
      <x:c r="C777" s="14" t="str">
        <x:v>NORTE INTERLIGADO</x:v>
      </x:c>
      <x:c r="D777" s="53" t="str">
        <x:v>Cativo</x:v>
      </x:c>
      <x:c r="E777" s="49" t="n">
        <x:v>218526</x:v>
      </x:c>
      <x:c r="F777" s="52" t="n">
        <x:v>1715146</x:v>
      </x:c>
      <x:c r="G777" s="54" t="n">
        <x:v>46220</x:v>
      </x:c>
      <x:c r="H777" s="14" t="str">
        <x:f>IF(E777&lt;0,"Componente negativo — manter e investigar","OK")</x:f>
        <x:v>OK</x:v>
      </x:c>
    </x:row>
    <x:row r="778">
      <x:c r="A778" s="51" t="n">
        <x:v>40544</x:v>
      </x:c>
      <x:c r="B778" s="14" t="str">
        <x:v>Norte</x:v>
      </x:c>
      <x:c r="C778" s="14" t="str">
        <x:v>SISTEMAS ISOLADOS</x:v>
      </x:c>
      <x:c r="D778" s="53" t="str">
        <x:v>Cativo</x:v>
      </x:c>
      <x:c r="E778" s="49" t="n">
        <x:v>190538</x:v>
      </x:c>
      <x:c r="F778" s="52" t="n">
        <x:v>1019223</x:v>
      </x:c>
      <x:c r="G778" s="54" t="n">
        <x:v>46220</x:v>
      </x:c>
      <x:c r="H778" s="14" t="str">
        <x:f>IF(E778&lt;0,"Componente negativo — manter e investigar","OK")</x:f>
        <x:v>OK</x:v>
      </x:c>
    </x:row>
    <x:row r="779">
      <x:c r="A779" s="51" t="n">
        <x:v>40544</x:v>
      </x:c>
      <x:c r="B779" s="14" t="str">
        <x:v>Norte</x:v>
      </x:c>
      <x:c r="C779" s="14" t="str">
        <x:v>SUDESTE / CENTRO - OESTE</x:v>
      </x:c>
      <x:c r="D779" s="53" t="str">
        <x:v>Cativo</x:v>
      </x:c>
      <x:c r="E779" s="49" t="n">
        <x:v>87108</x:v>
      </x:c>
      <x:c r="F779" s="52" t="n">
        <x:v>437112</x:v>
      </x:c>
      <x:c r="G779" s="54" t="n">
        <x:v>46220</x:v>
      </x:c>
      <x:c r="H779" s="14" t="str">
        <x:f>IF(E779&lt;0,"Componente negativo — manter e investigar","OK")</x:f>
        <x:v>OK</x:v>
      </x:c>
    </x:row>
    <x:row r="780">
      <x:c r="A780" s="51" t="n">
        <x:v>40544</x:v>
      </x:c>
      <x:c r="B780" s="14" t="str">
        <x:v>Sudeste</x:v>
      </x:c>
      <x:c r="C780" s="14" t="str">
        <x:v>SUDESTE / CENTRO - OESTE</x:v>
      </x:c>
      <x:c r="D780" s="53" t="str">
        <x:v>Cativo</x:v>
      </x:c>
      <x:c r="E780" s="49" t="n">
        <x:v>5255305</x:v>
      </x:c>
      <x:c r="F780" s="52" t="n">
        <x:v>27340977</x:v>
      </x:c>
      <x:c r="G780" s="54" t="n">
        <x:v>46220</x:v>
      </x:c>
      <x:c r="H780" s="14" t="str">
        <x:f>IF(E780&lt;0,"Componente negativo — manter e investigar","OK")</x:f>
        <x:v>OK</x:v>
      </x:c>
    </x:row>
    <x:row r="781">
      <x:c r="A781" s="51" t="n">
        <x:v>40544</x:v>
      </x:c>
      <x:c r="B781" s="14" t="str">
        <x:v>Sul</x:v>
      </x:c>
      <x:c r="C781" s="14" t="str">
        <x:v>SUL</x:v>
      </x:c>
      <x:c r="D781" s="53" t="str">
        <x:v>Cativo</x:v>
      </x:c>
      <x:c r="E781" s="49" t="n">
        <x:v>1602622</x:v>
      </x:c>
      <x:c r="F781" s="52" t="n">
        <x:v>8228857</x:v>
      </x:c>
      <x:c r="G781" s="54" t="n">
        <x:v>46220</x:v>
      </x:c>
      <x:c r="H781" s="14" t="str">
        <x:f>IF(E781&lt;0,"Componente negativo — manter e investigar","OK")</x:f>
        <x:v>OK</x:v>
      </x:c>
    </x:row>
    <x:row r="782">
      <x:c r="A782" s="51" t="n">
        <x:v>40575</x:v>
      </x:c>
      <x:c r="B782" s="14" t="str">
        <x:v>Centro-Oeste</x:v>
      </x:c>
      <x:c r="C782" s="14" t="str">
        <x:v>SISTEMAS ISOLADOS</x:v>
      </x:c>
      <x:c r="D782" s="53" t="str">
        <x:v>Cativo</x:v>
      </x:c>
      <x:c r="E782" s="49" t="n">
        <x:v>2071</x:v>
      </x:c>
      <x:c r="F782" s="52" t="n">
        <x:v>15759</x:v>
      </x:c>
      <x:c r="G782" s="54" t="n">
        <x:v>46220</x:v>
      </x:c>
      <x:c r="H782" s="14" t="str">
        <x:f>IF(E782&lt;0,"Componente negativo — manter e investigar","OK")</x:f>
        <x:v>OK</x:v>
      </x:c>
    </x:row>
    <x:row r="783">
      <x:c r="A783" s="51" t="n">
        <x:v>40575</x:v>
      </x:c>
      <x:c r="B783" s="14" t="str">
        <x:v>Centro-Oeste</x:v>
      </x:c>
      <x:c r="C783" s="14" t="str">
        <x:v>SUDESTE / CENTRO - OESTE</x:v>
      </x:c>
      <x:c r="D783" s="53" t="str">
        <x:v>Cativo</x:v>
      </x:c>
      <x:c r="E783" s="49" t="n">
        <x:v>670381</x:v>
      </x:c>
      <x:c r="F783" s="52" t="n">
        <x:v>4159851</x:v>
      </x:c>
      <x:c r="G783" s="54" t="n">
        <x:v>46220</x:v>
      </x:c>
      <x:c r="H783" s="14" t="str">
        <x:f>IF(E783&lt;0,"Componente negativo — manter e investigar","OK")</x:f>
        <x:v>OK</x:v>
      </x:c>
    </x:row>
    <x:row r="784">
      <x:c r="A784" s="51" t="n">
        <x:v>40575</x:v>
      </x:c>
      <x:c r="B784" s="14" t="str">
        <x:v>Nordeste</x:v>
      </x:c>
      <x:c r="C784" s="14" t="str">
        <x:v>NORDESTE</x:v>
      </x:c>
      <x:c r="D784" s="53" t="str">
        <x:v>Cativo</x:v>
      </x:c>
      <x:c r="E784" s="49" t="n">
        <x:v>1444148</x:v>
      </x:c>
      <x:c r="F784" s="52" t="n">
        <x:v>13723909</x:v>
      </x:c>
      <x:c r="G784" s="54" t="n">
        <x:v>46220</x:v>
      </x:c>
      <x:c r="H784" s="14" t="str">
        <x:f>IF(E784&lt;0,"Componente negativo — manter e investigar","OK")</x:f>
        <x:v>OK</x:v>
      </x:c>
    </x:row>
    <x:row r="785">
      <x:c r="A785" s="51" t="n">
        <x:v>40575</x:v>
      </x:c>
      <x:c r="B785" s="14" t="str">
        <x:v>Nordeste</x:v>
      </x:c>
      <x:c r="C785" s="14" t="str">
        <x:v>NORTE INTERLIGADO</x:v>
      </x:c>
      <x:c r="D785" s="53" t="str">
        <x:v>Cativo</x:v>
      </x:c>
      <x:c r="E785" s="49" t="n">
        <x:v>153322</x:v>
      </x:c>
      <x:c r="F785" s="52" t="n">
        <x:v>1626440</x:v>
      </x:c>
      <x:c r="G785" s="54" t="n">
        <x:v>46220</x:v>
      </x:c>
      <x:c r="H785" s="14" t="str">
        <x:f>IF(E785&lt;0,"Componente negativo — manter e investigar","OK")</x:f>
        <x:v>OK</x:v>
      </x:c>
    </x:row>
    <x:row r="786">
      <x:c r="A786" s="51" t="n">
        <x:v>40575</x:v>
      </x:c>
      <x:c r="B786" s="14" t="str">
        <x:v>Nordeste</x:v>
      </x:c>
      <x:c r="C786" s="14" t="str">
        <x:v>SISTEMAS ISOLADOS</x:v>
      </x:c>
      <x:c r="D786" s="53" t="str">
        <x:v>Cativo</x:v>
      </x:c>
      <x:c r="E786" s="49" t="n">
        <x:v>232</x:v>
      </x:c>
      <x:c r="F786" s="52" t="n">
        <x:v>491</x:v>
      </x:c>
      <x:c r="G786" s="54" t="n">
        <x:v>46220</x:v>
      </x:c>
      <x:c r="H786" s="14" t="str">
        <x:f>IF(E786&lt;0,"Componente negativo — manter e investigar","OK")</x:f>
        <x:v>OK</x:v>
      </x:c>
    </x:row>
    <x:row r="787">
      <x:c r="A787" s="51" t="n">
        <x:v>40575</x:v>
      </x:c>
      <x:c r="B787" s="14" t="str">
        <x:v>Norte</x:v>
      </x:c>
      <x:c r="C787" s="14" t="str">
        <x:v>NORTE INTERLIGADO</x:v>
      </x:c>
      <x:c r="D787" s="53" t="str">
        <x:v>Cativo</x:v>
      </x:c>
      <x:c r="E787" s="49" t="n">
        <x:v>194182</x:v>
      </x:c>
      <x:c r="F787" s="52" t="n">
        <x:v>1722753</x:v>
      </x:c>
      <x:c r="G787" s="54" t="n">
        <x:v>46220</x:v>
      </x:c>
      <x:c r="H787" s="14" t="str">
        <x:f>IF(E787&lt;0,"Componente negativo — manter e investigar","OK")</x:f>
        <x:v>OK</x:v>
      </x:c>
    </x:row>
    <x:row r="788">
      <x:c r="A788" s="51" t="n">
        <x:v>40575</x:v>
      </x:c>
      <x:c r="B788" s="14" t="str">
        <x:v>Norte</x:v>
      </x:c>
      <x:c r="C788" s="14" t="str">
        <x:v>SISTEMAS ISOLADOS</x:v>
      </x:c>
      <x:c r="D788" s="53" t="str">
        <x:v>Cativo</x:v>
      </x:c>
      <x:c r="E788" s="49" t="n">
        <x:v>174327</x:v>
      </x:c>
      <x:c r="F788" s="52" t="n">
        <x:v>1024487</x:v>
      </x:c>
      <x:c r="G788" s="54" t="n">
        <x:v>46220</x:v>
      </x:c>
      <x:c r="H788" s="14" t="str">
        <x:f>IF(E788&lt;0,"Componente negativo — manter e investigar","OK")</x:f>
        <x:v>OK</x:v>
      </x:c>
    </x:row>
    <x:row r="789">
      <x:c r="A789" s="51" t="n">
        <x:v>40575</x:v>
      </x:c>
      <x:c r="B789" s="14" t="str">
        <x:v>Norte</x:v>
      </x:c>
      <x:c r="C789" s="14" t="str">
        <x:v>SUDESTE / CENTRO - OESTE</x:v>
      </x:c>
      <x:c r="D789" s="53" t="str">
        <x:v>Cativo</x:v>
      </x:c>
      <x:c r="E789" s="49" t="n">
        <x:v>83844</x:v>
      </x:c>
      <x:c r="F789" s="52" t="n">
        <x:v>439077</x:v>
      </x:c>
      <x:c r="G789" s="54" t="n">
        <x:v>46220</x:v>
      </x:c>
      <x:c r="H789" s="14" t="str">
        <x:f>IF(E789&lt;0,"Componente negativo — manter e investigar","OK")</x:f>
        <x:v>OK</x:v>
      </x:c>
    </x:row>
    <x:row r="790">
      <x:c r="A790" s="51" t="n">
        <x:v>40575</x:v>
      </x:c>
      <x:c r="B790" s="14" t="str">
        <x:v>Sudeste</x:v>
      </x:c>
      <x:c r="C790" s="14" t="str">
        <x:v>SUDESTE / CENTRO - OESTE</x:v>
      </x:c>
      <x:c r="D790" s="53" t="str">
        <x:v>Cativo</x:v>
      </x:c>
      <x:c r="E790" s="49" t="n">
        <x:v>5083728</x:v>
      </x:c>
      <x:c r="F790" s="52" t="n">
        <x:v>27428020</x:v>
      </x:c>
      <x:c r="G790" s="54" t="n">
        <x:v>46220</x:v>
      </x:c>
      <x:c r="H790" s="14" t="str">
        <x:f>IF(E790&lt;0,"Componente negativo — manter e investigar","OK")</x:f>
        <x:v>OK</x:v>
      </x:c>
    </x:row>
    <x:row r="791">
      <x:c r="A791" s="51" t="n">
        <x:v>40575</x:v>
      </x:c>
      <x:c r="B791" s="14" t="str">
        <x:v>Sul</x:v>
      </x:c>
      <x:c r="C791" s="14" t="str">
        <x:v>SUL</x:v>
      </x:c>
      <x:c r="D791" s="53" t="str">
        <x:v>Cativo</x:v>
      </x:c>
      <x:c r="E791" s="49" t="n">
        <x:v>1598947</x:v>
      </x:c>
      <x:c r="F791" s="52" t="n">
        <x:v>8247355</x:v>
      </x:c>
      <x:c r="G791" s="54" t="n">
        <x:v>46220</x:v>
      </x:c>
      <x:c r="H791" s="14" t="str">
        <x:f>IF(E791&lt;0,"Componente negativo — manter e investigar","OK")</x:f>
        <x:v>OK</x:v>
      </x:c>
    </x:row>
    <x:row r="792">
      <x:c r="A792" s="51" t="n">
        <x:v>40603</x:v>
      </x:c>
      <x:c r="B792" s="14" t="str">
        <x:v>Centro-Oeste</x:v>
      </x:c>
      <x:c r="C792" s="14" t="str">
        <x:v>SISTEMAS ISOLADOS</x:v>
      </x:c>
      <x:c r="D792" s="53" t="str">
        <x:v>Cativo</x:v>
      </x:c>
      <x:c r="E792" s="49" t="n">
        <x:v>2245</x:v>
      </x:c>
      <x:c r="F792" s="52" t="n">
        <x:v>15772</x:v>
      </x:c>
      <x:c r="G792" s="54" t="n">
        <x:v>46220</x:v>
      </x:c>
      <x:c r="H792" s="14" t="str">
        <x:f>IF(E792&lt;0,"Componente negativo — manter e investigar","OK")</x:f>
        <x:v>OK</x:v>
      </x:c>
    </x:row>
    <x:row r="793">
      <x:c r="A793" s="51" t="n">
        <x:v>40603</x:v>
      </x:c>
      <x:c r="B793" s="14" t="str">
        <x:v>Centro-Oeste</x:v>
      </x:c>
      <x:c r="C793" s="14" t="str">
        <x:v>SUDESTE / CENTRO - OESTE</x:v>
      </x:c>
      <x:c r="D793" s="53" t="str">
        <x:v>Cativo</x:v>
      </x:c>
      <x:c r="E793" s="49" t="n">
        <x:v>695287</x:v>
      </x:c>
      <x:c r="F793" s="52" t="n">
        <x:v>4175548</x:v>
      </x:c>
      <x:c r="G793" s="54" t="n">
        <x:v>46220</x:v>
      </x:c>
      <x:c r="H793" s="14" t="str">
        <x:f>IF(E793&lt;0,"Componente negativo — manter e investigar","OK")</x:f>
        <x:v>OK</x:v>
      </x:c>
    </x:row>
    <x:row r="794">
      <x:c r="A794" s="51" t="n">
        <x:v>40603</x:v>
      </x:c>
      <x:c r="B794" s="14" t="str">
        <x:v>Nordeste</x:v>
      </x:c>
      <x:c r="C794" s="14" t="str">
        <x:v>NORDESTE</x:v>
      </x:c>
      <x:c r="D794" s="53" t="str">
        <x:v>Cativo</x:v>
      </x:c>
      <x:c r="E794" s="49" t="n">
        <x:v>1563032</x:v>
      </x:c>
      <x:c r="F794" s="52" t="n">
        <x:v>13772366</x:v>
      </x:c>
      <x:c r="G794" s="54" t="n">
        <x:v>46220</x:v>
      </x:c>
      <x:c r="H794" s="14" t="str">
        <x:f>IF(E794&lt;0,"Componente negativo — manter e investigar","OK")</x:f>
        <x:v>OK</x:v>
      </x:c>
    </x:row>
    <x:row r="795">
      <x:c r="A795" s="51" t="n">
        <x:v>40603</x:v>
      </x:c>
      <x:c r="B795" s="14" t="str">
        <x:v>Nordeste</x:v>
      </x:c>
      <x:c r="C795" s="14" t="str">
        <x:v>NORTE INTERLIGADO</x:v>
      </x:c>
      <x:c r="D795" s="53" t="str">
        <x:v>Cativo</x:v>
      </x:c>
      <x:c r="E795" s="49" t="n">
        <x:v>150123</x:v>
      </x:c>
      <x:c r="F795" s="52" t="n">
        <x:v>1630483</x:v>
      </x:c>
      <x:c r="G795" s="54" t="n">
        <x:v>46220</x:v>
      </x:c>
      <x:c r="H795" s="14" t="str">
        <x:f>IF(E795&lt;0,"Componente negativo — manter e investigar","OK")</x:f>
        <x:v>OK</x:v>
      </x:c>
    </x:row>
    <x:row r="796">
      <x:c r="A796" s="51" t="n">
        <x:v>40603</x:v>
      </x:c>
      <x:c r="B796" s="14" t="str">
        <x:v>Nordeste</x:v>
      </x:c>
      <x:c r="C796" s="14" t="str">
        <x:v>SISTEMAS ISOLADOS</x:v>
      </x:c>
      <x:c r="D796" s="53" t="str">
        <x:v>Cativo</x:v>
      </x:c>
      <x:c r="E796" s="49" t="n">
        <x:v>237</x:v>
      </x:c>
      <x:c r="F796" s="52" t="n">
        <x:v>495</x:v>
      </x:c>
      <x:c r="G796" s="54" t="n">
        <x:v>46220</x:v>
      </x:c>
      <x:c r="H796" s="14" t="str">
        <x:f>IF(E796&lt;0,"Componente negativo — manter e investigar","OK")</x:f>
        <x:v>OK</x:v>
      </x:c>
    </x:row>
    <x:row r="797">
      <x:c r="A797" s="51" t="n">
        <x:v>40603</x:v>
      </x:c>
      <x:c r="B797" s="14" t="str">
        <x:v>Norte</x:v>
      </x:c>
      <x:c r="C797" s="14" t="str">
        <x:v>NORTE INTERLIGADO</x:v>
      </x:c>
      <x:c r="D797" s="53" t="str">
        <x:v>Cativo</x:v>
      </x:c>
      <x:c r="E797" s="49" t="n">
        <x:v>215327</x:v>
      </x:c>
      <x:c r="F797" s="52" t="n">
        <x:v>1737044</x:v>
      </x:c>
      <x:c r="G797" s="54" t="n">
        <x:v>46220</x:v>
      </x:c>
      <x:c r="H797" s="14" t="str">
        <x:f>IF(E797&lt;0,"Componente negativo — manter e investigar","OK")</x:f>
        <x:v>OK</x:v>
      </x:c>
    </x:row>
    <x:row r="798">
      <x:c r="A798" s="51" t="n">
        <x:v>40603</x:v>
      </x:c>
      <x:c r="B798" s="14" t="str">
        <x:v>Norte</x:v>
      </x:c>
      <x:c r="C798" s="14" t="str">
        <x:v>SISTEMAS ISOLADOS</x:v>
      </x:c>
      <x:c r="D798" s="53" t="str">
        <x:v>Cativo</x:v>
      </x:c>
      <x:c r="E798" s="49" t="n">
        <x:v>183190</x:v>
      </x:c>
      <x:c r="F798" s="52" t="n">
        <x:v>1028156</x:v>
      </x:c>
      <x:c r="G798" s="54" t="n">
        <x:v>46220</x:v>
      </x:c>
      <x:c r="H798" s="14" t="str">
        <x:f>IF(E798&lt;0,"Componente negativo — manter e investigar","OK")</x:f>
        <x:v>OK</x:v>
      </x:c>
    </x:row>
    <x:row r="799">
      <x:c r="A799" s="51" t="n">
        <x:v>40603</x:v>
      </x:c>
      <x:c r="B799" s="14" t="str">
        <x:v>Norte</x:v>
      </x:c>
      <x:c r="C799" s="14" t="str">
        <x:v>SUDESTE / CENTRO - OESTE</x:v>
      </x:c>
      <x:c r="D799" s="53" t="str">
        <x:v>Cativo</x:v>
      </x:c>
      <x:c r="E799" s="49" t="n">
        <x:v>79120</x:v>
      </x:c>
      <x:c r="F799" s="52" t="n">
        <x:v>440791</x:v>
      </x:c>
      <x:c r="G799" s="54" t="n">
        <x:v>46220</x:v>
      </x:c>
      <x:c r="H799" s="14" t="str">
        <x:f>IF(E799&lt;0,"Componente negativo — manter e investigar","OK")</x:f>
        <x:v>OK</x:v>
      </x:c>
    </x:row>
    <x:row r="800">
      <x:c r="A800" s="51" t="n">
        <x:v>40603</x:v>
      </x:c>
      <x:c r="B800" s="14" t="str">
        <x:v>Sudeste</x:v>
      </x:c>
      <x:c r="C800" s="14" t="str">
        <x:v>SUDESTE / CENTRO - OESTE</x:v>
      </x:c>
      <x:c r="D800" s="53" t="str">
        <x:v>Cativo</x:v>
      </x:c>
      <x:c r="E800" s="49" t="n">
        <x:v>5128653</x:v>
      </x:c>
      <x:c r="F800" s="52" t="n">
        <x:v>27437615</x:v>
      </x:c>
      <x:c r="G800" s="54" t="n">
        <x:v>46220</x:v>
      </x:c>
      <x:c r="H800" s="14" t="str">
        <x:f>IF(E800&lt;0,"Componente negativo — manter e investigar","OK")</x:f>
        <x:v>OK</x:v>
      </x:c>
    </x:row>
    <x:row r="801">
      <x:c r="A801" s="51" t="n">
        <x:v>40603</x:v>
      </x:c>
      <x:c r="B801" s="14" t="str">
        <x:v>Sul</x:v>
      </x:c>
      <x:c r="C801" s="14" t="str">
        <x:v>SUL</x:v>
      </x:c>
      <x:c r="D801" s="53" t="str">
        <x:v>Cativo</x:v>
      </x:c>
      <x:c r="E801" s="49" t="n">
        <x:v>1490633</x:v>
      </x:c>
      <x:c r="F801" s="52" t="n">
        <x:v>8261504</x:v>
      </x:c>
      <x:c r="G801" s="54" t="n">
        <x:v>46220</x:v>
      </x:c>
      <x:c r="H801" s="14" t="str">
        <x:f>IF(E801&lt;0,"Componente negativo — manter e investigar","OK")</x:f>
        <x:v>OK</x:v>
      </x:c>
    </x:row>
    <x:row r="802">
      <x:c r="A802" s="51" t="n">
        <x:v>40634</x:v>
      </x:c>
      <x:c r="B802" s="14" t="str">
        <x:v>Centro-Oeste</x:v>
      </x:c>
      <x:c r="C802" s="14" t="str">
        <x:v>SISTEMAS ISOLADOS</x:v>
      </x:c>
      <x:c r="D802" s="53" t="str">
        <x:v>Cativo</x:v>
      </x:c>
      <x:c r="E802" s="49" t="n">
        <x:v>2141</x:v>
      </x:c>
      <x:c r="F802" s="52" t="n">
        <x:v>14746</x:v>
      </x:c>
      <x:c r="G802" s="54" t="n">
        <x:v>46220</x:v>
      </x:c>
      <x:c r="H802" s="14" t="str">
        <x:f>IF(E802&lt;0,"Componente negativo — manter e investigar","OK")</x:f>
        <x:v>OK</x:v>
      </x:c>
    </x:row>
    <x:row r="803">
      <x:c r="A803" s="51" t="n">
        <x:v>40634</x:v>
      </x:c>
      <x:c r="B803" s="14" t="str">
        <x:v>Centro-Oeste</x:v>
      </x:c>
      <x:c r="C803" s="14" t="str">
        <x:v>SUDESTE / CENTRO - OESTE</x:v>
      </x:c>
      <x:c r="D803" s="53" t="str">
        <x:v>Cativo</x:v>
      </x:c>
      <x:c r="E803" s="49" t="n">
        <x:v>710706</x:v>
      </x:c>
      <x:c r="F803" s="52" t="n">
        <x:v>4192286</x:v>
      </x:c>
      <x:c r="G803" s="54" t="n">
        <x:v>46220</x:v>
      </x:c>
      <x:c r="H803" s="14" t="str">
        <x:f>IF(E803&lt;0,"Componente negativo — manter e investigar","OK")</x:f>
        <x:v>OK</x:v>
      </x:c>
    </x:row>
    <x:row r="804">
      <x:c r="A804" s="51" t="n">
        <x:v>40634</x:v>
      </x:c>
      <x:c r="B804" s="14" t="str">
        <x:v>Nordeste</x:v>
      </x:c>
      <x:c r="C804" s="14" t="str">
        <x:v>NORDESTE</x:v>
      </x:c>
      <x:c r="D804" s="53" t="str">
        <x:v>Cativo</x:v>
      </x:c>
      <x:c r="E804" s="49" t="n">
        <x:v>1519074</x:v>
      </x:c>
      <x:c r="F804" s="52" t="n">
        <x:v>13812385</x:v>
      </x:c>
      <x:c r="G804" s="54" t="n">
        <x:v>46220</x:v>
      </x:c>
      <x:c r="H804" s="14" t="str">
        <x:f>IF(E804&lt;0,"Componente negativo — manter e investigar","OK")</x:f>
        <x:v>OK</x:v>
      </x:c>
    </x:row>
    <x:row r="805">
      <x:c r="A805" s="51" t="n">
        <x:v>40634</x:v>
      </x:c>
      <x:c r="B805" s="14" t="str">
        <x:v>Nordeste</x:v>
      </x:c>
      <x:c r="C805" s="14" t="str">
        <x:v>NORTE INTERLIGADO</x:v>
      </x:c>
      <x:c r="D805" s="53" t="str">
        <x:v>Cativo</x:v>
      </x:c>
      <x:c r="E805" s="49" t="n">
        <x:v>162588</x:v>
      </x:c>
      <x:c r="F805" s="52" t="n">
        <x:v>1641576</x:v>
      </x:c>
      <x:c r="G805" s="54" t="n">
        <x:v>46220</x:v>
      </x:c>
      <x:c r="H805" s="14" t="str">
        <x:f>IF(E805&lt;0,"Componente negativo — manter e investigar","OK")</x:f>
        <x:v>OK</x:v>
      </x:c>
    </x:row>
    <x:row r="806">
      <x:c r="A806" s="51" t="n">
        <x:v>40634</x:v>
      </x:c>
      <x:c r="B806" s="14" t="str">
        <x:v>Nordeste</x:v>
      </x:c>
      <x:c r="C806" s="14" t="str">
        <x:v>SISTEMAS ISOLADOS</x:v>
      </x:c>
      <x:c r="D806" s="53" t="str">
        <x:v>Cativo</x:v>
      </x:c>
      <x:c r="E806" s="49" t="n">
        <x:v>242</x:v>
      </x:c>
      <x:c r="F806" s="52" t="n">
        <x:v>498</x:v>
      </x:c>
      <x:c r="G806" s="54" t="n">
        <x:v>46220</x:v>
      </x:c>
      <x:c r="H806" s="14" t="str">
        <x:f>IF(E806&lt;0,"Componente negativo — manter e investigar","OK")</x:f>
        <x:v>OK</x:v>
      </x:c>
    </x:row>
    <x:row r="807">
      <x:c r="A807" s="51" t="n">
        <x:v>40634</x:v>
      </x:c>
      <x:c r="B807" s="14" t="str">
        <x:v>Norte</x:v>
      </x:c>
      <x:c r="C807" s="14" t="str">
        <x:v>NORTE INTERLIGADO</x:v>
      </x:c>
      <x:c r="D807" s="53" t="str">
        <x:v>Cativo</x:v>
      </x:c>
      <x:c r="E807" s="49" t="n">
        <x:v>210793</x:v>
      </x:c>
      <x:c r="F807" s="52" t="n">
        <x:v>1747601</x:v>
      </x:c>
      <x:c r="G807" s="54" t="n">
        <x:v>46220</x:v>
      </x:c>
      <x:c r="H807" s="14" t="str">
        <x:f>IF(E807&lt;0,"Componente negativo — manter e investigar","OK")</x:f>
        <x:v>OK</x:v>
      </x:c>
    </x:row>
    <x:row r="808">
      <x:c r="A808" s="51" t="n">
        <x:v>40634</x:v>
      </x:c>
      <x:c r="B808" s="14" t="str">
        <x:v>Norte</x:v>
      </x:c>
      <x:c r="C808" s="14" t="str">
        <x:v>SISTEMAS ISOLADOS</x:v>
      </x:c>
      <x:c r="D808" s="53" t="str">
        <x:v>Cativo</x:v>
      </x:c>
      <x:c r="E808" s="49" t="n">
        <x:v>177660</x:v>
      </x:c>
      <x:c r="F808" s="52" t="n">
        <x:v>1033804</x:v>
      </x:c>
      <x:c r="G808" s="54" t="n">
        <x:v>46220</x:v>
      </x:c>
      <x:c r="H808" s="14" t="str">
        <x:f>IF(E808&lt;0,"Componente negativo — manter e investigar","OK")</x:f>
        <x:v>OK</x:v>
      </x:c>
    </x:row>
    <x:row r="809">
      <x:c r="A809" s="51" t="n">
        <x:v>40634</x:v>
      </x:c>
      <x:c r="B809" s="14" t="str">
        <x:v>Norte</x:v>
      </x:c>
      <x:c r="C809" s="14" t="str">
        <x:v>SUDESTE / CENTRO - OESTE</x:v>
      </x:c>
      <x:c r="D809" s="53" t="str">
        <x:v>Cativo</x:v>
      </x:c>
      <x:c r="E809" s="49" t="n">
        <x:v>83143</x:v>
      </x:c>
      <x:c r="F809" s="52" t="n">
        <x:v>442635</x:v>
      </x:c>
      <x:c r="G809" s="54" t="n">
        <x:v>46220</x:v>
      </x:c>
      <x:c r="H809" s="14" t="str">
        <x:f>IF(E809&lt;0,"Componente negativo — manter e investigar","OK")</x:f>
        <x:v>OK</x:v>
      </x:c>
    </x:row>
    <x:row r="810">
      <x:c r="A810" s="51" t="n">
        <x:v>40634</x:v>
      </x:c>
      <x:c r="B810" s="14" t="str">
        <x:v>Sudeste</x:v>
      </x:c>
      <x:c r="C810" s="14" t="str">
        <x:v>SUDESTE / CENTRO - OESTE</x:v>
      </x:c>
      <x:c r="D810" s="53" t="str">
        <x:v>Cativo</x:v>
      </x:c>
      <x:c r="E810" s="49" t="n">
        <x:v>4937010</x:v>
      </x:c>
      <x:c r="F810" s="52" t="n">
        <x:v>27471474</x:v>
      </x:c>
      <x:c r="G810" s="54" t="n">
        <x:v>46220</x:v>
      </x:c>
      <x:c r="H810" s="14" t="str">
        <x:f>IF(E810&lt;0,"Componente negativo — manter e investigar","OK")</x:f>
        <x:v>OK</x:v>
      </x:c>
    </x:row>
    <x:row r="811">
      <x:c r="A811" s="51" t="n">
        <x:v>40634</x:v>
      </x:c>
      <x:c r="B811" s="14" t="str">
        <x:v>Sul</x:v>
      </x:c>
      <x:c r="C811" s="14" t="str">
        <x:v>SUL</x:v>
      </x:c>
      <x:c r="D811" s="53" t="str">
        <x:v>Cativo</x:v>
      </x:c>
      <x:c r="E811" s="49" t="n">
        <x:v>1433329</x:v>
      </x:c>
      <x:c r="F811" s="52" t="n">
        <x:v>8284847</x:v>
      </x:c>
      <x:c r="G811" s="54" t="n">
        <x:v>46220</x:v>
      </x:c>
      <x:c r="H811" s="14" t="str">
        <x:f>IF(E811&lt;0,"Componente negativo — manter e investigar","OK")</x:f>
        <x:v>OK</x:v>
      </x:c>
    </x:row>
    <x:row r="812">
      <x:c r="A812" s="51" t="n">
        <x:v>40664</x:v>
      </x:c>
      <x:c r="B812" s="14" t="str">
        <x:v>Centro-Oeste</x:v>
      </x:c>
      <x:c r="C812" s="14" t="str">
        <x:v>SISTEMAS ISOLADOS</x:v>
      </x:c>
      <x:c r="D812" s="53" t="str">
        <x:v>Cativo</x:v>
      </x:c>
      <x:c r="E812" s="49" t="n">
        <x:v>1843</x:v>
      </x:c>
      <x:c r="F812" s="52" t="n">
        <x:v>12619</x:v>
      </x:c>
      <x:c r="G812" s="54" t="n">
        <x:v>46220</x:v>
      </x:c>
      <x:c r="H812" s="14" t="str">
        <x:f>IF(E812&lt;0,"Componente negativo — manter e investigar","OK")</x:f>
        <x:v>OK</x:v>
      </x:c>
    </x:row>
    <x:row r="813">
      <x:c r="A813" s="51" t="n">
        <x:v>40664</x:v>
      </x:c>
      <x:c r="B813" s="14" t="str">
        <x:v>Centro-Oeste</x:v>
      </x:c>
      <x:c r="C813" s="14" t="str">
        <x:v>SUDESTE / CENTRO - OESTE</x:v>
      </x:c>
      <x:c r="D813" s="53" t="str">
        <x:v>Cativo</x:v>
      </x:c>
      <x:c r="E813" s="49" t="n">
        <x:v>703041</x:v>
      </x:c>
      <x:c r="F813" s="52" t="n">
        <x:v>4214274</x:v>
      </x:c>
      <x:c r="G813" s="54" t="n">
        <x:v>46220</x:v>
      </x:c>
      <x:c r="H813" s="14" t="str">
        <x:f>IF(E813&lt;0,"Componente negativo — manter e investigar","OK")</x:f>
        <x:v>OK</x:v>
      </x:c>
    </x:row>
    <x:row r="814">
      <x:c r="A814" s="51" t="n">
        <x:v>40664</x:v>
      </x:c>
      <x:c r="B814" s="14" t="str">
        <x:v>Nordeste</x:v>
      </x:c>
      <x:c r="C814" s="14" t="str">
        <x:v>NORDESTE</x:v>
      </x:c>
      <x:c r="D814" s="53" t="str">
        <x:v>Cativo</x:v>
      </x:c>
      <x:c r="E814" s="49" t="n">
        <x:v>1497587</x:v>
      </x:c>
      <x:c r="F814" s="52" t="n">
        <x:v>13853381</x:v>
      </x:c>
      <x:c r="G814" s="54" t="n">
        <x:v>46220</x:v>
      </x:c>
      <x:c r="H814" s="14" t="str">
        <x:f>IF(E814&lt;0,"Componente negativo — manter e investigar","OK")</x:f>
        <x:v>OK</x:v>
      </x:c>
    </x:row>
    <x:row r="815">
      <x:c r="A815" s="51" t="n">
        <x:v>40664</x:v>
      </x:c>
      <x:c r="B815" s="14" t="str">
        <x:v>Nordeste</x:v>
      </x:c>
      <x:c r="C815" s="14" t="str">
        <x:v>NORTE INTERLIGADO</x:v>
      </x:c>
      <x:c r="D815" s="53" t="str">
        <x:v>Cativo</x:v>
      </x:c>
      <x:c r="E815" s="49" t="n">
        <x:v>164642</x:v>
      </x:c>
      <x:c r="F815" s="52" t="n">
        <x:v>1650471</x:v>
      </x:c>
      <x:c r="G815" s="54" t="n">
        <x:v>46220</x:v>
      </x:c>
      <x:c r="H815" s="14" t="str">
        <x:f>IF(E815&lt;0,"Componente negativo — manter e investigar","OK")</x:f>
        <x:v>OK</x:v>
      </x:c>
    </x:row>
    <x:row r="816">
      <x:c r="A816" s="51" t="n">
        <x:v>40664</x:v>
      </x:c>
      <x:c r="B816" s="14" t="str">
        <x:v>Nordeste</x:v>
      </x:c>
      <x:c r="C816" s="14" t="str">
        <x:v>SISTEMAS ISOLADOS</x:v>
      </x:c>
      <x:c r="D816" s="53" t="str">
        <x:v>Cativo</x:v>
      </x:c>
      <x:c r="E816" s="49" t="n">
        <x:v>230</x:v>
      </x:c>
      <x:c r="F816" s="52" t="n">
        <x:v>498</x:v>
      </x:c>
      <x:c r="G816" s="54" t="n">
        <x:v>46220</x:v>
      </x:c>
      <x:c r="H816" s="14" t="str">
        <x:f>IF(E816&lt;0,"Componente negativo — manter e investigar","OK")</x:f>
        <x:v>OK</x:v>
      </x:c>
    </x:row>
    <x:row r="817">
      <x:c r="A817" s="51" t="n">
        <x:v>40664</x:v>
      </x:c>
      <x:c r="B817" s="14" t="str">
        <x:v>Norte</x:v>
      </x:c>
      <x:c r="C817" s="14" t="str">
        <x:v>NORTE INTERLIGADO</x:v>
      </x:c>
      <x:c r="D817" s="53" t="str">
        <x:v>Cativo</x:v>
      </x:c>
      <x:c r="E817" s="49" t="n">
        <x:v>220844</x:v>
      </x:c>
      <x:c r="F817" s="52" t="n">
        <x:v>1758150</x:v>
      </x:c>
      <x:c r="G817" s="54" t="n">
        <x:v>46220</x:v>
      </x:c>
      <x:c r="H817" s="14" t="str">
        <x:f>IF(E817&lt;0,"Componente negativo — manter e investigar","OK")</x:f>
        <x:v>OK</x:v>
      </x:c>
    </x:row>
    <x:row r="818">
      <x:c r="A818" s="51" t="n">
        <x:v>40664</x:v>
      </x:c>
      <x:c r="B818" s="14" t="str">
        <x:v>Norte</x:v>
      </x:c>
      <x:c r="C818" s="14" t="str">
        <x:v>SISTEMAS ISOLADOS</x:v>
      </x:c>
      <x:c r="D818" s="53" t="str">
        <x:v>Cativo</x:v>
      </x:c>
      <x:c r="E818" s="49" t="n">
        <x:v>181256</x:v>
      </x:c>
      <x:c r="F818" s="52" t="n">
        <x:v>1039189</x:v>
      </x:c>
      <x:c r="G818" s="54" t="n">
        <x:v>46220</x:v>
      </x:c>
      <x:c r="H818" s="14" t="str">
        <x:f>IF(E818&lt;0,"Componente negativo — manter e investigar","OK")</x:f>
        <x:v>OK</x:v>
      </x:c>
    </x:row>
    <x:row r="819">
      <x:c r="A819" s="51" t="n">
        <x:v>40664</x:v>
      </x:c>
      <x:c r="B819" s="14" t="str">
        <x:v>Norte</x:v>
      </x:c>
      <x:c r="C819" s="14" t="str">
        <x:v>SUDESTE / CENTRO - OESTE</x:v>
      </x:c>
      <x:c r="D819" s="53" t="str">
        <x:v>Cativo</x:v>
      </x:c>
      <x:c r="E819" s="49" t="n">
        <x:v>85543</x:v>
      </x:c>
      <x:c r="F819" s="52" t="n">
        <x:v>446144</x:v>
      </x:c>
      <x:c r="G819" s="54" t="n">
        <x:v>46220</x:v>
      </x:c>
      <x:c r="H819" s="14" t="str">
        <x:f>IF(E819&lt;0,"Componente negativo — manter e investigar","OK")</x:f>
        <x:v>OK</x:v>
      </x:c>
    </x:row>
    <x:row r="820">
      <x:c r="A820" s="51" t="n">
        <x:v>40664</x:v>
      </x:c>
      <x:c r="B820" s="14" t="str">
        <x:v>Sudeste</x:v>
      </x:c>
      <x:c r="C820" s="14" t="str">
        <x:v>SUDESTE / CENTRO - OESTE</x:v>
      </x:c>
      <x:c r="D820" s="53" t="str">
        <x:v>Cativo</x:v>
      </x:c>
      <x:c r="E820" s="49" t="n">
        <x:v>4856402</x:v>
      </x:c>
      <x:c r="F820" s="52" t="n">
        <x:v>27618710</x:v>
      </x:c>
      <x:c r="G820" s="54" t="n">
        <x:v>46220</x:v>
      </x:c>
      <x:c r="H820" s="14" t="str">
        <x:f>IF(E820&lt;0,"Componente negativo — manter e investigar","OK")</x:f>
        <x:v>OK</x:v>
      </x:c>
    </x:row>
    <x:row r="821">
      <x:c r="A821" s="51" t="n">
        <x:v>40664</x:v>
      </x:c>
      <x:c r="B821" s="14" t="str">
        <x:v>Sul</x:v>
      </x:c>
      <x:c r="C821" s="14" t="str">
        <x:v>SUL</x:v>
      </x:c>
      <x:c r="D821" s="53" t="str">
        <x:v>Cativo</x:v>
      </x:c>
      <x:c r="E821" s="49" t="n">
        <x:v>1426433</x:v>
      </x:c>
      <x:c r="F821" s="52" t="n">
        <x:v>8315836</x:v>
      </x:c>
      <x:c r="G821" s="54" t="n">
        <x:v>46220</x:v>
      </x:c>
      <x:c r="H821" s="14" t="str">
        <x:f>IF(E821&lt;0,"Componente negativo — manter e investigar","OK")</x:f>
        <x:v>OK</x:v>
      </x:c>
    </x:row>
    <x:row r="822">
      <x:c r="A822" s="51" t="n">
        <x:v>40695</x:v>
      </x:c>
      <x:c r="B822" s="14" t="str">
        <x:v>Centro-Oeste</x:v>
      </x:c>
      <x:c r="C822" s="14" t="str">
        <x:v>SISTEMAS ISOLADOS</x:v>
      </x:c>
      <x:c r="D822" s="53" t="str">
        <x:v>Cativo</x:v>
      </x:c>
      <x:c r="E822" s="49" t="n">
        <x:v>1836</x:v>
      </x:c>
      <x:c r="F822" s="52" t="n">
        <x:v>12690</x:v>
      </x:c>
      <x:c r="G822" s="54" t="n">
        <x:v>46220</x:v>
      </x:c>
      <x:c r="H822" s="14" t="str">
        <x:f>IF(E822&lt;0,"Componente negativo — manter e investigar","OK")</x:f>
        <x:v>OK</x:v>
      </x:c>
    </x:row>
    <x:row r="823">
      <x:c r="A823" s="51" t="n">
        <x:v>40695</x:v>
      </x:c>
      <x:c r="B823" s="14" t="str">
        <x:v>Centro-Oeste</x:v>
      </x:c>
      <x:c r="C823" s="14" t="str">
        <x:v>SUDESTE / CENTRO - OESTE</x:v>
      </x:c>
      <x:c r="D823" s="53" t="str">
        <x:v>Cativo</x:v>
      </x:c>
      <x:c r="E823" s="49" t="n">
        <x:v>658007</x:v>
      </x:c>
      <x:c r="F823" s="52" t="n">
        <x:v>4231919</x:v>
      </x:c>
      <x:c r="G823" s="54" t="n">
        <x:v>46220</x:v>
      </x:c>
      <x:c r="H823" s="14" t="str">
        <x:f>IF(E823&lt;0,"Componente negativo — manter e investigar","OK")</x:f>
        <x:v>OK</x:v>
      </x:c>
    </x:row>
    <x:row r="824">
      <x:c r="A824" s="51" t="n">
        <x:v>40695</x:v>
      </x:c>
      <x:c r="B824" s="14" t="str">
        <x:v>Nordeste</x:v>
      </x:c>
      <x:c r="C824" s="14" t="str">
        <x:v>NORDESTE</x:v>
      </x:c>
      <x:c r="D824" s="53" t="str">
        <x:v>Cativo</x:v>
      </x:c>
      <x:c r="E824" s="49" t="n">
        <x:v>1435618</x:v>
      </x:c>
      <x:c r="F824" s="52" t="n">
        <x:v>13901656</x:v>
      </x:c>
      <x:c r="G824" s="54" t="n">
        <x:v>46220</x:v>
      </x:c>
      <x:c r="H824" s="14" t="str">
        <x:f>IF(E824&lt;0,"Componente negativo — manter e investigar","OK")</x:f>
        <x:v>OK</x:v>
      </x:c>
    </x:row>
    <x:row r="825">
      <x:c r="A825" s="51" t="n">
        <x:v>40695</x:v>
      </x:c>
      <x:c r="B825" s="14" t="str">
        <x:v>Nordeste</x:v>
      </x:c>
      <x:c r="C825" s="14" t="str">
        <x:v>NORTE INTERLIGADO</x:v>
      </x:c>
      <x:c r="D825" s="53" t="str">
        <x:v>Cativo</x:v>
      </x:c>
      <x:c r="E825" s="49" t="n">
        <x:v>170015</x:v>
      </x:c>
      <x:c r="F825" s="52" t="n">
        <x:v>1658162</x:v>
      </x:c>
      <x:c r="G825" s="54" t="n">
        <x:v>46220</x:v>
      </x:c>
      <x:c r="H825" s="14" t="str">
        <x:f>IF(E825&lt;0,"Componente negativo — manter e investigar","OK")</x:f>
        <x:v>OK</x:v>
      </x:c>
    </x:row>
    <x:row r="826">
      <x:c r="A826" s="51" t="n">
        <x:v>40695</x:v>
      </x:c>
      <x:c r="B826" s="14" t="str">
        <x:v>Nordeste</x:v>
      </x:c>
      <x:c r="C826" s="14" t="str">
        <x:v>SISTEMAS ISOLADOS</x:v>
      </x:c>
      <x:c r="D826" s="53" t="str">
        <x:v>Cativo</x:v>
      </x:c>
      <x:c r="E826" s="49" t="n">
        <x:v>233</x:v>
      </x:c>
      <x:c r="F826" s="52" t="n">
        <x:v>500</x:v>
      </x:c>
      <x:c r="G826" s="54" t="n">
        <x:v>46220</x:v>
      </x:c>
      <x:c r="H826" s="14" t="str">
        <x:f>IF(E826&lt;0,"Componente negativo — manter e investigar","OK")</x:f>
        <x:v>OK</x:v>
      </x:c>
    </x:row>
    <x:row r="827">
      <x:c r="A827" s="51" t="n">
        <x:v>40695</x:v>
      </x:c>
      <x:c r="B827" s="14" t="str">
        <x:v>Norte</x:v>
      </x:c>
      <x:c r="C827" s="14" t="str">
        <x:v>NORTE INTERLIGADO</x:v>
      </x:c>
      <x:c r="D827" s="53" t="str">
        <x:v>Cativo</x:v>
      </x:c>
      <x:c r="E827" s="49" t="n">
        <x:v>239878</x:v>
      </x:c>
      <x:c r="F827" s="52" t="n">
        <x:v>1776684</x:v>
      </x:c>
      <x:c r="G827" s="54" t="n">
        <x:v>46220</x:v>
      </x:c>
      <x:c r="H827" s="14" t="str">
        <x:f>IF(E827&lt;0,"Componente negativo — manter e investigar","OK")</x:f>
        <x:v>OK</x:v>
      </x:c>
    </x:row>
    <x:row r="828">
      <x:c r="A828" s="51" t="n">
        <x:v>40695</x:v>
      </x:c>
      <x:c r="B828" s="14" t="str">
        <x:v>Norte</x:v>
      </x:c>
      <x:c r="C828" s="14" t="str">
        <x:v>SISTEMAS ISOLADOS</x:v>
      </x:c>
      <x:c r="D828" s="53" t="str">
        <x:v>Cativo</x:v>
      </x:c>
      <x:c r="E828" s="49" t="n">
        <x:v>192691</x:v>
      </x:c>
      <x:c r="F828" s="52" t="n">
        <x:v>1039860</x:v>
      </x:c>
      <x:c r="G828" s="54" t="n">
        <x:v>46220</x:v>
      </x:c>
      <x:c r="H828" s="14" t="str">
        <x:f>IF(E828&lt;0,"Componente negativo — manter e investigar","OK")</x:f>
        <x:v>OK</x:v>
      </x:c>
    </x:row>
    <x:row r="829">
      <x:c r="A829" s="51" t="n">
        <x:v>40695</x:v>
      </x:c>
      <x:c r="B829" s="14" t="str">
        <x:v>Norte</x:v>
      </x:c>
      <x:c r="C829" s="14" t="str">
        <x:v>SUDESTE / CENTRO - OESTE</x:v>
      </x:c>
      <x:c r="D829" s="53" t="str">
        <x:v>Cativo</x:v>
      </x:c>
      <x:c r="E829" s="49" t="n">
        <x:v>88230</x:v>
      </x:c>
      <x:c r="F829" s="52" t="n">
        <x:v>445615</x:v>
      </x:c>
      <x:c r="G829" s="54" t="n">
        <x:v>46220</x:v>
      </x:c>
      <x:c r="H829" s="14" t="str">
        <x:f>IF(E829&lt;0,"Componente negativo — manter e investigar","OK")</x:f>
        <x:v>OK</x:v>
      </x:c>
    </x:row>
    <x:row r="830">
      <x:c r="A830" s="51" t="n">
        <x:v>40695</x:v>
      </x:c>
      <x:c r="B830" s="14" t="str">
        <x:v>Sudeste</x:v>
      </x:c>
      <x:c r="C830" s="14" t="str">
        <x:v>SUDESTE / CENTRO - OESTE</x:v>
      </x:c>
      <x:c r="D830" s="53" t="str">
        <x:v>Cativo</x:v>
      </x:c>
      <x:c r="E830" s="49" t="n">
        <x:v>4678006</x:v>
      </x:c>
      <x:c r="F830" s="52" t="n">
        <x:v>27620692</x:v>
      </x:c>
      <x:c r="G830" s="54" t="n">
        <x:v>46220</x:v>
      </x:c>
      <x:c r="H830" s="14" t="str">
        <x:f>IF(E830&lt;0,"Componente negativo — manter e investigar","OK")</x:f>
        <x:v>OK</x:v>
      </x:c>
    </x:row>
    <x:row r="831">
      <x:c r="A831" s="51" t="n">
        <x:v>40695</x:v>
      </x:c>
      <x:c r="B831" s="14" t="str">
        <x:v>Sul</x:v>
      </x:c>
      <x:c r="C831" s="14" t="str">
        <x:v>SUL</x:v>
      </x:c>
      <x:c r="D831" s="53" t="str">
        <x:v>Cativo</x:v>
      </x:c>
      <x:c r="E831" s="49" t="n">
        <x:v>1403302</x:v>
      </x:c>
      <x:c r="F831" s="52" t="n">
        <x:v>8295878</x:v>
      </x:c>
      <x:c r="G831" s="54" t="n">
        <x:v>46220</x:v>
      </x:c>
      <x:c r="H831" s="14" t="str">
        <x:f>IF(E831&lt;0,"Componente negativo — manter e investigar","OK")</x:f>
        <x:v>OK</x:v>
      </x:c>
    </x:row>
    <x:row r="832">
      <x:c r="A832" s="51" t="n">
        <x:v>40725</x:v>
      </x:c>
      <x:c r="B832" s="14" t="str">
        <x:v>Centro-Oeste</x:v>
      </x:c>
      <x:c r="C832" s="14" t="str">
        <x:v>SISTEMAS ISOLADOS</x:v>
      </x:c>
      <x:c r="D832" s="53" t="str">
        <x:v>Cativo</x:v>
      </x:c>
      <x:c r="E832" s="49" t="n">
        <x:v>1886</x:v>
      </x:c>
      <x:c r="F832" s="52" t="n">
        <x:v>12747</x:v>
      </x:c>
      <x:c r="G832" s="54" t="n">
        <x:v>46220</x:v>
      </x:c>
      <x:c r="H832" s="14" t="str">
        <x:f>IF(E832&lt;0,"Componente negativo — manter e investigar","OK")</x:f>
        <x:v>OK</x:v>
      </x:c>
    </x:row>
    <x:row r="833">
      <x:c r="A833" s="51" t="n">
        <x:v>40725</x:v>
      </x:c>
      <x:c r="B833" s="14" t="str">
        <x:v>Centro-Oeste</x:v>
      </x:c>
      <x:c r="C833" s="14" t="str">
        <x:v>SUDESTE / CENTRO - OESTE</x:v>
      </x:c>
      <x:c r="D833" s="53" t="str">
        <x:v>Cativo</x:v>
      </x:c>
      <x:c r="E833" s="49" t="n">
        <x:v>671993</x:v>
      </x:c>
      <x:c r="F833" s="52" t="n">
        <x:v>4247185</x:v>
      </x:c>
      <x:c r="G833" s="54" t="n">
        <x:v>46220</x:v>
      </x:c>
      <x:c r="H833" s="14" t="str">
        <x:f>IF(E833&lt;0,"Componente negativo — manter e investigar","OK")</x:f>
        <x:v>OK</x:v>
      </x:c>
    </x:row>
    <x:row r="834">
      <x:c r="A834" s="51" t="n">
        <x:v>40725</x:v>
      </x:c>
      <x:c r="B834" s="14" t="str">
        <x:v>Nordeste</x:v>
      </x:c>
      <x:c r="C834" s="14" t="str">
        <x:v>NORDESTE</x:v>
      </x:c>
      <x:c r="D834" s="53" t="str">
        <x:v>Cativo</x:v>
      </x:c>
      <x:c r="E834" s="49" t="n">
        <x:v>1469108</x:v>
      </x:c>
      <x:c r="F834" s="52" t="n">
        <x:v>13948100</x:v>
      </x:c>
      <x:c r="G834" s="54" t="n">
        <x:v>46220</x:v>
      </x:c>
      <x:c r="H834" s="14" t="str">
        <x:f>IF(E834&lt;0,"Componente negativo — manter e investigar","OK")</x:f>
        <x:v>OK</x:v>
      </x:c>
    </x:row>
    <x:row r="835">
      <x:c r="A835" s="51" t="n">
        <x:v>40725</x:v>
      </x:c>
      <x:c r="B835" s="14" t="str">
        <x:v>Nordeste</x:v>
      </x:c>
      <x:c r="C835" s="14" t="str">
        <x:v>NORTE INTERLIGADO</x:v>
      </x:c>
      <x:c r="D835" s="53" t="str">
        <x:v>Cativo</x:v>
      </x:c>
      <x:c r="E835" s="49" t="n">
        <x:v>169725</x:v>
      </x:c>
      <x:c r="F835" s="52" t="n">
        <x:v>1667162</x:v>
      </x:c>
      <x:c r="G835" s="54" t="n">
        <x:v>46220</x:v>
      </x:c>
      <x:c r="H835" s="14" t="str">
        <x:f>IF(E835&lt;0,"Componente negativo — manter e investigar","OK")</x:f>
        <x:v>OK</x:v>
      </x:c>
    </x:row>
    <x:row r="836">
      <x:c r="A836" s="51" t="n">
        <x:v>40725</x:v>
      </x:c>
      <x:c r="B836" s="14" t="str">
        <x:v>Nordeste</x:v>
      </x:c>
      <x:c r="C836" s="14" t="str">
        <x:v>SISTEMAS ISOLADOS</x:v>
      </x:c>
      <x:c r="D836" s="53" t="str">
        <x:v>Cativo</x:v>
      </x:c>
      <x:c r="E836" s="49" t="n">
        <x:v>316</x:v>
      </x:c>
      <x:c r="F836" s="52" t="n">
        <x:v>499</x:v>
      </x:c>
      <x:c r="G836" s="54" t="n">
        <x:v>46220</x:v>
      </x:c>
      <x:c r="H836" s="14" t="str">
        <x:f>IF(E836&lt;0,"Componente negativo — manter e investigar","OK")</x:f>
        <x:v>OK</x:v>
      </x:c>
    </x:row>
    <x:row r="837">
      <x:c r="A837" s="51" t="n">
        <x:v>40725</x:v>
      </x:c>
      <x:c r="B837" s="14" t="str">
        <x:v>Norte</x:v>
      </x:c>
      <x:c r="C837" s="14" t="str">
        <x:v>NORTE INTERLIGADO</x:v>
      </x:c>
      <x:c r="D837" s="53" t="str">
        <x:v>Cativo</x:v>
      </x:c>
      <x:c r="E837" s="49" t="n">
        <x:v>231491</x:v>
      </x:c>
      <x:c r="F837" s="52" t="n">
        <x:v>1784162</x:v>
      </x:c>
      <x:c r="G837" s="54" t="n">
        <x:v>46220</x:v>
      </x:c>
      <x:c r="H837" s="14" t="str">
        <x:f>IF(E837&lt;0,"Componente negativo — manter e investigar","OK")</x:f>
        <x:v>OK</x:v>
      </x:c>
    </x:row>
    <x:row r="838">
      <x:c r="A838" s="51" t="n">
        <x:v>40725</x:v>
      </x:c>
      <x:c r="B838" s="14" t="str">
        <x:v>Norte</x:v>
      </x:c>
      <x:c r="C838" s="14" t="str">
        <x:v>SISTEMAS ISOLADOS</x:v>
      </x:c>
      <x:c r="D838" s="53" t="str">
        <x:v>Cativo</x:v>
      </x:c>
      <x:c r="E838" s="49" t="n">
        <x:v>194992</x:v>
      </x:c>
      <x:c r="F838" s="52" t="n">
        <x:v>1044889</x:v>
      </x:c>
      <x:c r="G838" s="54" t="n">
        <x:v>46220</x:v>
      </x:c>
      <x:c r="H838" s="14" t="str">
        <x:f>IF(E838&lt;0,"Componente negativo — manter e investigar","OK")</x:f>
        <x:v>OK</x:v>
      </x:c>
    </x:row>
    <x:row r="839">
      <x:c r="A839" s="51" t="n">
        <x:v>40725</x:v>
      </x:c>
      <x:c r="B839" s="14" t="str">
        <x:v>Norte</x:v>
      </x:c>
      <x:c r="C839" s="14" t="str">
        <x:v>SUDESTE / CENTRO - OESTE</x:v>
      </x:c>
      <x:c r="D839" s="53" t="str">
        <x:v>Cativo</x:v>
      </x:c>
      <x:c r="E839" s="49" t="n">
        <x:v>87387</x:v>
      </x:c>
      <x:c r="F839" s="52" t="n">
        <x:v>448435</x:v>
      </x:c>
      <x:c r="G839" s="54" t="n">
        <x:v>46220</x:v>
      </x:c>
      <x:c r="H839" s="14" t="str">
        <x:f>IF(E839&lt;0,"Componente negativo — manter e investigar","OK")</x:f>
        <x:v>OK</x:v>
      </x:c>
    </x:row>
    <x:row r="840">
      <x:c r="A840" s="51" t="n">
        <x:v>40725</x:v>
      </x:c>
      <x:c r="B840" s="14" t="str">
        <x:v>Sudeste</x:v>
      </x:c>
      <x:c r="C840" s="14" t="str">
        <x:v>SUDESTE / CENTRO - OESTE</x:v>
      </x:c>
      <x:c r="D840" s="53" t="str">
        <x:v>Cativo</x:v>
      </x:c>
      <x:c r="E840" s="49" t="n">
        <x:v>4784552</x:v>
      </x:c>
      <x:c r="F840" s="52" t="n">
        <x:v>27725178</x:v>
      </x:c>
      <x:c r="G840" s="54" t="n">
        <x:v>46220</x:v>
      </x:c>
      <x:c r="H840" s="14" t="str">
        <x:f>IF(E840&lt;0,"Componente negativo — manter e investigar","OK")</x:f>
        <x:v>OK</x:v>
      </x:c>
    </x:row>
    <x:row r="841">
      <x:c r="A841" s="51" t="n">
        <x:v>40725</x:v>
      </x:c>
      <x:c r="B841" s="14" t="str">
        <x:v>Sul</x:v>
      </x:c>
      <x:c r="C841" s="14" t="str">
        <x:v>SUL</x:v>
      </x:c>
      <x:c r="D841" s="53" t="str">
        <x:v>Cativo</x:v>
      </x:c>
      <x:c r="E841" s="49" t="n">
        <x:v>1516995</x:v>
      </x:c>
      <x:c r="F841" s="52" t="n">
        <x:v>8369087</x:v>
      </x:c>
      <x:c r="G841" s="54" t="n">
        <x:v>46220</x:v>
      </x:c>
      <x:c r="H841" s="14" t="str">
        <x:f>IF(E841&lt;0,"Componente negativo — manter e investigar","OK")</x:f>
        <x:v>OK</x:v>
      </x:c>
    </x:row>
    <x:row r="842">
      <x:c r="A842" s="51" t="n">
        <x:v>40756</x:v>
      </x:c>
      <x:c r="B842" s="14" t="str">
        <x:v>Centro-Oeste</x:v>
      </x:c>
      <x:c r="C842" s="14" t="str">
        <x:v>SISTEMAS ISOLADOS</x:v>
      </x:c>
      <x:c r="D842" s="53" t="str">
        <x:v>Cativo</x:v>
      </x:c>
      <x:c r="E842" s="49" t="n">
        <x:v>1904</x:v>
      </x:c>
      <x:c r="F842" s="52" t="n">
        <x:v>12799</x:v>
      </x:c>
      <x:c r="G842" s="54" t="n">
        <x:v>46220</x:v>
      </x:c>
      <x:c r="H842" s="14" t="str">
        <x:f>IF(E842&lt;0,"Componente negativo — manter e investigar","OK")</x:f>
        <x:v>OK</x:v>
      </x:c>
    </x:row>
    <x:row r="843">
      <x:c r="A843" s="51" t="n">
        <x:v>40756</x:v>
      </x:c>
      <x:c r="B843" s="14" t="str">
        <x:v>Centro-Oeste</x:v>
      </x:c>
      <x:c r="C843" s="14" t="str">
        <x:v>SUDESTE / CENTRO - OESTE</x:v>
      </x:c>
      <x:c r="D843" s="53" t="str">
        <x:v>Cativo</x:v>
      </x:c>
      <x:c r="E843" s="49" t="n">
        <x:v>687558</x:v>
      </x:c>
      <x:c r="F843" s="52" t="n">
        <x:v>4263046</x:v>
      </x:c>
      <x:c r="G843" s="54" t="n">
        <x:v>46220</x:v>
      </x:c>
      <x:c r="H843" s="14" t="str">
        <x:f>IF(E843&lt;0,"Componente negativo — manter e investigar","OK")</x:f>
        <x:v>OK</x:v>
      </x:c>
    </x:row>
    <x:row r="844">
      <x:c r="A844" s="51" t="n">
        <x:v>40756</x:v>
      </x:c>
      <x:c r="B844" s="14" t="str">
        <x:v>Nordeste</x:v>
      </x:c>
      <x:c r="C844" s="14" t="str">
        <x:v>NORDESTE</x:v>
      </x:c>
      <x:c r="D844" s="53" t="str">
        <x:v>Cativo</x:v>
      </x:c>
      <x:c r="E844" s="49" t="n">
        <x:v>1460680</x:v>
      </x:c>
      <x:c r="F844" s="52" t="n">
        <x:v>13992499</x:v>
      </x:c>
      <x:c r="G844" s="54" t="n">
        <x:v>46220</x:v>
      </x:c>
      <x:c r="H844" s="14" t="str">
        <x:f>IF(E844&lt;0,"Componente negativo — manter e investigar","OK")</x:f>
        <x:v>OK</x:v>
      </x:c>
    </x:row>
    <x:row r="845">
      <x:c r="A845" s="51" t="n">
        <x:v>40756</x:v>
      </x:c>
      <x:c r="B845" s="14" t="str">
        <x:v>Nordeste</x:v>
      </x:c>
      <x:c r="C845" s="14" t="str">
        <x:v>NORTE INTERLIGADO</x:v>
      </x:c>
      <x:c r="D845" s="53" t="str">
        <x:v>Cativo</x:v>
      </x:c>
      <x:c r="E845" s="49" t="n">
        <x:v>175095</x:v>
      </x:c>
      <x:c r="F845" s="52" t="n">
        <x:v>1677323</x:v>
      </x:c>
      <x:c r="G845" s="54" t="n">
        <x:v>46220</x:v>
      </x:c>
      <x:c r="H845" s="14" t="str">
        <x:f>IF(E845&lt;0,"Componente negativo — manter e investigar","OK")</x:f>
        <x:v>OK</x:v>
      </x:c>
    </x:row>
    <x:row r="846">
      <x:c r="A846" s="51" t="n">
        <x:v>40756</x:v>
      </x:c>
      <x:c r="B846" s="14" t="str">
        <x:v>Nordeste</x:v>
      </x:c>
      <x:c r="C846" s="14" t="str">
        <x:v>SISTEMAS ISOLADOS</x:v>
      </x:c>
      <x:c r="D846" s="53" t="str">
        <x:v>Cativo</x:v>
      </x:c>
      <x:c r="E846" s="49" t="n">
        <x:v>271</x:v>
      </x:c>
      <x:c r="F846" s="52" t="n">
        <x:v>503</x:v>
      </x:c>
      <x:c r="G846" s="54" t="n">
        <x:v>46220</x:v>
      </x:c>
      <x:c r="H846" s="14" t="str">
        <x:f>IF(E846&lt;0,"Componente negativo — manter e investigar","OK")</x:f>
        <x:v>OK</x:v>
      </x:c>
    </x:row>
    <x:row r="847">
      <x:c r="A847" s="51" t="n">
        <x:v>40756</x:v>
      </x:c>
      <x:c r="B847" s="14" t="str">
        <x:v>Norte</x:v>
      </x:c>
      <x:c r="C847" s="14" t="str">
        <x:v>NORTE INTERLIGADO</x:v>
      </x:c>
      <x:c r="D847" s="53" t="str">
        <x:v>Cativo</x:v>
      </x:c>
      <x:c r="E847" s="49" t="n">
        <x:v>237969</x:v>
      </x:c>
      <x:c r="F847" s="52" t="n">
        <x:v>1779175</x:v>
      </x:c>
      <x:c r="G847" s="54" t="n">
        <x:v>46220</x:v>
      </x:c>
      <x:c r="H847" s="14" t="str">
        <x:f>IF(E847&lt;0,"Componente negativo — manter e investigar","OK")</x:f>
        <x:v>OK</x:v>
      </x:c>
    </x:row>
    <x:row r="848">
      <x:c r="A848" s="51" t="n">
        <x:v>40756</x:v>
      </x:c>
      <x:c r="B848" s="14" t="str">
        <x:v>Norte</x:v>
      </x:c>
      <x:c r="C848" s="14" t="str">
        <x:v>SISTEMAS ISOLADOS</x:v>
      </x:c>
      <x:c r="D848" s="53" t="str">
        <x:v>Cativo</x:v>
      </x:c>
      <x:c r="E848" s="49" t="n">
        <x:v>206694</x:v>
      </x:c>
      <x:c r="F848" s="52" t="n">
        <x:v>1051061</x:v>
      </x:c>
      <x:c r="G848" s="54" t="n">
        <x:v>46220</x:v>
      </x:c>
      <x:c r="H848" s="14" t="str">
        <x:f>IF(E848&lt;0,"Componente negativo — manter e investigar","OK")</x:f>
        <x:v>OK</x:v>
      </x:c>
    </x:row>
    <x:row r="849">
      <x:c r="A849" s="51" t="n">
        <x:v>40756</x:v>
      </x:c>
      <x:c r="B849" s="14" t="str">
        <x:v>Norte</x:v>
      </x:c>
      <x:c r="C849" s="14" t="str">
        <x:v>SUDESTE / CENTRO - OESTE</x:v>
      </x:c>
      <x:c r="D849" s="53" t="str">
        <x:v>Cativo</x:v>
      </x:c>
      <x:c r="E849" s="49" t="n">
        <x:v>96793</x:v>
      </x:c>
      <x:c r="F849" s="52" t="n">
        <x:v>450606</x:v>
      </x:c>
      <x:c r="G849" s="54" t="n">
        <x:v>46220</x:v>
      </x:c>
      <x:c r="H849" s="14" t="str">
        <x:f>IF(E849&lt;0,"Componente negativo — manter e investigar","OK")</x:f>
        <x:v>OK</x:v>
      </x:c>
    </x:row>
    <x:row r="850">
      <x:c r="A850" s="51" t="n">
        <x:v>40756</x:v>
      </x:c>
      <x:c r="B850" s="14" t="str">
        <x:v>Sudeste</x:v>
      </x:c>
      <x:c r="C850" s="14" t="str">
        <x:v>SUDESTE / CENTRO - OESTE</x:v>
      </x:c>
      <x:c r="D850" s="53" t="str">
        <x:v>Cativo</x:v>
      </x:c>
      <x:c r="E850" s="49" t="n">
        <x:v>4840012</x:v>
      </x:c>
      <x:c r="F850" s="52" t="n">
        <x:v>27812477</x:v>
      </x:c>
      <x:c r="G850" s="54" t="n">
        <x:v>46220</x:v>
      </x:c>
      <x:c r="H850" s="14" t="str">
        <x:f>IF(E850&lt;0,"Componente negativo — manter e investigar","OK")</x:f>
        <x:v>OK</x:v>
      </x:c>
    </x:row>
    <x:row r="851">
      <x:c r="A851" s="51" t="n">
        <x:v>40756</x:v>
      </x:c>
      <x:c r="B851" s="14" t="str">
        <x:v>Sul</x:v>
      </x:c>
      <x:c r="C851" s="14" t="str">
        <x:v>SUL</x:v>
      </x:c>
      <x:c r="D851" s="53" t="str">
        <x:v>Cativo</x:v>
      </x:c>
      <x:c r="E851" s="49" t="n">
        <x:v>1494340</x:v>
      </x:c>
      <x:c r="F851" s="52" t="n">
        <x:v>8377592</x:v>
      </x:c>
      <x:c r="G851" s="54" t="n">
        <x:v>46220</x:v>
      </x:c>
      <x:c r="H851" s="14" t="str">
        <x:f>IF(E851&lt;0,"Componente negativo — manter e investigar","OK")</x:f>
        <x:v>OK</x:v>
      </x:c>
    </x:row>
    <x:row r="852">
      <x:c r="A852" s="51" t="n">
        <x:v>40787</x:v>
      </x:c>
      <x:c r="B852" s="14" t="str">
        <x:v>Centro-Oeste</x:v>
      </x:c>
      <x:c r="C852" s="14" t="str">
        <x:v>SISTEMAS ISOLADOS</x:v>
      </x:c>
      <x:c r="D852" s="53" t="str">
        <x:v>Cativo</x:v>
      </x:c>
      <x:c r="E852" s="49" t="n">
        <x:v>1965</x:v>
      </x:c>
      <x:c r="F852" s="52" t="n">
        <x:v>12845</x:v>
      </x:c>
      <x:c r="G852" s="54" t="n">
        <x:v>46220</x:v>
      </x:c>
      <x:c r="H852" s="14" t="str">
        <x:f>IF(E852&lt;0,"Componente negativo — manter e investigar","OK")</x:f>
        <x:v>OK</x:v>
      </x:c>
    </x:row>
    <x:row r="853">
      <x:c r="A853" s="51" t="n">
        <x:v>40787</x:v>
      </x:c>
      <x:c r="B853" s="14" t="str">
        <x:v>Centro-Oeste</x:v>
      </x:c>
      <x:c r="C853" s="14" t="str">
        <x:v>SUDESTE / CENTRO - OESTE</x:v>
      </x:c>
      <x:c r="D853" s="53" t="str">
        <x:v>Cativo</x:v>
      </x:c>
      <x:c r="E853" s="49" t="n">
        <x:v>755537</x:v>
      </x:c>
      <x:c r="F853" s="52" t="n">
        <x:v>4275262</x:v>
      </x:c>
      <x:c r="G853" s="54" t="n">
        <x:v>46220</x:v>
      </x:c>
      <x:c r="H853" s="14" t="str">
        <x:f>IF(E853&lt;0,"Componente negativo — manter e investigar","OK")</x:f>
        <x:v>OK</x:v>
      </x:c>
    </x:row>
    <x:row r="854">
      <x:c r="A854" s="51" t="n">
        <x:v>40787</x:v>
      </x:c>
      <x:c r="B854" s="14" t="str">
        <x:v>Nordeste</x:v>
      </x:c>
      <x:c r="C854" s="14" t="str">
        <x:v>NORDESTE</x:v>
      </x:c>
      <x:c r="D854" s="53" t="str">
        <x:v>Cativo</x:v>
      </x:c>
      <x:c r="E854" s="49" t="n">
        <x:v>1486495</x:v>
      </x:c>
      <x:c r="F854" s="52" t="n">
        <x:v>14019992</x:v>
      </x:c>
      <x:c r="G854" s="54" t="n">
        <x:v>46220</x:v>
      </x:c>
      <x:c r="H854" s="14" t="str">
        <x:f>IF(E854&lt;0,"Componente negativo — manter e investigar","OK")</x:f>
        <x:v>OK</x:v>
      </x:c>
    </x:row>
    <x:row r="855">
      <x:c r="A855" s="51" t="n">
        <x:v>40787</x:v>
      </x:c>
      <x:c r="B855" s="14" t="str">
        <x:v>Nordeste</x:v>
      </x:c>
      <x:c r="C855" s="14" t="str">
        <x:v>NORTE INTERLIGADO</x:v>
      </x:c>
      <x:c r="D855" s="53" t="str">
        <x:v>Cativo</x:v>
      </x:c>
      <x:c r="E855" s="49" t="n">
        <x:v>181580</x:v>
      </x:c>
      <x:c r="F855" s="52" t="n">
        <x:v>1687524</x:v>
      </x:c>
      <x:c r="G855" s="54" t="n">
        <x:v>46220</x:v>
      </x:c>
      <x:c r="H855" s="14" t="str">
        <x:f>IF(E855&lt;0,"Componente negativo — manter e investigar","OK")</x:f>
        <x:v>OK</x:v>
      </x:c>
    </x:row>
    <x:row r="856">
      <x:c r="A856" s="51" t="n">
        <x:v>40787</x:v>
      </x:c>
      <x:c r="B856" s="14" t="str">
        <x:v>Nordeste</x:v>
      </x:c>
      <x:c r="C856" s="14" t="str">
        <x:v>SISTEMAS ISOLADOS</x:v>
      </x:c>
      <x:c r="D856" s="53" t="str">
        <x:v>Cativo</x:v>
      </x:c>
      <x:c r="E856" s="49" t="n">
        <x:v>264</x:v>
      </x:c>
      <x:c r="F856" s="52" t="n">
        <x:v>503</x:v>
      </x:c>
      <x:c r="G856" s="54" t="n">
        <x:v>46220</x:v>
      </x:c>
      <x:c r="H856" s="14" t="str">
        <x:f>IF(E856&lt;0,"Componente negativo — manter e investigar","OK")</x:f>
        <x:v>OK</x:v>
      </x:c>
    </x:row>
    <x:row r="857">
      <x:c r="A857" s="51" t="n">
        <x:v>40787</x:v>
      </x:c>
      <x:c r="B857" s="14" t="str">
        <x:v>Norte</x:v>
      </x:c>
      <x:c r="C857" s="14" t="str">
        <x:v>NORTE INTERLIGADO</x:v>
      </x:c>
      <x:c r="D857" s="53" t="str">
        <x:v>Cativo</x:v>
      </x:c>
      <x:c r="E857" s="49" t="n">
        <x:v>248259</x:v>
      </x:c>
      <x:c r="F857" s="52" t="n">
        <x:v>1765841</x:v>
      </x:c>
      <x:c r="G857" s="54" t="n">
        <x:v>46220</x:v>
      </x:c>
      <x:c r="H857" s="14" t="str">
        <x:f>IF(E857&lt;0,"Componente negativo — manter e investigar","OK")</x:f>
        <x:v>OK</x:v>
      </x:c>
    </x:row>
    <x:row r="858">
      <x:c r="A858" s="51" t="n">
        <x:v>40787</x:v>
      </x:c>
      <x:c r="B858" s="14" t="str">
        <x:v>Norte</x:v>
      </x:c>
      <x:c r="C858" s="14" t="str">
        <x:v>SISTEMAS ISOLADOS</x:v>
      </x:c>
      <x:c r="D858" s="53" t="str">
        <x:v>Cativo</x:v>
      </x:c>
      <x:c r="E858" s="49" t="n">
        <x:v>224497</x:v>
      </x:c>
      <x:c r="F858" s="52" t="n">
        <x:v>1055332</x:v>
      </x:c>
      <x:c r="G858" s="54" t="n">
        <x:v>46220</x:v>
      </x:c>
      <x:c r="H858" s="14" t="str">
        <x:f>IF(E858&lt;0,"Componente negativo — manter e investigar","OK")</x:f>
        <x:v>OK</x:v>
      </x:c>
    </x:row>
    <x:row r="859">
      <x:c r="A859" s="51" t="n">
        <x:v>40787</x:v>
      </x:c>
      <x:c r="B859" s="14" t="str">
        <x:v>Norte</x:v>
      </x:c>
      <x:c r="C859" s="14" t="str">
        <x:v>SUDESTE / CENTRO - OESTE</x:v>
      </x:c>
      <x:c r="D859" s="53" t="str">
        <x:v>Cativo</x:v>
      </x:c>
      <x:c r="E859" s="49" t="n">
        <x:v>94846</x:v>
      </x:c>
      <x:c r="F859" s="52" t="n">
        <x:v>452072</x:v>
      </x:c>
      <x:c r="G859" s="54" t="n">
        <x:v>46220</x:v>
      </x:c>
      <x:c r="H859" s="14" t="str">
        <x:f>IF(E859&lt;0,"Componente negativo — manter e investigar","OK")</x:f>
        <x:v>OK</x:v>
      </x:c>
    </x:row>
    <x:row r="860">
      <x:c r="A860" s="51" t="n">
        <x:v>40787</x:v>
      </x:c>
      <x:c r="B860" s="14" t="str">
        <x:v>Sudeste</x:v>
      </x:c>
      <x:c r="C860" s="14" t="str">
        <x:v>SUDESTE / CENTRO - OESTE</x:v>
      </x:c>
      <x:c r="D860" s="53" t="str">
        <x:v>Cativo</x:v>
      </x:c>
      <x:c r="E860" s="49" t="n">
        <x:v>5036380</x:v>
      </x:c>
      <x:c r="F860" s="52" t="n">
        <x:v>27862707</x:v>
      </x:c>
      <x:c r="G860" s="54" t="n">
        <x:v>46220</x:v>
      </x:c>
      <x:c r="H860" s="14" t="str">
        <x:f>IF(E860&lt;0,"Componente negativo — manter e investigar","OK")</x:f>
        <x:v>OK</x:v>
      </x:c>
    </x:row>
    <x:row r="861">
      <x:c r="A861" s="51" t="n">
        <x:v>40787</x:v>
      </x:c>
      <x:c r="B861" s="14" t="str">
        <x:v>Sul</x:v>
      </x:c>
      <x:c r="C861" s="14" t="str">
        <x:v>SUL</x:v>
      </x:c>
      <x:c r="D861" s="53" t="str">
        <x:v>Cativo</x:v>
      </x:c>
      <x:c r="E861" s="49" t="n">
        <x:v>1494136</x:v>
      </x:c>
      <x:c r="F861" s="52" t="n">
        <x:v>8396724</x:v>
      </x:c>
      <x:c r="G861" s="54" t="n">
        <x:v>46220</x:v>
      </x:c>
      <x:c r="H861" s="14" t="str">
        <x:f>IF(E861&lt;0,"Componente negativo — manter e investigar","OK")</x:f>
        <x:v>OK</x:v>
      </x:c>
    </x:row>
    <x:row r="862">
      <x:c r="A862" s="51" t="n">
        <x:v>40817</x:v>
      </x:c>
      <x:c r="B862" s="14" t="str">
        <x:v>Centro-Oeste</x:v>
      </x:c>
      <x:c r="C862" s="14" t="str">
        <x:v>SISTEMAS ISOLADOS</x:v>
      </x:c>
      <x:c r="D862" s="53" t="str">
        <x:v>Cativo</x:v>
      </x:c>
      <x:c r="E862" s="49" t="n">
        <x:v>2026</x:v>
      </x:c>
      <x:c r="F862" s="52" t="n">
        <x:v>12927</x:v>
      </x:c>
      <x:c r="G862" s="54" t="n">
        <x:v>46220</x:v>
      </x:c>
      <x:c r="H862" s="14" t="str">
        <x:f>IF(E862&lt;0,"Componente negativo — manter e investigar","OK")</x:f>
        <x:v>OK</x:v>
      </x:c>
    </x:row>
    <x:row r="863">
      <x:c r="A863" s="51" t="n">
        <x:v>40817</x:v>
      </x:c>
      <x:c r="B863" s="14" t="str">
        <x:v>Centro-Oeste</x:v>
      </x:c>
      <x:c r="C863" s="14" t="str">
        <x:v>SUDESTE / CENTRO - OESTE</x:v>
      </x:c>
      <x:c r="D863" s="53" t="str">
        <x:v>Cativo</x:v>
      </x:c>
      <x:c r="E863" s="49" t="n">
        <x:v>764733</x:v>
      </x:c>
      <x:c r="F863" s="52" t="n">
        <x:v>4291094</x:v>
      </x:c>
      <x:c r="G863" s="54" t="n">
        <x:v>46220</x:v>
      </x:c>
      <x:c r="H863" s="14" t="str">
        <x:f>IF(E863&lt;0,"Componente negativo — manter e investigar","OK")</x:f>
        <x:v>OK</x:v>
      </x:c>
    </x:row>
    <x:row r="864">
      <x:c r="A864" s="51" t="n">
        <x:v>40817</x:v>
      </x:c>
      <x:c r="B864" s="14" t="str">
        <x:v>Nordeste</x:v>
      </x:c>
      <x:c r="C864" s="14" t="str">
        <x:v>NORDESTE</x:v>
      </x:c>
      <x:c r="D864" s="53" t="str">
        <x:v>Cativo</x:v>
      </x:c>
      <x:c r="E864" s="49" t="n">
        <x:v>1520742</x:v>
      </x:c>
      <x:c r="F864" s="52" t="n">
        <x:v>14030787</x:v>
      </x:c>
      <x:c r="G864" s="54" t="n">
        <x:v>46220</x:v>
      </x:c>
      <x:c r="H864" s="14" t="str">
        <x:f>IF(E864&lt;0,"Componente negativo — manter e investigar","OK")</x:f>
        <x:v>OK</x:v>
      </x:c>
    </x:row>
    <x:row r="865">
      <x:c r="A865" s="51" t="n">
        <x:v>40817</x:v>
      </x:c>
      <x:c r="B865" s="14" t="str">
        <x:v>Nordeste</x:v>
      </x:c>
      <x:c r="C865" s="14" t="str">
        <x:v>NORTE INTERLIGADO</x:v>
      </x:c>
      <x:c r="D865" s="53" t="str">
        <x:v>Cativo</x:v>
      </x:c>
      <x:c r="E865" s="49" t="n">
        <x:v>183790</x:v>
      </x:c>
      <x:c r="F865" s="52" t="n">
        <x:v>1697013</x:v>
      </x:c>
      <x:c r="G865" s="54" t="n">
        <x:v>46220</x:v>
      </x:c>
      <x:c r="H865" s="14" t="str">
        <x:f>IF(E865&lt;0,"Componente negativo — manter e investigar","OK")</x:f>
        <x:v>OK</x:v>
      </x:c>
    </x:row>
    <x:row r="866">
      <x:c r="A866" s="51" t="n">
        <x:v>40817</x:v>
      </x:c>
      <x:c r="B866" s="14" t="str">
        <x:v>Nordeste</x:v>
      </x:c>
      <x:c r="C866" s="14" t="str">
        <x:v>SISTEMAS ISOLADOS</x:v>
      </x:c>
      <x:c r="D866" s="53" t="str">
        <x:v>Cativo</x:v>
      </x:c>
      <x:c r="E866" s="49" t="n">
        <x:v>232</x:v>
      </x:c>
      <x:c r="F866" s="52" t="n">
        <x:v>499</x:v>
      </x:c>
      <x:c r="G866" s="54" t="n">
        <x:v>46220</x:v>
      </x:c>
      <x:c r="H866" s="14" t="str">
        <x:f>IF(E866&lt;0,"Componente negativo — manter e investigar","OK")</x:f>
        <x:v>OK</x:v>
      </x:c>
    </x:row>
    <x:row r="867">
      <x:c r="A867" s="51" t="n">
        <x:v>40817</x:v>
      </x:c>
      <x:c r="B867" s="14" t="str">
        <x:v>Norte</x:v>
      </x:c>
      <x:c r="C867" s="14" t="str">
        <x:v>NORTE INTERLIGADO</x:v>
      </x:c>
      <x:c r="D867" s="53" t="str">
        <x:v>Cativo</x:v>
      </x:c>
      <x:c r="E867" s="49" t="n">
        <x:v>242439</x:v>
      </x:c>
      <x:c r="F867" s="52" t="n">
        <x:v>1761120</x:v>
      </x:c>
      <x:c r="G867" s="54" t="n">
        <x:v>46220</x:v>
      </x:c>
      <x:c r="H867" s="14" t="str">
        <x:f>IF(E867&lt;0,"Componente negativo — manter e investigar","OK")</x:f>
        <x:v>OK</x:v>
      </x:c>
    </x:row>
    <x:row r="868">
      <x:c r="A868" s="51" t="n">
        <x:v>40817</x:v>
      </x:c>
      <x:c r="B868" s="14" t="str">
        <x:v>Norte</x:v>
      </x:c>
      <x:c r="C868" s="14" t="str">
        <x:v>SISTEMAS ISOLADOS</x:v>
      </x:c>
      <x:c r="D868" s="53" t="str">
        <x:v>Cativo</x:v>
      </x:c>
      <x:c r="E868" s="49" t="n">
        <x:v>222769</x:v>
      </x:c>
      <x:c r="F868" s="52" t="n">
        <x:v>1060445</x:v>
      </x:c>
      <x:c r="G868" s="54" t="n">
        <x:v>46220</x:v>
      </x:c>
      <x:c r="H868" s="14" t="str">
        <x:f>IF(E868&lt;0,"Componente negativo — manter e investigar","OK")</x:f>
        <x:v>OK</x:v>
      </x:c>
    </x:row>
    <x:row r="869">
      <x:c r="A869" s="51" t="n">
        <x:v>40817</x:v>
      </x:c>
      <x:c r="B869" s="14" t="str">
        <x:v>Norte</x:v>
      </x:c>
      <x:c r="C869" s="14" t="str">
        <x:v>SUDESTE / CENTRO - OESTE</x:v>
      </x:c>
      <x:c r="D869" s="53" t="str">
        <x:v>Cativo</x:v>
      </x:c>
      <x:c r="E869" s="49" t="n">
        <x:v>101970</x:v>
      </x:c>
      <x:c r="F869" s="52" t="n">
        <x:v>454077</x:v>
      </x:c>
      <x:c r="G869" s="54" t="n">
        <x:v>46220</x:v>
      </x:c>
      <x:c r="H869" s="14" t="str">
        <x:f>IF(E869&lt;0,"Componente negativo — manter e investigar","OK")</x:f>
        <x:v>OK</x:v>
      </x:c>
    </x:row>
    <x:row r="870">
      <x:c r="A870" s="51" t="n">
        <x:v>40817</x:v>
      </x:c>
      <x:c r="B870" s="14" t="str">
        <x:v>Sudeste</x:v>
      </x:c>
      <x:c r="C870" s="14" t="str">
        <x:v>SUDESTE / CENTRO - OESTE</x:v>
      </x:c>
      <x:c r="D870" s="53" t="str">
        <x:v>Cativo</x:v>
      </x:c>
      <x:c r="E870" s="49" t="n">
        <x:v>4905359</x:v>
      </x:c>
      <x:c r="F870" s="52" t="n">
        <x:v>27873763</x:v>
      </x:c>
      <x:c r="G870" s="54" t="n">
        <x:v>46220</x:v>
      </x:c>
      <x:c r="H870" s="14" t="str">
        <x:f>IF(E870&lt;0,"Componente negativo — manter e investigar","OK")</x:f>
        <x:v>OK</x:v>
      </x:c>
    </x:row>
    <x:row r="871">
      <x:c r="A871" s="51" t="n">
        <x:v>40817</x:v>
      </x:c>
      <x:c r="B871" s="14" t="str">
        <x:v>Sul</x:v>
      </x:c>
      <x:c r="C871" s="14" t="str">
        <x:v>SUL</x:v>
      </x:c>
      <x:c r="D871" s="53" t="str">
        <x:v>Cativo</x:v>
      </x:c>
      <x:c r="E871" s="49" t="n">
        <x:v>1420907</x:v>
      </x:c>
      <x:c r="F871" s="52" t="n">
        <x:v>8415394</x:v>
      </x:c>
      <x:c r="G871" s="54" t="n">
        <x:v>46220</x:v>
      </x:c>
      <x:c r="H871" s="14" t="str">
        <x:f>IF(E871&lt;0,"Componente negativo — manter e investigar","OK")</x:f>
        <x:v>OK</x:v>
      </x:c>
    </x:row>
    <x:row r="872">
      <x:c r="A872" s="51" t="n">
        <x:v>40848</x:v>
      </x:c>
      <x:c r="B872" s="14" t="str">
        <x:v>Centro-Oeste</x:v>
      </x:c>
      <x:c r="C872" s="14" t="str">
        <x:v>SISTEMAS ISOLADOS</x:v>
      </x:c>
      <x:c r="D872" s="53" t="str">
        <x:v>Cativo</x:v>
      </x:c>
      <x:c r="E872" s="49" t="n">
        <x:v>1885</x:v>
      </x:c>
      <x:c r="F872" s="52" t="n">
        <x:v>12965</x:v>
      </x:c>
      <x:c r="G872" s="54" t="n">
        <x:v>46220</x:v>
      </x:c>
      <x:c r="H872" s="14" t="str">
        <x:f>IF(E872&lt;0,"Componente negativo — manter e investigar","OK")</x:f>
        <x:v>OK</x:v>
      </x:c>
    </x:row>
    <x:row r="873">
      <x:c r="A873" s="51" t="n">
        <x:v>40848</x:v>
      </x:c>
      <x:c r="B873" s="14" t="str">
        <x:v>Centro-Oeste</x:v>
      </x:c>
      <x:c r="C873" s="14" t="str">
        <x:v>SUDESTE / CENTRO - OESTE</x:v>
      </x:c>
      <x:c r="D873" s="53" t="str">
        <x:v>Cativo</x:v>
      </x:c>
      <x:c r="E873" s="49" t="n">
        <x:v>739023</x:v>
      </x:c>
      <x:c r="F873" s="52" t="n">
        <x:v>4298265</x:v>
      </x:c>
      <x:c r="G873" s="54" t="n">
        <x:v>46220</x:v>
      </x:c>
      <x:c r="H873" s="14" t="str">
        <x:f>IF(E873&lt;0,"Componente negativo — manter e investigar","OK")</x:f>
        <x:v>OK</x:v>
      </x:c>
    </x:row>
    <x:row r="874">
      <x:c r="A874" s="51" t="n">
        <x:v>40848</x:v>
      </x:c>
      <x:c r="B874" s="14" t="str">
        <x:v>Nordeste</x:v>
      </x:c>
      <x:c r="C874" s="14" t="str">
        <x:v>NORDESTE</x:v>
      </x:c>
      <x:c r="D874" s="53" t="str">
        <x:v>Cativo</x:v>
      </x:c>
      <x:c r="E874" s="49" t="n">
        <x:v>1541318</x:v>
      </x:c>
      <x:c r="F874" s="52" t="n">
        <x:v>14058704</x:v>
      </x:c>
      <x:c r="G874" s="54" t="n">
        <x:v>46220</x:v>
      </x:c>
      <x:c r="H874" s="14" t="str">
        <x:f>IF(E874&lt;0,"Componente negativo — manter e investigar","OK")</x:f>
        <x:v>OK</x:v>
      </x:c>
    </x:row>
    <x:row r="875">
      <x:c r="A875" s="51" t="n">
        <x:v>40848</x:v>
      </x:c>
      <x:c r="B875" s="14" t="str">
        <x:v>Nordeste</x:v>
      </x:c>
      <x:c r="C875" s="14" t="str">
        <x:v>NORTE INTERLIGADO</x:v>
      </x:c>
      <x:c r="D875" s="53" t="str">
        <x:v>Cativo</x:v>
      </x:c>
      <x:c r="E875" s="49" t="n">
        <x:v>181426</x:v>
      </x:c>
      <x:c r="F875" s="52" t="n">
        <x:v>1705339</x:v>
      </x:c>
      <x:c r="G875" s="54" t="n">
        <x:v>46220</x:v>
      </x:c>
      <x:c r="H875" s="14" t="str">
        <x:f>IF(E875&lt;0,"Componente negativo — manter e investigar","OK")</x:f>
        <x:v>OK</x:v>
      </x:c>
    </x:row>
    <x:row r="876">
      <x:c r="A876" s="51" t="n">
        <x:v>40848</x:v>
      </x:c>
      <x:c r="B876" s="14" t="str">
        <x:v>Nordeste</x:v>
      </x:c>
      <x:c r="C876" s="14" t="str">
        <x:v>SISTEMAS ISOLADOS</x:v>
      </x:c>
      <x:c r="D876" s="53" t="str">
        <x:v>Cativo</x:v>
      </x:c>
      <x:c r="E876" s="49" t="n">
        <x:v>274</x:v>
      </x:c>
      <x:c r="F876" s="52" t="n">
        <x:v>499</x:v>
      </x:c>
      <x:c r="G876" s="54" t="n">
        <x:v>46220</x:v>
      </x:c>
      <x:c r="H876" s="14" t="str">
        <x:f>IF(E876&lt;0,"Componente negativo — manter e investigar","OK")</x:f>
        <x:v>OK</x:v>
      </x:c>
    </x:row>
    <x:row r="877">
      <x:c r="A877" s="51" t="n">
        <x:v>40848</x:v>
      </x:c>
      <x:c r="B877" s="14" t="str">
        <x:v>Norte</x:v>
      </x:c>
      <x:c r="C877" s="14" t="str">
        <x:v>NORTE INTERLIGADO</x:v>
      </x:c>
      <x:c r="D877" s="53" t="str">
        <x:v>Cativo</x:v>
      </x:c>
      <x:c r="E877" s="49" t="n">
        <x:v>234321</x:v>
      </x:c>
      <x:c r="F877" s="52" t="n">
        <x:v>1800560</x:v>
      </x:c>
      <x:c r="G877" s="54" t="n">
        <x:v>46220</x:v>
      </x:c>
      <x:c r="H877" s="14" t="str">
        <x:f>IF(E877&lt;0,"Componente negativo — manter e investigar","OK")</x:f>
        <x:v>OK</x:v>
      </x:c>
    </x:row>
    <x:row r="878">
      <x:c r="A878" s="51" t="n">
        <x:v>40848</x:v>
      </x:c>
      <x:c r="B878" s="14" t="str">
        <x:v>Norte</x:v>
      </x:c>
      <x:c r="C878" s="14" t="str">
        <x:v>SISTEMAS ISOLADOS</x:v>
      </x:c>
      <x:c r="D878" s="53" t="str">
        <x:v>Cativo</x:v>
      </x:c>
      <x:c r="E878" s="49" t="n">
        <x:v>210702</x:v>
      </x:c>
      <x:c r="F878" s="52" t="n">
        <x:v>1057378</x:v>
      </x:c>
      <x:c r="G878" s="54" t="n">
        <x:v>46220</x:v>
      </x:c>
      <x:c r="H878" s="14" t="str">
        <x:f>IF(E878&lt;0,"Componente negativo — manter e investigar","OK")</x:f>
        <x:v>OK</x:v>
      </x:c>
    </x:row>
    <x:row r="879">
      <x:c r="A879" s="51" t="n">
        <x:v>40848</x:v>
      </x:c>
      <x:c r="B879" s="14" t="str">
        <x:v>Norte</x:v>
      </x:c>
      <x:c r="C879" s="14" t="str">
        <x:v>SUDESTE / CENTRO - OESTE</x:v>
      </x:c>
      <x:c r="D879" s="53" t="str">
        <x:v>Cativo</x:v>
      </x:c>
      <x:c r="E879" s="49" t="n">
        <x:v>103965</x:v>
      </x:c>
      <x:c r="F879" s="52" t="n">
        <x:v>455846</x:v>
      </x:c>
      <x:c r="G879" s="54" t="n">
        <x:v>46220</x:v>
      </x:c>
      <x:c r="H879" s="14" t="str">
        <x:f>IF(E879&lt;0,"Componente negativo — manter e investigar","OK")</x:f>
        <x:v>OK</x:v>
      </x:c>
    </x:row>
    <x:row r="880">
      <x:c r="A880" s="51" t="n">
        <x:v>40848</x:v>
      </x:c>
      <x:c r="B880" s="14" t="str">
        <x:v>Sudeste</x:v>
      </x:c>
      <x:c r="C880" s="14" t="str">
        <x:v>SUDESTE / CENTRO - OESTE</x:v>
      </x:c>
      <x:c r="D880" s="53" t="str">
        <x:v>Cativo</x:v>
      </x:c>
      <x:c r="E880" s="49" t="n">
        <x:v>4885526</x:v>
      </x:c>
      <x:c r="F880" s="52" t="n">
        <x:v>27918878</x:v>
      </x:c>
      <x:c r="G880" s="54" t="n">
        <x:v>46220</x:v>
      </x:c>
      <x:c r="H880" s="14" t="str">
        <x:f>IF(E880&lt;0,"Componente negativo — manter e investigar","OK")</x:f>
        <x:v>OK</x:v>
      </x:c>
    </x:row>
    <x:row r="881">
      <x:c r="A881" s="51" t="n">
        <x:v>40848</x:v>
      </x:c>
      <x:c r="B881" s="14" t="str">
        <x:v>Sul</x:v>
      </x:c>
      <x:c r="C881" s="14" t="str">
        <x:v>SUL</x:v>
      </x:c>
      <x:c r="D881" s="53" t="str">
        <x:v>Cativo</x:v>
      </x:c>
      <x:c r="E881" s="49" t="n">
        <x:v>1404883</x:v>
      </x:c>
      <x:c r="F881" s="52" t="n">
        <x:v>8435231</x:v>
      </x:c>
      <x:c r="G881" s="54" t="n">
        <x:v>46220</x:v>
      </x:c>
      <x:c r="H881" s="14" t="str">
        <x:f>IF(E881&lt;0,"Componente negativo — manter e investigar","OK")</x:f>
        <x:v>OK</x:v>
      </x:c>
    </x:row>
    <x:row r="882">
      <x:c r="A882" s="51" t="n">
        <x:v>40878</x:v>
      </x:c>
      <x:c r="B882" s="14" t="str">
        <x:v>Centro-Oeste</x:v>
      </x:c>
      <x:c r="C882" s="14" t="str">
        <x:v>SISTEMAS ISOLADOS</x:v>
      </x:c>
      <x:c r="D882" s="53" t="str">
        <x:v>Cativo</x:v>
      </x:c>
      <x:c r="E882" s="49" t="n">
        <x:v>1918</x:v>
      </x:c>
      <x:c r="F882" s="52" t="n">
        <x:v>13035</x:v>
      </x:c>
      <x:c r="G882" s="54" t="n">
        <x:v>46220</x:v>
      </x:c>
      <x:c r="H882" s="14" t="str">
        <x:f>IF(E882&lt;0,"Componente negativo — manter e investigar","OK")</x:f>
        <x:v>OK</x:v>
      </x:c>
    </x:row>
    <x:row r="883">
      <x:c r="A883" s="51" t="n">
        <x:v>40878</x:v>
      </x:c>
      <x:c r="B883" s="14" t="str">
        <x:v>Centro-Oeste</x:v>
      </x:c>
      <x:c r="C883" s="14" t="str">
        <x:v>SUDESTE / CENTRO - OESTE</x:v>
      </x:c>
      <x:c r="D883" s="53" t="str">
        <x:v>Cativo</x:v>
      </x:c>
      <x:c r="E883" s="49" t="n">
        <x:v>742739</x:v>
      </x:c>
      <x:c r="F883" s="52" t="n">
        <x:v>4321788</x:v>
      </x:c>
      <x:c r="G883" s="54" t="n">
        <x:v>46220</x:v>
      </x:c>
      <x:c r="H883" s="14" t="str">
        <x:f>IF(E883&lt;0,"Componente negativo — manter e investigar","OK")</x:f>
        <x:v>OK</x:v>
      </x:c>
    </x:row>
    <x:row r="884">
      <x:c r="A884" s="51" t="n">
        <x:v>40878</x:v>
      </x:c>
      <x:c r="B884" s="14" t="str">
        <x:v>Nordeste</x:v>
      </x:c>
      <x:c r="C884" s="14" t="str">
        <x:v>NORDESTE</x:v>
      </x:c>
      <x:c r="D884" s="53" t="str">
        <x:v>Cativo</x:v>
      </x:c>
      <x:c r="E884" s="49" t="n">
        <x:v>1593129</x:v>
      </x:c>
      <x:c r="F884" s="52" t="n">
        <x:v>14072039</x:v>
      </x:c>
      <x:c r="G884" s="54" t="n">
        <x:v>46220</x:v>
      </x:c>
      <x:c r="H884" s="14" t="str">
        <x:f>IF(E884&lt;0,"Componente negativo — manter e investigar","OK")</x:f>
        <x:v>OK</x:v>
      </x:c>
    </x:row>
    <x:row r="885">
      <x:c r="A885" s="51" t="n">
        <x:v>40878</x:v>
      </x:c>
      <x:c r="B885" s="14" t="str">
        <x:v>Nordeste</x:v>
      </x:c>
      <x:c r="C885" s="14" t="str">
        <x:v>NORTE INTERLIGADO</x:v>
      </x:c>
      <x:c r="D885" s="53" t="str">
        <x:v>Cativo</x:v>
      </x:c>
      <x:c r="E885" s="49" t="n">
        <x:v>184738</x:v>
      </x:c>
      <x:c r="F885" s="52" t="n">
        <x:v>1712162</x:v>
      </x:c>
      <x:c r="G885" s="54" t="n">
        <x:v>46220</x:v>
      </x:c>
      <x:c r="H885" s="14" t="str">
        <x:f>IF(E885&lt;0,"Componente negativo — manter e investigar","OK")</x:f>
        <x:v>OK</x:v>
      </x:c>
    </x:row>
    <x:row r="886">
      <x:c r="A886" s="51" t="n">
        <x:v>40878</x:v>
      </x:c>
      <x:c r="B886" s="14" t="str">
        <x:v>Nordeste</x:v>
      </x:c>
      <x:c r="C886" s="14" t="str">
        <x:v>SISTEMAS ISOLADOS</x:v>
      </x:c>
      <x:c r="D886" s="53" t="str">
        <x:v>Cativo</x:v>
      </x:c>
      <x:c r="E886" s="49" t="n">
        <x:v>272</x:v>
      </x:c>
      <x:c r="F886" s="52" t="n">
        <x:v>501</x:v>
      </x:c>
      <x:c r="G886" s="54" t="n">
        <x:v>46220</x:v>
      </x:c>
      <x:c r="H886" s="14" t="str">
        <x:f>IF(E886&lt;0,"Componente negativo — manter e investigar","OK")</x:f>
        <x:v>OK</x:v>
      </x:c>
    </x:row>
    <x:row r="887">
      <x:c r="A887" s="51" t="n">
        <x:v>40878</x:v>
      </x:c>
      <x:c r="B887" s="14" t="str">
        <x:v>Norte</x:v>
      </x:c>
      <x:c r="C887" s="14" t="str">
        <x:v>NORTE INTERLIGADO</x:v>
      </x:c>
      <x:c r="D887" s="53" t="str">
        <x:v>Cativo</x:v>
      </x:c>
      <x:c r="E887" s="49" t="n">
        <x:v>245035</x:v>
      </x:c>
      <x:c r="F887" s="52" t="n">
        <x:v>1809930</x:v>
      </x:c>
      <x:c r="G887" s="54" t="n">
        <x:v>46220</x:v>
      </x:c>
      <x:c r="H887" s="14" t="str">
        <x:f>IF(E887&lt;0,"Componente negativo — manter e investigar","OK")</x:f>
        <x:v>OK</x:v>
      </x:c>
    </x:row>
    <x:row r="888">
      <x:c r="A888" s="51" t="n">
        <x:v>40878</x:v>
      </x:c>
      <x:c r="B888" s="14" t="str">
        <x:v>Norte</x:v>
      </x:c>
      <x:c r="C888" s="14" t="str">
        <x:v>SISTEMAS ISOLADOS</x:v>
      </x:c>
      <x:c r="D888" s="53" t="str">
        <x:v>Cativo</x:v>
      </x:c>
      <x:c r="E888" s="49" t="n">
        <x:v>207927</x:v>
      </x:c>
      <x:c r="F888" s="52" t="n">
        <x:v>1058728</x:v>
      </x:c>
      <x:c r="G888" s="54" t="n">
        <x:v>46220</x:v>
      </x:c>
      <x:c r="H888" s="14" t="str">
        <x:f>IF(E888&lt;0,"Componente negativo — manter e investigar","OK")</x:f>
        <x:v>OK</x:v>
      </x:c>
    </x:row>
    <x:row r="889">
      <x:c r="A889" s="51" t="n">
        <x:v>40878</x:v>
      </x:c>
      <x:c r="B889" s="14" t="str">
        <x:v>Norte</x:v>
      </x:c>
      <x:c r="C889" s="14" t="str">
        <x:v>SUDESTE / CENTRO - OESTE</x:v>
      </x:c>
      <x:c r="D889" s="53" t="str">
        <x:v>Cativo</x:v>
      </x:c>
      <x:c r="E889" s="49" t="n">
        <x:v>95969</x:v>
      </x:c>
      <x:c r="F889" s="52" t="n">
        <x:v>457083</x:v>
      </x:c>
      <x:c r="G889" s="54" t="n">
        <x:v>46220</x:v>
      </x:c>
      <x:c r="H889" s="14" t="str">
        <x:f>IF(E889&lt;0,"Componente negativo — manter e investigar","OK")</x:f>
        <x:v>OK</x:v>
      </x:c>
    </x:row>
    <x:row r="890">
      <x:c r="A890" s="51" t="n">
        <x:v>40878</x:v>
      </x:c>
      <x:c r="B890" s="14" t="str">
        <x:v>Sudeste</x:v>
      </x:c>
      <x:c r="C890" s="14" t="str">
        <x:v>SUDESTE / CENTRO - OESTE</x:v>
      </x:c>
      <x:c r="D890" s="53" t="str">
        <x:v>Cativo</x:v>
      </x:c>
      <x:c r="E890" s="49" t="n">
        <x:v>4957747</x:v>
      </x:c>
      <x:c r="F890" s="52" t="n">
        <x:v>28004734</x:v>
      </x:c>
      <x:c r="G890" s="54" t="n">
        <x:v>46220</x:v>
      </x:c>
      <x:c r="H890" s="14" t="str">
        <x:f>IF(E890&lt;0,"Componente negativo — manter e investigar","OK")</x:f>
        <x:v>OK</x:v>
      </x:c>
    </x:row>
    <x:row r="891">
      <x:c r="A891" s="51" t="n">
        <x:v>40878</x:v>
      </x:c>
      <x:c r="B891" s="14" t="str">
        <x:v>Sul</x:v>
      </x:c>
      <x:c r="C891" s="14" t="str">
        <x:v>SUL</x:v>
      </x:c>
      <x:c r="D891" s="53" t="str">
        <x:v>Cativo</x:v>
      </x:c>
      <x:c r="E891" s="49" t="n">
        <x:v>1453631</x:v>
      </x:c>
      <x:c r="F891" s="52" t="n">
        <x:v>8457083</x:v>
      </x:c>
      <x:c r="G891" s="54" t="n">
        <x:v>46220</x:v>
      </x:c>
      <x:c r="H891" s="14" t="str">
        <x:f>IF(E891&lt;0,"Componente negativo — manter e investigar","OK")</x:f>
        <x:v>OK</x:v>
      </x:c>
    </x:row>
    <x:row r="892">
      <x:c r="A892" s="51" t="n">
        <x:v>40909</x:v>
      </x:c>
      <x:c r="B892" s="14" t="str">
        <x:v>Centro-Oeste</x:v>
      </x:c>
      <x:c r="C892" s="14" t="str">
        <x:v>SISTEMAS ISOLADOS</x:v>
      </x:c>
      <x:c r="D892" s="53" t="str">
        <x:v>Cativo</x:v>
      </x:c>
      <x:c r="E892" s="49" t="n">
        <x:v>696</x:v>
      </x:c>
      <x:c r="F892" s="52" t="n">
        <x:v>5388</x:v>
      </x:c>
      <x:c r="G892" s="54" t="n">
        <x:v>46220</x:v>
      </x:c>
      <x:c r="H892" s="14" t="str">
        <x:f>IF(E892&lt;0,"Componente negativo — manter e investigar","OK")</x:f>
        <x:v>OK</x:v>
      </x:c>
    </x:row>
    <x:row r="893">
      <x:c r="A893" s="51" t="n">
        <x:v>40909</x:v>
      </x:c>
      <x:c r="B893" s="14" t="str">
        <x:v>Centro-Oeste</x:v>
      </x:c>
      <x:c r="C893" s="14" t="str">
        <x:v>SUDESTE / CENTRO - OESTE</x:v>
      </x:c>
      <x:c r="D893" s="53" t="str">
        <x:v>Cativo</x:v>
      </x:c>
      <x:c r="E893" s="49" t="n">
        <x:v>725422</x:v>
      </x:c>
      <x:c r="F893" s="52" t="n">
        <x:v>4340953</x:v>
      </x:c>
      <x:c r="G893" s="54" t="n">
        <x:v>46220</x:v>
      </x:c>
      <x:c r="H893" s="14" t="str">
        <x:f>IF(E893&lt;0,"Componente negativo — manter e investigar","OK")</x:f>
        <x:v>OK</x:v>
      </x:c>
    </x:row>
    <x:row r="894">
      <x:c r="A894" s="51" t="n">
        <x:v>40909</x:v>
      </x:c>
      <x:c r="B894" s="14" t="str">
        <x:v>Nordeste</x:v>
      </x:c>
      <x:c r="C894" s="14" t="str">
        <x:v>NORDESTE</x:v>
      </x:c>
      <x:c r="D894" s="53" t="str">
        <x:v>Cativo</x:v>
      </x:c>
      <x:c r="E894" s="49" t="n">
        <x:v>1646590</x:v>
      </x:c>
      <x:c r="F894" s="52" t="n">
        <x:v>14099110</x:v>
      </x:c>
      <x:c r="G894" s="54" t="n">
        <x:v>46220</x:v>
      </x:c>
      <x:c r="H894" s="14" t="str">
        <x:f>IF(E894&lt;0,"Componente negativo — manter e investigar","OK")</x:f>
        <x:v>OK</x:v>
      </x:c>
    </x:row>
    <x:row r="895">
      <x:c r="A895" s="51" t="n">
        <x:v>40909</x:v>
      </x:c>
      <x:c r="B895" s="14" t="str">
        <x:v>Nordeste</x:v>
      </x:c>
      <x:c r="C895" s="14" t="str">
        <x:v>NORTE INTERLIGADO</x:v>
      </x:c>
      <x:c r="D895" s="53" t="str">
        <x:v>Cativo</x:v>
      </x:c>
      <x:c r="E895" s="49" t="n">
        <x:v>180904</x:v>
      </x:c>
      <x:c r="F895" s="52" t="n">
        <x:v>1725245</x:v>
      </x:c>
      <x:c r="G895" s="54" t="n">
        <x:v>46220</x:v>
      </x:c>
      <x:c r="H895" s="14" t="str">
        <x:f>IF(E895&lt;0,"Componente negativo — manter e investigar","OK")</x:f>
        <x:v>OK</x:v>
      </x:c>
    </x:row>
    <x:row r="896">
      <x:c r="A896" s="51" t="n">
        <x:v>40909</x:v>
      </x:c>
      <x:c r="B896" s="14" t="str">
        <x:v>Nordeste</x:v>
      </x:c>
      <x:c r="C896" s="14" t="str">
        <x:v>SISTEMAS ISOLADOS</x:v>
      </x:c>
      <x:c r="D896" s="53" t="str">
        <x:v>Cativo</x:v>
      </x:c>
      <x:c r="E896" s="49" t="n">
        <x:v>291</x:v>
      </x:c>
      <x:c r="F896" s="52" t="n">
        <x:v>503</x:v>
      </x:c>
      <x:c r="G896" s="54" t="n">
        <x:v>46220</x:v>
      </x:c>
      <x:c r="H896" s="14" t="str">
        <x:f>IF(E896&lt;0,"Componente negativo — manter e investigar","OK")</x:f>
        <x:v>OK</x:v>
      </x:c>
    </x:row>
    <x:row r="897">
      <x:c r="A897" s="51" t="n">
        <x:v>40909</x:v>
      </x:c>
      <x:c r="B897" s="14" t="str">
        <x:v>Norte</x:v>
      </x:c>
      <x:c r="C897" s="14" t="str">
        <x:v>NORTE INTERLIGADO</x:v>
      </x:c>
      <x:c r="D897" s="53" t="str">
        <x:v>Cativo</x:v>
      </x:c>
      <x:c r="E897" s="49" t="n">
        <x:v>230649</x:v>
      </x:c>
      <x:c r="F897" s="52" t="n">
        <x:v>1818262</x:v>
      </x:c>
      <x:c r="G897" s="54" t="n">
        <x:v>46220</x:v>
      </x:c>
      <x:c r="H897" s="14" t="str">
        <x:f>IF(E897&lt;0,"Componente negativo — manter e investigar","OK")</x:f>
        <x:v>OK</x:v>
      </x:c>
    </x:row>
    <x:row r="898">
      <x:c r="A898" s="51" t="n">
        <x:v>40909</x:v>
      </x:c>
      <x:c r="B898" s="14" t="str">
        <x:v>Norte</x:v>
      </x:c>
      <x:c r="C898" s="14" t="str">
        <x:v>SISTEMAS ISOLADOS</x:v>
      </x:c>
      <x:c r="D898" s="53" t="str">
        <x:v>Cativo</x:v>
      </x:c>
      <x:c r="E898" s="49" t="n">
        <x:v>202380</x:v>
      </x:c>
      <x:c r="F898" s="52" t="n">
        <x:v>1061408</x:v>
      </x:c>
      <x:c r="G898" s="54" t="n">
        <x:v>46220</x:v>
      </x:c>
      <x:c r="H898" s="14" t="str">
        <x:f>IF(E898&lt;0,"Componente negativo — manter e investigar","OK")</x:f>
        <x:v>OK</x:v>
      </x:c>
    </x:row>
    <x:row r="899">
      <x:c r="A899" s="51" t="n">
        <x:v>40909</x:v>
      </x:c>
      <x:c r="B899" s="14" t="str">
        <x:v>Norte</x:v>
      </x:c>
      <x:c r="C899" s="14" t="str">
        <x:v>SUDESTE / CENTRO - OESTE</x:v>
      </x:c>
      <x:c r="D899" s="53" t="str">
        <x:v>Cativo</x:v>
      </x:c>
      <x:c r="E899" s="49" t="n">
        <x:v>91106</x:v>
      </x:c>
      <x:c r="F899" s="52" t="n">
        <x:v>458596</x:v>
      </x:c>
      <x:c r="G899" s="54" t="n">
        <x:v>46220</x:v>
      </x:c>
      <x:c r="H899" s="14" t="str">
        <x:f>IF(E899&lt;0,"Componente negativo — manter e investigar","OK")</x:f>
        <x:v>OK</x:v>
      </x:c>
    </x:row>
    <x:row r="900">
      <x:c r="A900" s="51" t="n">
        <x:v>40909</x:v>
      </x:c>
      <x:c r="B900" s="14" t="str">
        <x:v>Sudeste</x:v>
      </x:c>
      <x:c r="C900" s="14" t="str">
        <x:v>SUDESTE / CENTRO - OESTE</x:v>
      </x:c>
      <x:c r="D900" s="53" t="str">
        <x:v>Cativo</x:v>
      </x:c>
      <x:c r="E900" s="49" t="n">
        <x:v>5138107</x:v>
      </x:c>
      <x:c r="F900" s="52" t="n">
        <x:v>28057542</x:v>
      </x:c>
      <x:c r="G900" s="54" t="n">
        <x:v>46220</x:v>
      </x:c>
      <x:c r="H900" s="14" t="str">
        <x:f>IF(E900&lt;0,"Componente negativo — manter e investigar","OK")</x:f>
        <x:v>OK</x:v>
      </x:c>
    </x:row>
    <x:row r="901">
      <x:c r="A901" s="51" t="n">
        <x:v>40909</x:v>
      </x:c>
      <x:c r="B901" s="14" t="str">
        <x:v>Sul</x:v>
      </x:c>
      <x:c r="C901" s="14" t="str">
        <x:v>SUL</x:v>
      </x:c>
      <x:c r="D901" s="53" t="str">
        <x:v>Cativo</x:v>
      </x:c>
      <x:c r="E901" s="49" t="n">
        <x:v>1584090.553</x:v>
      </x:c>
      <x:c r="F901" s="52" t="n">
        <x:v>8488333</x:v>
      </x:c>
      <x:c r="G901" s="54" t="n">
        <x:v>46220</x:v>
      </x:c>
      <x:c r="H901" s="14" t="str">
        <x:f>IF(E901&lt;0,"Componente negativo — manter e investigar","OK")</x:f>
        <x:v>OK</x:v>
      </x:c>
    </x:row>
    <x:row r="902">
      <x:c r="A902" s="51" t="n">
        <x:v>40940</x:v>
      </x:c>
      <x:c r="B902" s="14" t="str">
        <x:v>Centro-Oeste</x:v>
      </x:c>
      <x:c r="C902" s="14" t="str">
        <x:v>SISTEMAS ISOLADOS</x:v>
      </x:c>
      <x:c r="D902" s="53" t="str">
        <x:v>Cativo</x:v>
      </x:c>
      <x:c r="E902" s="49" t="n">
        <x:v>627</x:v>
      </x:c>
      <x:c r="F902" s="52" t="n">
        <x:v>5396</x:v>
      </x:c>
      <x:c r="G902" s="54" t="n">
        <x:v>46220</x:v>
      </x:c>
      <x:c r="H902" s="14" t="str">
        <x:f>IF(E902&lt;0,"Componente negativo — manter e investigar","OK")</x:f>
        <x:v>OK</x:v>
      </x:c>
    </x:row>
    <x:row r="903">
      <x:c r="A903" s="51" t="n">
        <x:v>40940</x:v>
      </x:c>
      <x:c r="B903" s="14" t="str">
        <x:v>Centro-Oeste</x:v>
      </x:c>
      <x:c r="C903" s="14" t="str">
        <x:v>SUDESTE / CENTRO - OESTE</x:v>
      </x:c>
      <x:c r="D903" s="53" t="str">
        <x:v>Cativo</x:v>
      </x:c>
      <x:c r="E903" s="49" t="n">
        <x:v>726877</x:v>
      </x:c>
      <x:c r="F903" s="52" t="n">
        <x:v>4355685</x:v>
      </x:c>
      <x:c r="G903" s="54" t="n">
        <x:v>46220</x:v>
      </x:c>
      <x:c r="H903" s="14" t="str">
        <x:f>IF(E903&lt;0,"Componente negativo — manter e investigar","OK")</x:f>
        <x:v>OK</x:v>
      </x:c>
    </x:row>
    <x:row r="904">
      <x:c r="A904" s="51" t="n">
        <x:v>40940</x:v>
      </x:c>
      <x:c r="B904" s="14" t="str">
        <x:v>Nordeste</x:v>
      </x:c>
      <x:c r="C904" s="14" t="str">
        <x:v>NORDESTE</x:v>
      </x:c>
      <x:c r="D904" s="53" t="str">
        <x:v>Cativo</x:v>
      </x:c>
      <x:c r="E904" s="49" t="n">
        <x:v>1536385</x:v>
      </x:c>
      <x:c r="F904" s="52" t="n">
        <x:v>14134576</x:v>
      </x:c>
      <x:c r="G904" s="54" t="n">
        <x:v>46220</x:v>
      </x:c>
      <x:c r="H904" s="14" t="str">
        <x:f>IF(E904&lt;0,"Componente negativo — manter e investigar","OK")</x:f>
        <x:v>OK</x:v>
      </x:c>
    </x:row>
    <x:row r="905">
      <x:c r="A905" s="51" t="n">
        <x:v>40940</x:v>
      </x:c>
      <x:c r="B905" s="14" t="str">
        <x:v>Nordeste</x:v>
      </x:c>
      <x:c r="C905" s="14" t="str">
        <x:v>NORTE INTERLIGADO</x:v>
      </x:c>
      <x:c r="D905" s="53" t="str">
        <x:v>Cativo</x:v>
      </x:c>
      <x:c r="E905" s="49" t="n">
        <x:v>167944</x:v>
      </x:c>
      <x:c r="F905" s="52" t="n">
        <x:v>1733981</x:v>
      </x:c>
      <x:c r="G905" s="54" t="n">
        <x:v>46220</x:v>
      </x:c>
      <x:c r="H905" s="14" t="str">
        <x:f>IF(E905&lt;0,"Componente negativo — manter e investigar","OK")</x:f>
        <x:v>OK</x:v>
      </x:c>
    </x:row>
    <x:row r="906">
      <x:c r="A906" s="51" t="n">
        <x:v>40940</x:v>
      </x:c>
      <x:c r="B906" s="14" t="str">
        <x:v>Nordeste</x:v>
      </x:c>
      <x:c r="C906" s="14" t="str">
        <x:v>SISTEMAS ISOLADOS</x:v>
      </x:c>
      <x:c r="D906" s="53" t="str">
        <x:v>Cativo</x:v>
      </x:c>
      <x:c r="E906" s="49" t="n">
        <x:v>262</x:v>
      </x:c>
      <x:c r="F906" s="52" t="n">
        <x:v>503</x:v>
      </x:c>
      <x:c r="G906" s="54" t="n">
        <x:v>46220</x:v>
      </x:c>
      <x:c r="H906" s="14" t="str">
        <x:f>IF(E906&lt;0,"Componente negativo — manter e investigar","OK")</x:f>
        <x:v>OK</x:v>
      </x:c>
    </x:row>
    <x:row r="907">
      <x:c r="A907" s="51" t="n">
        <x:v>40940</x:v>
      </x:c>
      <x:c r="B907" s="14" t="str">
        <x:v>Norte</x:v>
      </x:c>
      <x:c r="C907" s="14" t="str">
        <x:v>NORTE INTERLIGADO</x:v>
      </x:c>
      <x:c r="D907" s="53" t="str">
        <x:v>Cativo</x:v>
      </x:c>
      <x:c r="E907" s="49" t="n">
        <x:v>207958</x:v>
      </x:c>
      <x:c r="F907" s="52" t="n">
        <x:v>1820583</x:v>
      </x:c>
      <x:c r="G907" s="54" t="n">
        <x:v>46220</x:v>
      </x:c>
      <x:c r="H907" s="14" t="str">
        <x:f>IF(E907&lt;0,"Componente negativo — manter e investigar","OK")</x:f>
        <x:v>OK</x:v>
      </x:c>
    </x:row>
    <x:row r="908">
      <x:c r="A908" s="51" t="n">
        <x:v>40940</x:v>
      </x:c>
      <x:c r="B908" s="14" t="str">
        <x:v>Norte</x:v>
      </x:c>
      <x:c r="C908" s="14" t="str">
        <x:v>SISTEMAS ISOLADOS</x:v>
      </x:c>
      <x:c r="D908" s="53" t="str">
        <x:v>Cativo</x:v>
      </x:c>
      <x:c r="E908" s="49" t="n">
        <x:v>203629</x:v>
      </x:c>
      <x:c r="F908" s="52" t="n">
        <x:v>1064155</x:v>
      </x:c>
      <x:c r="G908" s="54" t="n">
        <x:v>46220</x:v>
      </x:c>
      <x:c r="H908" s="14" t="str">
        <x:f>IF(E908&lt;0,"Componente negativo — manter e investigar","OK")</x:f>
        <x:v>OK</x:v>
      </x:c>
    </x:row>
    <x:row r="909">
      <x:c r="A909" s="51" t="n">
        <x:v>40940</x:v>
      </x:c>
      <x:c r="B909" s="14" t="str">
        <x:v>Norte</x:v>
      </x:c>
      <x:c r="C909" s="14" t="str">
        <x:v>SUDESTE / CENTRO - OESTE</x:v>
      </x:c>
      <x:c r="D909" s="53" t="str">
        <x:v>Cativo</x:v>
      </x:c>
      <x:c r="E909" s="49" t="n">
        <x:v>91847</x:v>
      </x:c>
      <x:c r="F909" s="52" t="n">
        <x:v>460381</x:v>
      </x:c>
      <x:c r="G909" s="54" t="n">
        <x:v>46220</x:v>
      </x:c>
      <x:c r="H909" s="14" t="str">
        <x:f>IF(E909&lt;0,"Componente negativo — manter e investigar","OK")</x:f>
        <x:v>OK</x:v>
      </x:c>
    </x:row>
    <x:row r="910">
      <x:c r="A910" s="51" t="n">
        <x:v>40940</x:v>
      </x:c>
      <x:c r="B910" s="14" t="str">
        <x:v>Sudeste</x:v>
      </x:c>
      <x:c r="C910" s="14" t="str">
        <x:v>SUDESTE / CENTRO - OESTE</x:v>
      </x:c>
      <x:c r="D910" s="53" t="str">
        <x:v>Cativo</x:v>
      </x:c>
      <x:c r="E910" s="49" t="n">
        <x:v>5111298</x:v>
      </x:c>
      <x:c r="F910" s="52" t="n">
        <x:v>28100215</x:v>
      </x:c>
      <x:c r="G910" s="54" t="n">
        <x:v>46220</x:v>
      </x:c>
      <x:c r="H910" s="14" t="str">
        <x:f>IF(E910&lt;0,"Componente negativo — manter e investigar","OK")</x:f>
        <x:v>OK</x:v>
      </x:c>
    </x:row>
    <x:row r="911">
      <x:c r="A911" s="51" t="n">
        <x:v>40940</x:v>
      </x:c>
      <x:c r="B911" s="14" t="str">
        <x:v>Sul</x:v>
      </x:c>
      <x:c r="C911" s="14" t="str">
        <x:v>SUL</x:v>
      </x:c>
      <x:c r="D911" s="53" t="str">
        <x:v>Cativo</x:v>
      </x:c>
      <x:c r="E911" s="49" t="n">
        <x:v>1658097.77</x:v>
      </x:c>
      <x:c r="F911" s="52" t="n">
        <x:v>8507762</x:v>
      </x:c>
      <x:c r="G911" s="54" t="n">
        <x:v>46220</x:v>
      </x:c>
      <x:c r="H911" s="14" t="str">
        <x:f>IF(E911&lt;0,"Componente negativo — manter e investigar","OK")</x:f>
        <x:v>OK</x:v>
      </x:c>
    </x:row>
    <x:row r="912">
      <x:c r="A912" s="51" t="n">
        <x:v>40969</x:v>
      </x:c>
      <x:c r="B912" s="14" t="str">
        <x:v>Centro-Oeste</x:v>
      </x:c>
      <x:c r="C912" s="14" t="str">
        <x:v>SISTEMAS ISOLADOS</x:v>
      </x:c>
      <x:c r="D912" s="53" t="str">
        <x:v>Cativo</x:v>
      </x:c>
      <x:c r="E912" s="49" t="n">
        <x:v>673</x:v>
      </x:c>
      <x:c r="F912" s="52" t="n">
        <x:v>5404</x:v>
      </x:c>
      <x:c r="G912" s="54" t="n">
        <x:v>46220</x:v>
      </x:c>
      <x:c r="H912" s="14" t="str">
        <x:f>IF(E912&lt;0,"Componente negativo — manter e investigar","OK")</x:f>
        <x:v>OK</x:v>
      </x:c>
    </x:row>
    <x:row r="913">
      <x:c r="A913" s="51" t="n">
        <x:v>40969</x:v>
      </x:c>
      <x:c r="B913" s="14" t="str">
        <x:v>Centro-Oeste</x:v>
      </x:c>
      <x:c r="C913" s="14" t="str">
        <x:v>SUDESTE / CENTRO - OESTE</x:v>
      </x:c>
      <x:c r="D913" s="53" t="str">
        <x:v>Cativo</x:v>
      </x:c>
      <x:c r="E913" s="49" t="n">
        <x:v>749879</x:v>
      </x:c>
      <x:c r="F913" s="52" t="n">
        <x:v>4371729</x:v>
      </x:c>
      <x:c r="G913" s="54" t="n">
        <x:v>46220</x:v>
      </x:c>
      <x:c r="H913" s="14" t="str">
        <x:f>IF(E913&lt;0,"Componente negativo — manter e investigar","OK")</x:f>
        <x:v>OK</x:v>
      </x:c>
    </x:row>
    <x:row r="914">
      <x:c r="A914" s="51" t="n">
        <x:v>40969</x:v>
      </x:c>
      <x:c r="B914" s="14" t="str">
        <x:v>Nordeste</x:v>
      </x:c>
      <x:c r="C914" s="14" t="str">
        <x:v>NORDESTE</x:v>
      </x:c>
      <x:c r="D914" s="53" t="str">
        <x:v>Cativo</x:v>
      </x:c>
      <x:c r="E914" s="49" t="n">
        <x:v>1658298</x:v>
      </x:c>
      <x:c r="F914" s="52" t="n">
        <x:v>14178801</x:v>
      </x:c>
      <x:c r="G914" s="54" t="n">
        <x:v>46220</x:v>
      </x:c>
      <x:c r="H914" s="14" t="str">
        <x:f>IF(E914&lt;0,"Componente negativo — manter e investigar","OK")</x:f>
        <x:v>OK</x:v>
      </x:c>
    </x:row>
    <x:row r="915">
      <x:c r="A915" s="51" t="n">
        <x:v>40969</x:v>
      </x:c>
      <x:c r="B915" s="14" t="str">
        <x:v>Nordeste</x:v>
      </x:c>
      <x:c r="C915" s="14" t="str">
        <x:v>NORTE INTERLIGADO</x:v>
      </x:c>
      <x:c r="D915" s="53" t="str">
        <x:v>Cativo</x:v>
      </x:c>
      <x:c r="E915" s="49" t="n">
        <x:v>180228</x:v>
      </x:c>
      <x:c r="F915" s="52" t="n">
        <x:v>1737827</x:v>
      </x:c>
      <x:c r="G915" s="54" t="n">
        <x:v>46220</x:v>
      </x:c>
      <x:c r="H915" s="14" t="str">
        <x:f>IF(E915&lt;0,"Componente negativo — manter e investigar","OK")</x:f>
        <x:v>OK</x:v>
      </x:c>
    </x:row>
    <x:row r="916">
      <x:c r="A916" s="51" t="n">
        <x:v>40969</x:v>
      </x:c>
      <x:c r="B916" s="14" t="str">
        <x:v>Nordeste</x:v>
      </x:c>
      <x:c r="C916" s="14" t="str">
        <x:v>SISTEMAS ISOLADOS</x:v>
      </x:c>
      <x:c r="D916" s="53" t="str">
        <x:v>Cativo</x:v>
      </x:c>
      <x:c r="E916" s="49" t="n">
        <x:v>297</x:v>
      </x:c>
      <x:c r="F916" s="52" t="n">
        <x:v>504</x:v>
      </x:c>
      <x:c r="G916" s="54" t="n">
        <x:v>46220</x:v>
      </x:c>
      <x:c r="H916" s="14" t="str">
        <x:f>IF(E916&lt;0,"Componente negativo — manter e investigar","OK")</x:f>
        <x:v>OK</x:v>
      </x:c>
    </x:row>
    <x:row r="917">
      <x:c r="A917" s="51" t="n">
        <x:v>40969</x:v>
      </x:c>
      <x:c r="B917" s="14" t="str">
        <x:v>Norte</x:v>
      </x:c>
      <x:c r="C917" s="14" t="str">
        <x:v>NORTE INTERLIGADO</x:v>
      </x:c>
      <x:c r="D917" s="53" t="str">
        <x:v>Cativo</x:v>
      </x:c>
      <x:c r="E917" s="49" t="n">
        <x:v>225003</x:v>
      </x:c>
      <x:c r="F917" s="52" t="n">
        <x:v>1814104</x:v>
      </x:c>
      <x:c r="G917" s="54" t="n">
        <x:v>46220</x:v>
      </x:c>
      <x:c r="H917" s="14" t="str">
        <x:f>IF(E917&lt;0,"Componente negativo — manter e investigar","OK")</x:f>
        <x:v>OK</x:v>
      </x:c>
    </x:row>
    <x:row r="918">
      <x:c r="A918" s="51" t="n">
        <x:v>40969</x:v>
      </x:c>
      <x:c r="B918" s="14" t="str">
        <x:v>Norte</x:v>
      </x:c>
      <x:c r="C918" s="14" t="str">
        <x:v>SISTEMAS ISOLADOS</x:v>
      </x:c>
      <x:c r="D918" s="53" t="str">
        <x:v>Cativo</x:v>
      </x:c>
      <x:c r="E918" s="49" t="n">
        <x:v>184975</x:v>
      </x:c>
      <x:c r="F918" s="52" t="n">
        <x:v>1066508</x:v>
      </x:c>
      <x:c r="G918" s="54" t="n">
        <x:v>46220</x:v>
      </x:c>
      <x:c r="H918" s="14" t="str">
        <x:f>IF(E918&lt;0,"Componente negativo — manter e investigar","OK")</x:f>
        <x:v>OK</x:v>
      </x:c>
    </x:row>
    <x:row r="919">
      <x:c r="A919" s="51" t="n">
        <x:v>40969</x:v>
      </x:c>
      <x:c r="B919" s="14" t="str">
        <x:v>Norte</x:v>
      </x:c>
      <x:c r="C919" s="14" t="str">
        <x:v>SUDESTE / CENTRO - OESTE</x:v>
      </x:c>
      <x:c r="D919" s="53" t="str">
        <x:v>Cativo</x:v>
      </x:c>
      <x:c r="E919" s="49" t="n">
        <x:v>93516</x:v>
      </x:c>
      <x:c r="F919" s="52" t="n">
        <x:v>462124</x:v>
      </x:c>
      <x:c r="G919" s="54" t="n">
        <x:v>46220</x:v>
      </x:c>
      <x:c r="H919" s="14" t="str">
        <x:f>IF(E919&lt;0,"Componente negativo — manter e investigar","OK")</x:f>
        <x:v>OK</x:v>
      </x:c>
    </x:row>
    <x:row r="920">
      <x:c r="A920" s="51" t="n">
        <x:v>40969</x:v>
      </x:c>
      <x:c r="B920" s="14" t="str">
        <x:v>Sudeste</x:v>
      </x:c>
      <x:c r="C920" s="14" t="str">
        <x:v>SUDESTE / CENTRO - OESTE</x:v>
      </x:c>
      <x:c r="D920" s="53" t="str">
        <x:v>Cativo</x:v>
      </x:c>
      <x:c r="E920" s="49" t="n">
        <x:v>5470926</x:v>
      </x:c>
      <x:c r="F920" s="52" t="n">
        <x:v>28192473</x:v>
      </x:c>
      <x:c r="G920" s="54" t="n">
        <x:v>46220</x:v>
      </x:c>
      <x:c r="H920" s="14" t="str">
        <x:f>IF(E920&lt;0,"Componente negativo — manter e investigar","OK")</x:f>
        <x:v>OK</x:v>
      </x:c>
    </x:row>
    <x:row r="921">
      <x:c r="A921" s="51" t="n">
        <x:v>40969</x:v>
      </x:c>
      <x:c r="B921" s="14" t="str">
        <x:v>Sul</x:v>
      </x:c>
      <x:c r="C921" s="14" t="str">
        <x:v>SUL</x:v>
      </x:c>
      <x:c r="D921" s="53" t="str">
        <x:v>Cativo</x:v>
      </x:c>
      <x:c r="E921" s="49" t="n">
        <x:v>1706808.424</x:v>
      </x:c>
      <x:c r="F921" s="52" t="n">
        <x:v>8532109</x:v>
      </x:c>
      <x:c r="G921" s="54" t="n">
        <x:v>46220</x:v>
      </x:c>
      <x:c r="H921" s="14" t="str">
        <x:f>IF(E921&lt;0,"Componente negativo — manter e investigar","OK")</x:f>
        <x:v>OK</x:v>
      </x:c>
    </x:row>
    <x:row r="922">
      <x:c r="A922" s="51" t="n">
        <x:v>41000</x:v>
      </x:c>
      <x:c r="B922" s="14" t="str">
        <x:v>Centro-Oeste</x:v>
      </x:c>
      <x:c r="C922" s="14" t="str">
        <x:v>SISTEMAS ISOLADOS</x:v>
      </x:c>
      <x:c r="D922" s="53" t="str">
        <x:v>Cativo</x:v>
      </x:c>
      <x:c r="E922" s="49" t="n">
        <x:v>693</x:v>
      </x:c>
      <x:c r="F922" s="52" t="n">
        <x:v>5395</x:v>
      </x:c>
      <x:c r="G922" s="54" t="n">
        <x:v>46220</x:v>
      </x:c>
      <x:c r="H922" s="14" t="str">
        <x:f>IF(E922&lt;0,"Componente negativo — manter e investigar","OK")</x:f>
        <x:v>OK</x:v>
      </x:c>
    </x:row>
    <x:row r="923">
      <x:c r="A923" s="51" t="n">
        <x:v>41000</x:v>
      </x:c>
      <x:c r="B923" s="14" t="str">
        <x:v>Centro-Oeste</x:v>
      </x:c>
      <x:c r="C923" s="14" t="str">
        <x:v>SUDESTE / CENTRO - OESTE</x:v>
      </x:c>
      <x:c r="D923" s="53" t="str">
        <x:v>Cativo</x:v>
      </x:c>
      <x:c r="E923" s="49" t="n">
        <x:v>773588</x:v>
      </x:c>
      <x:c r="F923" s="52" t="n">
        <x:v>4387899</x:v>
      </x:c>
      <x:c r="G923" s="54" t="n">
        <x:v>46220</x:v>
      </x:c>
      <x:c r="H923" s="14" t="str">
        <x:f>IF(E923&lt;0,"Componente negativo — manter e investigar","OK")</x:f>
        <x:v>OK</x:v>
      </x:c>
    </x:row>
    <x:row r="924">
      <x:c r="A924" s="51" t="n">
        <x:v>41000</x:v>
      </x:c>
      <x:c r="B924" s="14" t="str">
        <x:v>Nordeste</x:v>
      </x:c>
      <x:c r="C924" s="14" t="str">
        <x:v>NORDESTE</x:v>
      </x:c>
      <x:c r="D924" s="53" t="str">
        <x:v>Cativo</x:v>
      </x:c>
      <x:c r="E924" s="49" t="n">
        <x:v>1602196</x:v>
      </x:c>
      <x:c r="F924" s="52" t="n">
        <x:v>14200829</x:v>
      </x:c>
      <x:c r="G924" s="54" t="n">
        <x:v>46220</x:v>
      </x:c>
      <x:c r="H924" s="14" t="str">
        <x:f>IF(E924&lt;0,"Componente negativo — manter e investigar","OK")</x:f>
        <x:v>OK</x:v>
      </x:c>
    </x:row>
    <x:row r="925">
      <x:c r="A925" s="51" t="n">
        <x:v>41000</x:v>
      </x:c>
      <x:c r="B925" s="14" t="str">
        <x:v>Nordeste</x:v>
      </x:c>
      <x:c r="C925" s="14" t="str">
        <x:v>NORTE INTERLIGADO</x:v>
      </x:c>
      <x:c r="D925" s="53" t="str">
        <x:v>Cativo</x:v>
      </x:c>
      <x:c r="E925" s="49" t="n">
        <x:v>176905</x:v>
      </x:c>
      <x:c r="F925" s="52" t="n">
        <x:v>1747727</x:v>
      </x:c>
      <x:c r="G925" s="54" t="n">
        <x:v>46220</x:v>
      </x:c>
      <x:c r="H925" s="14" t="str">
        <x:f>IF(E925&lt;0,"Componente negativo — manter e investigar","OK")</x:f>
        <x:v>OK</x:v>
      </x:c>
    </x:row>
    <x:row r="926">
      <x:c r="A926" s="51" t="n">
        <x:v>41000</x:v>
      </x:c>
      <x:c r="B926" s="14" t="str">
        <x:v>Nordeste</x:v>
      </x:c>
      <x:c r="C926" s="14" t="str">
        <x:v>SISTEMAS ISOLADOS</x:v>
      </x:c>
      <x:c r="D926" s="53" t="str">
        <x:v>Cativo</x:v>
      </x:c>
      <x:c r="E926" s="49" t="n">
        <x:v>274</x:v>
      </x:c>
      <x:c r="F926" s="52" t="n">
        <x:v>506</x:v>
      </x:c>
      <x:c r="G926" s="54" t="n">
        <x:v>46220</x:v>
      </x:c>
      <x:c r="H926" s="14" t="str">
        <x:f>IF(E926&lt;0,"Componente negativo — manter e investigar","OK")</x:f>
        <x:v>OK</x:v>
      </x:c>
    </x:row>
    <x:row r="927">
      <x:c r="A927" s="51" t="n">
        <x:v>41000</x:v>
      </x:c>
      <x:c r="B927" s="14" t="str">
        <x:v>Norte</x:v>
      </x:c>
      <x:c r="C927" s="14" t="str">
        <x:v>NORTE INTERLIGADO</x:v>
      </x:c>
      <x:c r="D927" s="53" t="str">
        <x:v>Cativo</x:v>
      </x:c>
      <x:c r="E927" s="49" t="n">
        <x:v>227505</x:v>
      </x:c>
      <x:c r="F927" s="52" t="n">
        <x:v>1812811</x:v>
      </x:c>
      <x:c r="G927" s="54" t="n">
        <x:v>46220</x:v>
      </x:c>
      <x:c r="H927" s="14" t="str">
        <x:f>IF(E927&lt;0,"Componente negativo — manter e investigar","OK")</x:f>
        <x:v>OK</x:v>
      </x:c>
    </x:row>
    <x:row r="928">
      <x:c r="A928" s="51" t="n">
        <x:v>41000</x:v>
      </x:c>
      <x:c r="B928" s="14" t="str">
        <x:v>Norte</x:v>
      </x:c>
      <x:c r="C928" s="14" t="str">
        <x:v>SISTEMAS ISOLADOS</x:v>
      </x:c>
      <x:c r="D928" s="53" t="str">
        <x:v>Cativo</x:v>
      </x:c>
      <x:c r="E928" s="49" t="n">
        <x:v>202563</x:v>
      </x:c>
      <x:c r="F928" s="52" t="n">
        <x:v>1070324</x:v>
      </x:c>
      <x:c r="G928" s="54" t="n">
        <x:v>46220</x:v>
      </x:c>
      <x:c r="H928" s="14" t="str">
        <x:f>IF(E928&lt;0,"Componente negativo — manter e investigar","OK")</x:f>
        <x:v>OK</x:v>
      </x:c>
    </x:row>
    <x:row r="929">
      <x:c r="A929" s="51" t="n">
        <x:v>41000</x:v>
      </x:c>
      <x:c r="B929" s="14" t="str">
        <x:v>Norte</x:v>
      </x:c>
      <x:c r="C929" s="14" t="str">
        <x:v>SUDESTE / CENTRO - OESTE</x:v>
      </x:c>
      <x:c r="D929" s="53" t="str">
        <x:v>Cativo</x:v>
      </x:c>
      <x:c r="E929" s="49" t="n">
        <x:v>102418</x:v>
      </x:c>
      <x:c r="F929" s="52" t="n">
        <x:v>465274</x:v>
      </x:c>
      <x:c r="G929" s="54" t="n">
        <x:v>46220</x:v>
      </x:c>
      <x:c r="H929" s="14" t="str">
        <x:f>IF(E929&lt;0,"Componente negativo — manter e investigar","OK")</x:f>
        <x:v>OK</x:v>
      </x:c>
    </x:row>
    <x:row r="930">
      <x:c r="A930" s="51" t="n">
        <x:v>41000</x:v>
      </x:c>
      <x:c r="B930" s="14" t="str">
        <x:v>Sudeste</x:v>
      </x:c>
      <x:c r="C930" s="14" t="str">
        <x:v>SUDESTE / CENTRO - OESTE</x:v>
      </x:c>
      <x:c r="D930" s="53" t="str">
        <x:v>Cativo</x:v>
      </x:c>
      <x:c r="E930" s="49" t="n">
        <x:v>5308429</x:v>
      </x:c>
      <x:c r="F930" s="52" t="n">
        <x:v>28212093</x:v>
      </x:c>
      <x:c r="G930" s="54" t="n">
        <x:v>46220</x:v>
      </x:c>
      <x:c r="H930" s="14" t="str">
        <x:f>IF(E930&lt;0,"Componente negativo — manter e investigar","OK")</x:f>
        <x:v>OK</x:v>
      </x:c>
    </x:row>
    <x:row r="931">
      <x:c r="A931" s="51" t="n">
        <x:v>41000</x:v>
      </x:c>
      <x:c r="B931" s="14" t="str">
        <x:v>Sul</x:v>
      </x:c>
      <x:c r="C931" s="14" t="str">
        <x:v>SUL</x:v>
      </x:c>
      <x:c r="D931" s="53" t="str">
        <x:v>Cativo</x:v>
      </x:c>
      <x:c r="E931" s="49" t="n">
        <x:v>1533564.465</x:v>
      </x:c>
      <x:c r="F931" s="52" t="n">
        <x:v>8554991</x:v>
      </x:c>
      <x:c r="G931" s="54" t="n">
        <x:v>46220</x:v>
      </x:c>
      <x:c r="H931" s="14" t="str">
        <x:f>IF(E931&lt;0,"Componente negativo — manter e investigar","OK")</x:f>
        <x:v>OK</x:v>
      </x:c>
    </x:row>
    <x:row r="932">
      <x:c r="A932" s="51" t="n">
        <x:v>41030</x:v>
      </x:c>
      <x:c r="B932" s="14" t="str">
        <x:v>Centro-Oeste</x:v>
      </x:c>
      <x:c r="C932" s="14" t="str">
        <x:v>SISTEMAS ISOLADOS</x:v>
      </x:c>
      <x:c r="D932" s="53" t="str">
        <x:v>Cativo</x:v>
      </x:c>
      <x:c r="E932" s="49" t="n">
        <x:v>686</x:v>
      </x:c>
      <x:c r="F932" s="52" t="n">
        <x:v>5416</x:v>
      </x:c>
      <x:c r="G932" s="54" t="n">
        <x:v>46220</x:v>
      </x:c>
      <x:c r="H932" s="14" t="str">
        <x:f>IF(E932&lt;0,"Componente negativo — manter e investigar","OK")</x:f>
        <x:v>OK</x:v>
      </x:c>
    </x:row>
    <x:row r="933">
      <x:c r="A933" s="51" t="n">
        <x:v>41030</x:v>
      </x:c>
      <x:c r="B933" s="14" t="str">
        <x:v>Centro-Oeste</x:v>
      </x:c>
      <x:c r="C933" s="14" t="str">
        <x:v>SUDESTE / CENTRO - OESTE</x:v>
      </x:c>
      <x:c r="D933" s="53" t="str">
        <x:v>Cativo</x:v>
      </x:c>
      <x:c r="E933" s="49" t="n">
        <x:v>751849</x:v>
      </x:c>
      <x:c r="F933" s="52" t="n">
        <x:v>4406789</x:v>
      </x:c>
      <x:c r="G933" s="54" t="n">
        <x:v>46220</x:v>
      </x:c>
      <x:c r="H933" s="14" t="str">
        <x:f>IF(E933&lt;0,"Componente negativo — manter e investigar","OK")</x:f>
        <x:v>OK</x:v>
      </x:c>
    </x:row>
    <x:row r="934">
      <x:c r="A934" s="51" t="n">
        <x:v>41030</x:v>
      </x:c>
      <x:c r="B934" s="14" t="str">
        <x:v>Nordeste</x:v>
      </x:c>
      <x:c r="C934" s="14" t="str">
        <x:v>NORDESTE</x:v>
      </x:c>
      <x:c r="D934" s="53" t="str">
        <x:v>Cativo</x:v>
      </x:c>
      <x:c r="E934" s="49" t="n">
        <x:v>1620518</x:v>
      </x:c>
      <x:c r="F934" s="52" t="n">
        <x:v>14200410</x:v>
      </x:c>
      <x:c r="G934" s="54" t="n">
        <x:v>46220</x:v>
      </x:c>
      <x:c r="H934" s="14" t="str">
        <x:f>IF(E934&lt;0,"Componente negativo — manter e investigar","OK")</x:f>
        <x:v>OK</x:v>
      </x:c>
    </x:row>
    <x:row r="935">
      <x:c r="A935" s="51" t="n">
        <x:v>41030</x:v>
      </x:c>
      <x:c r="B935" s="14" t="str">
        <x:v>Nordeste</x:v>
      </x:c>
      <x:c r="C935" s="14" t="str">
        <x:v>NORTE INTERLIGADO</x:v>
      </x:c>
      <x:c r="D935" s="53" t="str">
        <x:v>Cativo</x:v>
      </x:c>
      <x:c r="E935" s="49" t="n">
        <x:v>191156</x:v>
      </x:c>
      <x:c r="F935" s="52" t="n">
        <x:v>1753038</x:v>
      </x:c>
      <x:c r="G935" s="54" t="n">
        <x:v>46220</x:v>
      </x:c>
      <x:c r="H935" s="14" t="str">
        <x:f>IF(E935&lt;0,"Componente negativo — manter e investigar","OK")</x:f>
        <x:v>OK</x:v>
      </x:c>
    </x:row>
    <x:row r="936">
      <x:c r="A936" s="51" t="n">
        <x:v>41030</x:v>
      </x:c>
      <x:c r="B936" s="14" t="str">
        <x:v>Nordeste</x:v>
      </x:c>
      <x:c r="C936" s="14" t="str">
        <x:v>SISTEMAS ISOLADOS</x:v>
      </x:c>
      <x:c r="D936" s="53" t="str">
        <x:v>Cativo</x:v>
      </x:c>
      <x:c r="E936" s="49" t="n">
        <x:v>254</x:v>
      </x:c>
      <x:c r="F936" s="52" t="n">
        <x:v>507</x:v>
      </x:c>
      <x:c r="G936" s="54" t="n">
        <x:v>46220</x:v>
      </x:c>
      <x:c r="H936" s="14" t="str">
        <x:f>IF(E936&lt;0,"Componente negativo — manter e investigar","OK")</x:f>
        <x:v>OK</x:v>
      </x:c>
    </x:row>
    <x:row r="937">
      <x:c r="A937" s="51" t="n">
        <x:v>41030</x:v>
      </x:c>
      <x:c r="B937" s="14" t="str">
        <x:v>Norte</x:v>
      </x:c>
      <x:c r="C937" s="14" t="str">
        <x:v>NORTE INTERLIGADO</x:v>
      </x:c>
      <x:c r="D937" s="53" t="str">
        <x:v>Cativo</x:v>
      </x:c>
      <x:c r="E937" s="49" t="n">
        <x:v>245030</x:v>
      </x:c>
      <x:c r="F937" s="52" t="n">
        <x:v>1813963</x:v>
      </x:c>
      <x:c r="G937" s="54" t="n">
        <x:v>46220</x:v>
      </x:c>
      <x:c r="H937" s="14" t="str">
        <x:f>IF(E937&lt;0,"Componente negativo — manter e investigar","OK")</x:f>
        <x:v>OK</x:v>
      </x:c>
    </x:row>
    <x:row r="938">
      <x:c r="A938" s="51" t="n">
        <x:v>41030</x:v>
      </x:c>
      <x:c r="B938" s="14" t="str">
        <x:v>Norte</x:v>
      </x:c>
      <x:c r="C938" s="14" t="str">
        <x:v>SISTEMAS ISOLADOS</x:v>
      </x:c>
      <x:c r="D938" s="53" t="str">
        <x:v>Cativo</x:v>
      </x:c>
      <x:c r="E938" s="49" t="n">
        <x:v>203751</x:v>
      </x:c>
      <x:c r="F938" s="52" t="n">
        <x:v>1073692</x:v>
      </x:c>
      <x:c r="G938" s="54" t="n">
        <x:v>46220</x:v>
      </x:c>
      <x:c r="H938" s="14" t="str">
        <x:f>IF(E938&lt;0,"Componente negativo — manter e investigar","OK")</x:f>
        <x:v>OK</x:v>
      </x:c>
    </x:row>
    <x:row r="939">
      <x:c r="A939" s="51" t="n">
        <x:v>41030</x:v>
      </x:c>
      <x:c r="B939" s="14" t="str">
        <x:v>Norte</x:v>
      </x:c>
      <x:c r="C939" s="14" t="str">
        <x:v>SUDESTE / CENTRO - OESTE</x:v>
      </x:c>
      <x:c r="D939" s="53" t="str">
        <x:v>Cativo</x:v>
      </x:c>
      <x:c r="E939" s="49" t="n">
        <x:v>103380</x:v>
      </x:c>
      <x:c r="F939" s="52" t="n">
        <x:v>467680</x:v>
      </x:c>
      <x:c r="G939" s="54" t="n">
        <x:v>46220</x:v>
      </x:c>
      <x:c r="H939" s="14" t="str">
        <x:f>IF(E939&lt;0,"Componente negativo — manter e investigar","OK")</x:f>
        <x:v>OK</x:v>
      </x:c>
    </x:row>
    <x:row r="940">
      <x:c r="A940" s="51" t="n">
        <x:v>41030</x:v>
      </x:c>
      <x:c r="B940" s="14" t="str">
        <x:v>Sudeste</x:v>
      </x:c>
      <x:c r="C940" s="14" t="str">
        <x:v>SUDESTE / CENTRO - OESTE</x:v>
      </x:c>
      <x:c r="D940" s="53" t="str">
        <x:v>Cativo</x:v>
      </x:c>
      <x:c r="E940" s="49" t="n">
        <x:v>4954256</x:v>
      </x:c>
      <x:c r="F940" s="52" t="n">
        <x:v>28220135</x:v>
      </x:c>
      <x:c r="G940" s="54" t="n">
        <x:v>46220</x:v>
      </x:c>
      <x:c r="H940" s="14" t="str">
        <x:f>IF(E940&lt;0,"Componente negativo — manter e investigar","OK")</x:f>
        <x:v>OK</x:v>
      </x:c>
    </x:row>
    <x:row r="941">
      <x:c r="A941" s="51" t="n">
        <x:v>41030</x:v>
      </x:c>
      <x:c r="B941" s="14" t="str">
        <x:v>Sul</x:v>
      </x:c>
      <x:c r="C941" s="14" t="str">
        <x:v>SUL</x:v>
      </x:c>
      <x:c r="D941" s="53" t="str">
        <x:v>Cativo</x:v>
      </x:c>
      <x:c r="E941" s="49" t="n">
        <x:v>1461139.14</x:v>
      </x:c>
      <x:c r="F941" s="52" t="n">
        <x:v>8571003</x:v>
      </x:c>
      <x:c r="G941" s="54" t="n">
        <x:v>46220</x:v>
      </x:c>
      <x:c r="H941" s="14" t="str">
        <x:f>IF(E941&lt;0,"Componente negativo — manter e investigar","OK")</x:f>
        <x:v>OK</x:v>
      </x:c>
    </x:row>
    <x:row r="942">
      <x:c r="A942" s="51" t="n">
        <x:v>41061</x:v>
      </x:c>
      <x:c r="B942" s="14" t="str">
        <x:v>Centro-Oeste</x:v>
      </x:c>
      <x:c r="C942" s="14" t="str">
        <x:v>SISTEMAS ISOLADOS</x:v>
      </x:c>
      <x:c r="D942" s="53" t="str">
        <x:v>Cativo</x:v>
      </x:c>
      <x:c r="E942" s="49" t="n">
        <x:v>668</x:v>
      </x:c>
      <x:c r="F942" s="52" t="n">
        <x:v>5444</x:v>
      </x:c>
      <x:c r="G942" s="54" t="n">
        <x:v>46220</x:v>
      </x:c>
      <x:c r="H942" s="14" t="str">
        <x:f>IF(E942&lt;0,"Componente negativo — manter e investigar","OK")</x:f>
        <x:v>OK</x:v>
      </x:c>
    </x:row>
    <x:row r="943">
      <x:c r="A943" s="51" t="n">
        <x:v>41061</x:v>
      </x:c>
      <x:c r="B943" s="14" t="str">
        <x:v>Centro-Oeste</x:v>
      </x:c>
      <x:c r="C943" s="14" t="str">
        <x:v>SUDESTE / CENTRO - OESTE</x:v>
      </x:c>
      <x:c r="D943" s="53" t="str">
        <x:v>Cativo</x:v>
      </x:c>
      <x:c r="E943" s="49" t="n">
        <x:v>739036</x:v>
      </x:c>
      <x:c r="F943" s="52" t="n">
        <x:v>4429792</x:v>
      </x:c>
      <x:c r="G943" s="54" t="n">
        <x:v>46220</x:v>
      </x:c>
      <x:c r="H943" s="14" t="str">
        <x:f>IF(E943&lt;0,"Componente negativo — manter e investigar","OK")</x:f>
        <x:v>OK</x:v>
      </x:c>
    </x:row>
    <x:row r="944">
      <x:c r="A944" s="51" t="n">
        <x:v>41061</x:v>
      </x:c>
      <x:c r="B944" s="14" t="str">
        <x:v>Nordeste</x:v>
      </x:c>
      <x:c r="C944" s="14" t="str">
        <x:v>NORDESTE</x:v>
      </x:c>
      <x:c r="D944" s="53" t="str">
        <x:v>Cativo</x:v>
      </x:c>
      <x:c r="E944" s="49" t="n">
        <x:v>1580792</x:v>
      </x:c>
      <x:c r="F944" s="52" t="n">
        <x:v>14265413</x:v>
      </x:c>
      <x:c r="G944" s="54" t="n">
        <x:v>46220</x:v>
      </x:c>
      <x:c r="H944" s="14" t="str">
        <x:f>IF(E944&lt;0,"Componente negativo — manter e investigar","OK")</x:f>
        <x:v>OK</x:v>
      </x:c>
    </x:row>
    <x:row r="945">
      <x:c r="A945" s="51" t="n">
        <x:v>41061</x:v>
      </x:c>
      <x:c r="B945" s="14" t="str">
        <x:v>Nordeste</x:v>
      </x:c>
      <x:c r="C945" s="14" t="str">
        <x:v>NORTE INTERLIGADO</x:v>
      </x:c>
      <x:c r="D945" s="53" t="str">
        <x:v>Cativo</x:v>
      </x:c>
      <x:c r="E945" s="49" t="n">
        <x:v>194036</x:v>
      </x:c>
      <x:c r="F945" s="52" t="n">
        <x:v>1757405</x:v>
      </x:c>
      <x:c r="G945" s="54" t="n">
        <x:v>46220</x:v>
      </x:c>
      <x:c r="H945" s="14" t="str">
        <x:f>IF(E945&lt;0,"Componente negativo — manter e investigar","OK")</x:f>
        <x:v>OK</x:v>
      </x:c>
    </x:row>
    <x:row r="946">
      <x:c r="A946" s="51" t="n">
        <x:v>41061</x:v>
      </x:c>
      <x:c r="B946" s="14" t="str">
        <x:v>Nordeste</x:v>
      </x:c>
      <x:c r="C946" s="14" t="str">
        <x:v>SISTEMAS ISOLADOS</x:v>
      </x:c>
      <x:c r="D946" s="53" t="str">
        <x:v>Cativo</x:v>
      </x:c>
      <x:c r="E946" s="49" t="n">
        <x:v>287</x:v>
      </x:c>
      <x:c r="F946" s="52" t="n">
        <x:v>507</x:v>
      </x:c>
      <x:c r="G946" s="54" t="n">
        <x:v>46220</x:v>
      </x:c>
      <x:c r="H946" s="14" t="str">
        <x:f>IF(E946&lt;0,"Componente negativo — manter e investigar","OK")</x:f>
        <x:v>OK</x:v>
      </x:c>
    </x:row>
    <x:row r="947">
      <x:c r="A947" s="51" t="n">
        <x:v>41061</x:v>
      </x:c>
      <x:c r="B947" s="14" t="str">
        <x:v>Norte</x:v>
      </x:c>
      <x:c r="C947" s="14" t="str">
        <x:v>NORTE INTERLIGADO</x:v>
      </x:c>
      <x:c r="D947" s="53" t="str">
        <x:v>Cativo</x:v>
      </x:c>
      <x:c r="E947" s="49" t="n">
        <x:v>235037</x:v>
      </x:c>
      <x:c r="F947" s="52" t="n">
        <x:v>1822123</x:v>
      </x:c>
      <x:c r="G947" s="54" t="n">
        <x:v>46220</x:v>
      </x:c>
      <x:c r="H947" s="14" t="str">
        <x:f>IF(E947&lt;0,"Componente negativo — manter e investigar","OK")</x:f>
        <x:v>OK</x:v>
      </x:c>
    </x:row>
    <x:row r="948">
      <x:c r="A948" s="51" t="n">
        <x:v>41061</x:v>
      </x:c>
      <x:c r="B948" s="14" t="str">
        <x:v>Norte</x:v>
      </x:c>
      <x:c r="C948" s="14" t="str">
        <x:v>SISTEMAS ISOLADOS</x:v>
      </x:c>
      <x:c r="D948" s="53" t="str">
        <x:v>Cativo</x:v>
      </x:c>
      <x:c r="E948" s="49" t="n">
        <x:v>224752</x:v>
      </x:c>
      <x:c r="F948" s="52" t="n">
        <x:v>1079472</x:v>
      </x:c>
      <x:c r="G948" s="54" t="n">
        <x:v>46220</x:v>
      </x:c>
      <x:c r="H948" s="14" t="str">
        <x:f>IF(E948&lt;0,"Componente negativo — manter e investigar","OK")</x:f>
        <x:v>OK</x:v>
      </x:c>
    </x:row>
    <x:row r="949">
      <x:c r="A949" s="51" t="n">
        <x:v>41061</x:v>
      </x:c>
      <x:c r="B949" s="14" t="str">
        <x:v>Norte</x:v>
      </x:c>
      <x:c r="C949" s="14" t="str">
        <x:v>SUDESTE / CENTRO - OESTE</x:v>
      </x:c>
      <x:c r="D949" s="53" t="str">
        <x:v>Cativo</x:v>
      </x:c>
      <x:c r="E949" s="49" t="n">
        <x:v>106648</x:v>
      </x:c>
      <x:c r="F949" s="52" t="n">
        <x:v>470871</x:v>
      </x:c>
      <x:c r="G949" s="54" t="n">
        <x:v>46220</x:v>
      </x:c>
      <x:c r="H949" s="14" t="str">
        <x:f>IF(E949&lt;0,"Componente negativo — manter e investigar","OK")</x:f>
        <x:v>OK</x:v>
      </x:c>
    </x:row>
    <x:row r="950">
      <x:c r="A950" s="51" t="n">
        <x:v>41061</x:v>
      </x:c>
      <x:c r="B950" s="14" t="str">
        <x:v>Sudeste</x:v>
      </x:c>
      <x:c r="C950" s="14" t="str">
        <x:v>SUDESTE / CENTRO - OESTE</x:v>
      </x:c>
      <x:c r="D950" s="53" t="str">
        <x:v>Cativo</x:v>
      </x:c>
      <x:c r="E950" s="49" t="n">
        <x:v>5033564</x:v>
      </x:c>
      <x:c r="F950" s="52" t="n">
        <x:v>28222829</x:v>
      </x:c>
      <x:c r="G950" s="54" t="n">
        <x:v>46220</x:v>
      </x:c>
      <x:c r="H950" s="14" t="str">
        <x:f>IF(E950&lt;0,"Componente negativo — manter e investigar","OK")</x:f>
        <x:v>OK</x:v>
      </x:c>
    </x:row>
    <x:row r="951">
      <x:c r="A951" s="51" t="n">
        <x:v>41061</x:v>
      </x:c>
      <x:c r="B951" s="14" t="str">
        <x:v>Sul</x:v>
      </x:c>
      <x:c r="C951" s="14" t="str">
        <x:v>SUL</x:v>
      </x:c>
      <x:c r="D951" s="53" t="str">
        <x:v>Cativo</x:v>
      </x:c>
      <x:c r="E951" s="49" t="n">
        <x:v>1490069.4980000001</x:v>
      </x:c>
      <x:c r="F951" s="52" t="n">
        <x:v>8581993</x:v>
      </x:c>
      <x:c r="G951" s="54" t="n">
        <x:v>46220</x:v>
      </x:c>
      <x:c r="H951" s="14" t="str">
        <x:f>IF(E951&lt;0,"Componente negativo — manter e investigar","OK")</x:f>
        <x:v>OK</x:v>
      </x:c>
    </x:row>
    <x:row r="952">
      <x:c r="A952" s="51" t="n">
        <x:v>41091</x:v>
      </x:c>
      <x:c r="B952" s="14" t="str">
        <x:v>Centro-Oeste</x:v>
      </x:c>
      <x:c r="C952" s="14" t="str">
        <x:v>SISTEMAS ISOLADOS</x:v>
      </x:c>
      <x:c r="D952" s="53" t="str">
        <x:v>Cativo</x:v>
      </x:c>
      <x:c r="E952" s="49" t="n">
        <x:v>699</x:v>
      </x:c>
      <x:c r="F952" s="52" t="n">
        <x:v>5473</x:v>
      </x:c>
      <x:c r="G952" s="54" t="n">
        <x:v>46220</x:v>
      </x:c>
      <x:c r="H952" s="14" t="str">
        <x:f>IF(E952&lt;0,"Componente negativo — manter e investigar","OK")</x:f>
        <x:v>OK</x:v>
      </x:c>
    </x:row>
    <x:row r="953">
      <x:c r="A953" s="51" t="n">
        <x:v>41091</x:v>
      </x:c>
      <x:c r="B953" s="14" t="str">
        <x:v>Centro-Oeste</x:v>
      </x:c>
      <x:c r="C953" s="14" t="str">
        <x:v>SUDESTE / CENTRO - OESTE</x:v>
      </x:c>
      <x:c r="D953" s="53" t="str">
        <x:v>Cativo</x:v>
      </x:c>
      <x:c r="E953" s="49" t="n">
        <x:v>691317</x:v>
      </x:c>
      <x:c r="F953" s="52" t="n">
        <x:v>4450674</x:v>
      </x:c>
      <x:c r="G953" s="54" t="n">
        <x:v>46220</x:v>
      </x:c>
      <x:c r="H953" s="14" t="str">
        <x:f>IF(E953&lt;0,"Componente negativo — manter e investigar","OK")</x:f>
        <x:v>OK</x:v>
      </x:c>
    </x:row>
    <x:row r="954">
      <x:c r="A954" s="51" t="n">
        <x:v>41091</x:v>
      </x:c>
      <x:c r="B954" s="14" t="str">
        <x:v>Nordeste</x:v>
      </x:c>
      <x:c r="C954" s="14" t="str">
        <x:v>NORDESTE</x:v>
      </x:c>
      <x:c r="D954" s="53" t="str">
        <x:v>Cativo</x:v>
      </x:c>
      <x:c r="E954" s="49" t="n">
        <x:v>1516633</x:v>
      </x:c>
      <x:c r="F954" s="52" t="n">
        <x:v>14311918</x:v>
      </x:c>
      <x:c r="G954" s="54" t="n">
        <x:v>46220</x:v>
      </x:c>
      <x:c r="H954" s="14" t="str">
        <x:f>IF(E954&lt;0,"Componente negativo — manter e investigar","OK")</x:f>
        <x:v>OK</x:v>
      </x:c>
    </x:row>
    <x:row r="955">
      <x:c r="A955" s="51" t="n">
        <x:v>41091</x:v>
      </x:c>
      <x:c r="B955" s="14" t="str">
        <x:v>Nordeste</x:v>
      </x:c>
      <x:c r="C955" s="14" t="str">
        <x:v>NORTE INTERLIGADO</x:v>
      </x:c>
      <x:c r="D955" s="53" t="str">
        <x:v>Cativo</x:v>
      </x:c>
      <x:c r="E955" s="49" t="n">
        <x:v>181449</x:v>
      </x:c>
      <x:c r="F955" s="52" t="n">
        <x:v>1767405</x:v>
      </x:c>
      <x:c r="G955" s="54" t="n">
        <x:v>46220</x:v>
      </x:c>
      <x:c r="H955" s="14" t="str">
        <x:f>IF(E955&lt;0,"Componente negativo — manter e investigar","OK")</x:f>
        <x:v>OK</x:v>
      </x:c>
    </x:row>
    <x:row r="956">
      <x:c r="A956" s="51" t="n">
        <x:v>41091</x:v>
      </x:c>
      <x:c r="B956" s="14" t="str">
        <x:v>Nordeste</x:v>
      </x:c>
      <x:c r="C956" s="14" t="str">
        <x:v>SISTEMAS ISOLADOS</x:v>
      </x:c>
      <x:c r="D956" s="53" t="str">
        <x:v>Cativo</x:v>
      </x:c>
      <x:c r="E956" s="49" t="n">
        <x:v>247</x:v>
      </x:c>
      <x:c r="F956" s="52" t="n">
        <x:v>508</x:v>
      </x:c>
      <x:c r="G956" s="54" t="n">
        <x:v>46220</x:v>
      </x:c>
      <x:c r="H956" s="14" t="str">
        <x:f>IF(E956&lt;0,"Componente negativo — manter e investigar","OK")</x:f>
        <x:v>OK</x:v>
      </x:c>
    </x:row>
    <x:row r="957">
      <x:c r="A957" s="51" t="n">
        <x:v>41091</x:v>
      </x:c>
      <x:c r="B957" s="14" t="str">
        <x:v>Norte</x:v>
      </x:c>
      <x:c r="C957" s="14" t="str">
        <x:v>NORTE INTERLIGADO</x:v>
      </x:c>
      <x:c r="D957" s="53" t="str">
        <x:v>Cativo</x:v>
      </x:c>
      <x:c r="E957" s="49" t="n">
        <x:v>230564</x:v>
      </x:c>
      <x:c r="F957" s="52" t="n">
        <x:v>1834910</x:v>
      </x:c>
      <x:c r="G957" s="54" t="n">
        <x:v>46220</x:v>
      </x:c>
      <x:c r="H957" s="14" t="str">
        <x:f>IF(E957&lt;0,"Componente negativo — manter e investigar","OK")</x:f>
        <x:v>OK</x:v>
      </x:c>
    </x:row>
    <x:row r="958">
      <x:c r="A958" s="51" t="n">
        <x:v>41091</x:v>
      </x:c>
      <x:c r="B958" s="14" t="str">
        <x:v>Norte</x:v>
      </x:c>
      <x:c r="C958" s="14" t="str">
        <x:v>SISTEMAS ISOLADOS</x:v>
      </x:c>
      <x:c r="D958" s="53" t="str">
        <x:v>Cativo</x:v>
      </x:c>
      <x:c r="E958" s="49" t="n">
        <x:v>218892</x:v>
      </x:c>
      <x:c r="F958" s="52" t="n">
        <x:v>1084444</x:v>
      </x:c>
      <x:c r="G958" s="54" t="n">
        <x:v>46220</x:v>
      </x:c>
      <x:c r="H958" s="14" t="str">
        <x:f>IF(E958&lt;0,"Componente negativo — manter e investigar","OK")</x:f>
        <x:v>OK</x:v>
      </x:c>
    </x:row>
    <x:row r="959">
      <x:c r="A959" s="51" t="n">
        <x:v>41091</x:v>
      </x:c>
      <x:c r="B959" s="14" t="str">
        <x:v>Norte</x:v>
      </x:c>
      <x:c r="C959" s="14" t="str">
        <x:v>SUDESTE / CENTRO - OESTE</x:v>
      </x:c>
      <x:c r="D959" s="53" t="str">
        <x:v>Cativo</x:v>
      </x:c>
      <x:c r="E959" s="49" t="n">
        <x:v>101994</x:v>
      </x:c>
      <x:c r="F959" s="52" t="n">
        <x:v>470271</x:v>
      </x:c>
      <x:c r="G959" s="54" t="n">
        <x:v>46220</x:v>
      </x:c>
      <x:c r="H959" s="14" t="str">
        <x:f>IF(E959&lt;0,"Componente negativo — manter e investigar","OK")</x:f>
        <x:v>OK</x:v>
      </x:c>
    </x:row>
    <x:row r="960">
      <x:c r="A960" s="51" t="n">
        <x:v>41091</x:v>
      </x:c>
      <x:c r="B960" s="14" t="str">
        <x:v>Sudeste</x:v>
      </x:c>
      <x:c r="C960" s="14" t="str">
        <x:v>SUDESTE / CENTRO - OESTE</x:v>
      </x:c>
      <x:c r="D960" s="53" t="str">
        <x:v>Cativo</x:v>
      </x:c>
      <x:c r="E960" s="49" t="n">
        <x:v>4828556</x:v>
      </x:c>
      <x:c r="F960" s="52" t="n">
        <x:v>28223812</x:v>
      </x:c>
      <x:c r="G960" s="54" t="n">
        <x:v>46220</x:v>
      </x:c>
      <x:c r="H960" s="14" t="str">
        <x:f>IF(E960&lt;0,"Componente negativo — manter e investigar","OK")</x:f>
        <x:v>OK</x:v>
      </x:c>
    </x:row>
    <x:row r="961">
      <x:c r="A961" s="51" t="n">
        <x:v>41091</x:v>
      </x:c>
      <x:c r="B961" s="14" t="str">
        <x:v>Sul</x:v>
      </x:c>
      <x:c r="C961" s="14" t="str">
        <x:v>SUL</x:v>
      </x:c>
      <x:c r="D961" s="53" t="str">
        <x:v>Cativo</x:v>
      </x:c>
      <x:c r="E961" s="49" t="n">
        <x:v>1503946.0699999998</x:v>
      </x:c>
      <x:c r="F961" s="52" t="n">
        <x:v>8606699</x:v>
      </x:c>
      <x:c r="G961" s="54" t="n">
        <x:v>46220</x:v>
      </x:c>
      <x:c r="H961" s="14" t="str">
        <x:f>IF(E961&lt;0,"Componente negativo — manter e investigar","OK")</x:f>
        <x:v>OK</x:v>
      </x:c>
    </x:row>
    <x:row r="962">
      <x:c r="A962" s="51" t="n">
        <x:v>41122</x:v>
      </x:c>
      <x:c r="B962" s="14" t="str">
        <x:v>Centro-Oeste</x:v>
      </x:c>
      <x:c r="C962" s="14" t="str">
        <x:v>SISTEMAS ISOLADOS</x:v>
      </x:c>
      <x:c r="D962" s="53" t="str">
        <x:v>Cativo</x:v>
      </x:c>
      <x:c r="E962" s="49" t="n">
        <x:v>693</x:v>
      </x:c>
      <x:c r="F962" s="52" t="n">
        <x:v>5491</x:v>
      </x:c>
      <x:c r="G962" s="54" t="n">
        <x:v>46220</x:v>
      </x:c>
      <x:c r="H962" s="14" t="str">
        <x:f>IF(E962&lt;0,"Componente negativo — manter e investigar","OK")</x:f>
        <x:v>OK</x:v>
      </x:c>
    </x:row>
    <x:row r="963">
      <x:c r="A963" s="51" t="n">
        <x:v>41122</x:v>
      </x:c>
      <x:c r="B963" s="14" t="str">
        <x:v>Centro-Oeste</x:v>
      </x:c>
      <x:c r="C963" s="14" t="str">
        <x:v>SUDESTE / CENTRO - OESTE</x:v>
      </x:c>
      <x:c r="D963" s="53" t="str">
        <x:v>Cativo</x:v>
      </x:c>
      <x:c r="E963" s="49" t="n">
        <x:v>751846</x:v>
      </x:c>
      <x:c r="F963" s="52" t="n">
        <x:v>4471587</x:v>
      </x:c>
      <x:c r="G963" s="54" t="n">
        <x:v>46220</x:v>
      </x:c>
      <x:c r="H963" s="14" t="str">
        <x:f>IF(E963&lt;0,"Componente negativo — manter e investigar","OK")</x:f>
        <x:v>OK</x:v>
      </x:c>
    </x:row>
    <x:row r="964">
      <x:c r="A964" s="51" t="n">
        <x:v>41122</x:v>
      </x:c>
      <x:c r="B964" s="14" t="str">
        <x:v>Nordeste</x:v>
      </x:c>
      <x:c r="C964" s="14" t="str">
        <x:v>NORDESTE</x:v>
      </x:c>
      <x:c r="D964" s="53" t="str">
        <x:v>Cativo</x:v>
      </x:c>
      <x:c r="E964" s="49" t="n">
        <x:v>1551458</x:v>
      </x:c>
      <x:c r="F964" s="52" t="n">
        <x:v>14359990</x:v>
      </x:c>
      <x:c r="G964" s="54" t="n">
        <x:v>46220</x:v>
      </x:c>
      <x:c r="H964" s="14" t="str">
        <x:f>IF(E964&lt;0,"Componente negativo — manter e investigar","OK")</x:f>
        <x:v>OK</x:v>
      </x:c>
    </x:row>
    <x:row r="965">
      <x:c r="A965" s="51" t="n">
        <x:v>41122</x:v>
      </x:c>
      <x:c r="B965" s="14" t="str">
        <x:v>Nordeste</x:v>
      </x:c>
      <x:c r="C965" s="14" t="str">
        <x:v>NORTE INTERLIGADO</x:v>
      </x:c>
      <x:c r="D965" s="53" t="str">
        <x:v>Cativo</x:v>
      </x:c>
      <x:c r="E965" s="49" t="n">
        <x:v>188626</x:v>
      </x:c>
      <x:c r="F965" s="52" t="n">
        <x:v>1777688</x:v>
      </x:c>
      <x:c r="G965" s="54" t="n">
        <x:v>46220</x:v>
      </x:c>
      <x:c r="H965" s="14" t="str">
        <x:f>IF(E965&lt;0,"Componente negativo — manter e investigar","OK")</x:f>
        <x:v>OK</x:v>
      </x:c>
    </x:row>
    <x:row r="966">
      <x:c r="A966" s="51" t="n">
        <x:v>41122</x:v>
      </x:c>
      <x:c r="B966" s="14" t="str">
        <x:v>Nordeste</x:v>
      </x:c>
      <x:c r="C966" s="14" t="str">
        <x:v>SISTEMAS ISOLADOS</x:v>
      </x:c>
      <x:c r="D966" s="53" t="str">
        <x:v>Cativo</x:v>
      </x:c>
      <x:c r="E966" s="49" t="n">
        <x:v>281</x:v>
      </x:c>
      <x:c r="F966" s="52" t="n">
        <x:v>510</x:v>
      </x:c>
      <x:c r="G966" s="54" t="n">
        <x:v>46220</x:v>
      </x:c>
      <x:c r="H966" s="14" t="str">
        <x:f>IF(E966&lt;0,"Componente negativo — manter e investigar","OK")</x:f>
        <x:v>OK</x:v>
      </x:c>
    </x:row>
    <x:row r="967">
      <x:c r="A967" s="51" t="n">
        <x:v>41122</x:v>
      </x:c>
      <x:c r="B967" s="14" t="str">
        <x:v>Norte</x:v>
      </x:c>
      <x:c r="C967" s="14" t="str">
        <x:v>NORTE INTERLIGADO</x:v>
      </x:c>
      <x:c r="D967" s="53" t="str">
        <x:v>Cativo</x:v>
      </x:c>
      <x:c r="E967" s="49" t="n">
        <x:v>250119</x:v>
      </x:c>
      <x:c r="F967" s="52" t="n">
        <x:v>1901643</x:v>
      </x:c>
      <x:c r="G967" s="54" t="n">
        <x:v>46220</x:v>
      </x:c>
      <x:c r="H967" s="14" t="str">
        <x:f>IF(E967&lt;0,"Componente negativo — manter e investigar","OK")</x:f>
        <x:v>OK</x:v>
      </x:c>
    </x:row>
    <x:row r="968">
      <x:c r="A968" s="51" t="n">
        <x:v>41122</x:v>
      </x:c>
      <x:c r="B968" s="14" t="str">
        <x:v>Norte</x:v>
      </x:c>
      <x:c r="C968" s="14" t="str">
        <x:v>SISTEMAS ISOLADOS</x:v>
      </x:c>
      <x:c r="D968" s="53" t="str">
        <x:v>Cativo</x:v>
      </x:c>
      <x:c r="E968" s="49" t="n">
        <x:v>226188</x:v>
      </x:c>
      <x:c r="F968" s="52" t="n">
        <x:v>1091253</x:v>
      </x:c>
      <x:c r="G968" s="54" t="n">
        <x:v>46220</x:v>
      </x:c>
      <x:c r="H968" s="14" t="str">
        <x:f>IF(E968&lt;0,"Componente negativo — manter e investigar","OK")</x:f>
        <x:v>OK</x:v>
      </x:c>
    </x:row>
    <x:row r="969">
      <x:c r="A969" s="51" t="n">
        <x:v>41122</x:v>
      </x:c>
      <x:c r="B969" s="14" t="str">
        <x:v>Norte</x:v>
      </x:c>
      <x:c r="C969" s="14" t="str">
        <x:v>SUDESTE / CENTRO - OESTE</x:v>
      </x:c>
      <x:c r="D969" s="53" t="str">
        <x:v>Cativo</x:v>
      </x:c>
      <x:c r="E969" s="49" t="n">
        <x:v>116117</x:v>
      </x:c>
      <x:c r="F969" s="52" t="n">
        <x:v>476069</x:v>
      </x:c>
      <x:c r="G969" s="54" t="n">
        <x:v>46220</x:v>
      </x:c>
      <x:c r="H969" s="14" t="str">
        <x:f>IF(E969&lt;0,"Componente negativo — manter e investigar","OK")</x:f>
        <x:v>OK</x:v>
      </x:c>
    </x:row>
    <x:row r="970">
      <x:c r="A970" s="51" t="n">
        <x:v>41122</x:v>
      </x:c>
      <x:c r="B970" s="14" t="str">
        <x:v>Sudeste</x:v>
      </x:c>
      <x:c r="C970" s="14" t="str">
        <x:v>SUDESTE / CENTRO - OESTE</x:v>
      </x:c>
      <x:c r="D970" s="53" t="str">
        <x:v>Cativo</x:v>
      </x:c>
      <x:c r="E970" s="49" t="n">
        <x:v>4979107</x:v>
      </x:c>
      <x:c r="F970" s="52" t="n">
        <x:v>28293792</x:v>
      </x:c>
      <x:c r="G970" s="54" t="n">
        <x:v>46220</x:v>
      </x:c>
      <x:c r="H970" s="14" t="str">
        <x:f>IF(E970&lt;0,"Componente negativo — manter e investigar","OK")</x:f>
        <x:v>OK</x:v>
      </x:c>
    </x:row>
    <x:row r="971">
      <x:c r="A971" s="51" t="n">
        <x:v>41122</x:v>
      </x:c>
      <x:c r="B971" s="14" t="str">
        <x:v>Sul</x:v>
      </x:c>
      <x:c r="C971" s="14" t="str">
        <x:v>SUL</x:v>
      </x:c>
      <x:c r="D971" s="53" t="str">
        <x:v>Cativo</x:v>
      </x:c>
      <x:c r="E971" s="49" t="n">
        <x:v>1557201.852</x:v>
      </x:c>
      <x:c r="F971" s="52" t="n">
        <x:v>8632820</x:v>
      </x:c>
      <x:c r="G971" s="54" t="n">
        <x:v>46220</x:v>
      </x:c>
      <x:c r="H971" s="14" t="str">
        <x:f>IF(E971&lt;0,"Componente negativo — manter e investigar","OK")</x:f>
        <x:v>OK</x:v>
      </x:c>
    </x:row>
    <x:row r="972">
      <x:c r="A972" s="51" t="n">
        <x:v>41153</x:v>
      </x:c>
      <x:c r="B972" s="14" t="str">
        <x:v>Centro-Oeste</x:v>
      </x:c>
      <x:c r="C972" s="14" t="str">
        <x:v>SISTEMAS ISOLADOS</x:v>
      </x:c>
      <x:c r="D972" s="53" t="str">
        <x:v>Cativo</x:v>
      </x:c>
      <x:c r="E972" s="49" t="n">
        <x:v>743</x:v>
      </x:c>
      <x:c r="F972" s="52" t="n">
        <x:v>5517</x:v>
      </x:c>
      <x:c r="G972" s="54" t="n">
        <x:v>46220</x:v>
      </x:c>
      <x:c r="H972" s="14" t="str">
        <x:f>IF(E972&lt;0,"Componente negativo — manter e investigar","OK")</x:f>
        <x:v>OK</x:v>
      </x:c>
    </x:row>
    <x:row r="973">
      <x:c r="A973" s="51" t="n">
        <x:v>41153</x:v>
      </x:c>
      <x:c r="B973" s="14" t="str">
        <x:v>Centro-Oeste</x:v>
      </x:c>
      <x:c r="C973" s="14" t="str">
        <x:v>SUDESTE / CENTRO - OESTE</x:v>
      </x:c>
      <x:c r="D973" s="53" t="str">
        <x:v>Cativo</x:v>
      </x:c>
      <x:c r="E973" s="49" t="n">
        <x:v>800468</x:v>
      </x:c>
      <x:c r="F973" s="52" t="n">
        <x:v>4489212</x:v>
      </x:c>
      <x:c r="G973" s="54" t="n">
        <x:v>46220</x:v>
      </x:c>
      <x:c r="H973" s="14" t="str">
        <x:f>IF(E973&lt;0,"Componente negativo — manter e investigar","OK")</x:f>
        <x:v>OK</x:v>
      </x:c>
    </x:row>
    <x:row r="974">
      <x:c r="A974" s="51" t="n">
        <x:v>41153</x:v>
      </x:c>
      <x:c r="B974" s="14" t="str">
        <x:v>Nordeste</x:v>
      </x:c>
      <x:c r="C974" s="14" t="str">
        <x:v>NORDESTE</x:v>
      </x:c>
      <x:c r="D974" s="53" t="str">
        <x:v>Cativo</x:v>
      </x:c>
      <x:c r="E974" s="49" t="n">
        <x:v>1530266</x:v>
      </x:c>
      <x:c r="F974" s="52" t="n">
        <x:v>14418858</x:v>
      </x:c>
      <x:c r="G974" s="54" t="n">
        <x:v>46220</x:v>
      </x:c>
      <x:c r="H974" s="14" t="str">
        <x:f>IF(E974&lt;0,"Componente negativo — manter e investigar","OK")</x:f>
        <x:v>OK</x:v>
      </x:c>
    </x:row>
    <x:row r="975">
      <x:c r="A975" s="51" t="n">
        <x:v>41153</x:v>
      </x:c>
      <x:c r="B975" s="14" t="str">
        <x:v>Nordeste</x:v>
      </x:c>
      <x:c r="C975" s="14" t="str">
        <x:v>NORTE INTERLIGADO</x:v>
      </x:c>
      <x:c r="D975" s="53" t="str">
        <x:v>Cativo</x:v>
      </x:c>
      <x:c r="E975" s="49" t="n">
        <x:v>193325</x:v>
      </x:c>
      <x:c r="F975" s="52" t="n">
        <x:v>1788629</x:v>
      </x:c>
      <x:c r="G975" s="54" t="n">
        <x:v>46220</x:v>
      </x:c>
      <x:c r="H975" s="14" t="str">
        <x:f>IF(E975&lt;0,"Componente negativo — manter e investigar","OK")</x:f>
        <x:v>OK</x:v>
      </x:c>
    </x:row>
    <x:row r="976">
      <x:c r="A976" s="51" t="n">
        <x:v>41153</x:v>
      </x:c>
      <x:c r="B976" s="14" t="str">
        <x:v>Nordeste</x:v>
      </x:c>
      <x:c r="C976" s="14" t="str">
        <x:v>SISTEMAS ISOLADOS</x:v>
      </x:c>
      <x:c r="D976" s="53" t="str">
        <x:v>Cativo</x:v>
      </x:c>
      <x:c r="E976" s="49" t="n">
        <x:v>249</x:v>
      </x:c>
      <x:c r="F976" s="52" t="n">
        <x:v>511</x:v>
      </x:c>
      <x:c r="G976" s="54" t="n">
        <x:v>46220</x:v>
      </x:c>
      <x:c r="H976" s="14" t="str">
        <x:f>IF(E976&lt;0,"Componente negativo — manter e investigar","OK")</x:f>
        <x:v>OK</x:v>
      </x:c>
    </x:row>
    <x:row r="977">
      <x:c r="A977" s="51" t="n">
        <x:v>41153</x:v>
      </x:c>
      <x:c r="B977" s="14" t="str">
        <x:v>Norte</x:v>
      </x:c>
      <x:c r="C977" s="14" t="str">
        <x:v>NORTE INTERLIGADO</x:v>
      </x:c>
      <x:c r="D977" s="53" t="str">
        <x:v>Cativo</x:v>
      </x:c>
      <x:c r="E977" s="49" t="n">
        <x:v>250333</x:v>
      </x:c>
      <x:c r="F977" s="52" t="n">
        <x:v>1906405</x:v>
      </x:c>
      <x:c r="G977" s="54" t="n">
        <x:v>46220</x:v>
      </x:c>
      <x:c r="H977" s="14" t="str">
        <x:f>IF(E977&lt;0,"Componente negativo — manter e investigar","OK")</x:f>
        <x:v>OK</x:v>
      </x:c>
    </x:row>
    <x:row r="978">
      <x:c r="A978" s="51" t="n">
        <x:v>41153</x:v>
      </x:c>
      <x:c r="B978" s="14" t="str">
        <x:v>Norte</x:v>
      </x:c>
      <x:c r="C978" s="14" t="str">
        <x:v>SISTEMAS ISOLADOS</x:v>
      </x:c>
      <x:c r="D978" s="53" t="str">
        <x:v>Cativo</x:v>
      </x:c>
      <x:c r="E978" s="49" t="n">
        <x:v>231680</x:v>
      </x:c>
      <x:c r="F978" s="52" t="n">
        <x:v>1096290</x:v>
      </x:c>
      <x:c r="G978" s="54" t="n">
        <x:v>46220</x:v>
      </x:c>
      <x:c r="H978" s="14" t="str">
        <x:f>IF(E978&lt;0,"Componente negativo — manter e investigar","OK")</x:f>
        <x:v>OK</x:v>
      </x:c>
    </x:row>
    <x:row r="979">
      <x:c r="A979" s="51" t="n">
        <x:v>41153</x:v>
      </x:c>
      <x:c r="B979" s="14" t="str">
        <x:v>Norte</x:v>
      </x:c>
      <x:c r="C979" s="14" t="str">
        <x:v>SUDESTE / CENTRO - OESTE</x:v>
      </x:c>
      <x:c r="D979" s="53" t="str">
        <x:v>Cativo</x:v>
      </x:c>
      <x:c r="E979" s="49" t="n">
        <x:v>122083</x:v>
      </x:c>
      <x:c r="F979" s="52" t="n">
        <x:v>477494</x:v>
      </x:c>
      <x:c r="G979" s="54" t="n">
        <x:v>46220</x:v>
      </x:c>
      <x:c r="H979" s="14" t="str">
        <x:f>IF(E979&lt;0,"Componente negativo — manter e investigar","OK")</x:f>
        <x:v>OK</x:v>
      </x:c>
    </x:row>
    <x:row r="980">
      <x:c r="A980" s="51" t="n">
        <x:v>41153</x:v>
      </x:c>
      <x:c r="B980" s="14" t="str">
        <x:v>Sudeste</x:v>
      </x:c>
      <x:c r="C980" s="14" t="str">
        <x:v>SUDESTE / CENTRO - OESTE</x:v>
      </x:c>
      <x:c r="D980" s="53" t="str">
        <x:v>Cativo</x:v>
      </x:c>
      <x:c r="E980" s="49" t="n">
        <x:v>5108683</x:v>
      </x:c>
      <x:c r="F980" s="52" t="n">
        <x:v>28316728</x:v>
      </x:c>
      <x:c r="G980" s="54" t="n">
        <x:v>46220</x:v>
      </x:c>
      <x:c r="H980" s="14" t="str">
        <x:f>IF(E980&lt;0,"Componente negativo — manter e investigar","OK")</x:f>
        <x:v>OK</x:v>
      </x:c>
    </x:row>
    <x:row r="981">
      <x:c r="A981" s="51" t="n">
        <x:v>41153</x:v>
      </x:c>
      <x:c r="B981" s="14" t="str">
        <x:v>Sul</x:v>
      </x:c>
      <x:c r="C981" s="14" t="str">
        <x:v>SUL</x:v>
      </x:c>
      <x:c r="D981" s="53" t="str">
        <x:v>Cativo</x:v>
      </x:c>
      <x:c r="E981" s="49" t="n">
        <x:v>1510699.22</x:v>
      </x:c>
      <x:c r="F981" s="52" t="n">
        <x:v>8653404</x:v>
      </x:c>
      <x:c r="G981" s="54" t="n">
        <x:v>46220</x:v>
      </x:c>
      <x:c r="H981" s="14" t="str">
        <x:f>IF(E981&lt;0,"Componente negativo — manter e investigar","OK")</x:f>
        <x:v>OK</x:v>
      </x:c>
    </x:row>
    <x:row r="982">
      <x:c r="A982" s="51" t="n">
        <x:v>41183</x:v>
      </x:c>
      <x:c r="B982" s="14" t="str">
        <x:v>Centro-Oeste</x:v>
      </x:c>
      <x:c r="C982" s="14" t="str">
        <x:v>SISTEMAS ISOLADOS</x:v>
      </x:c>
      <x:c r="D982" s="53" t="str">
        <x:v>Cativo</x:v>
      </x:c>
      <x:c r="E982" s="49" t="n">
        <x:v>786</x:v>
      </x:c>
      <x:c r="F982" s="52" t="n">
        <x:v>5526</x:v>
      </x:c>
      <x:c r="G982" s="54" t="n">
        <x:v>46220</x:v>
      </x:c>
      <x:c r="H982" s="14" t="str">
        <x:f>IF(E982&lt;0,"Componente negativo — manter e investigar","OK")</x:f>
        <x:v>OK</x:v>
      </x:c>
    </x:row>
    <x:row r="983">
      <x:c r="A983" s="51" t="n">
        <x:v>41183</x:v>
      </x:c>
      <x:c r="B983" s="14" t="str">
        <x:v>Centro-Oeste</x:v>
      </x:c>
      <x:c r="C983" s="14" t="str">
        <x:v>SUDESTE / CENTRO - OESTE</x:v>
      </x:c>
      <x:c r="D983" s="53" t="str">
        <x:v>Cativo</x:v>
      </x:c>
      <x:c r="E983" s="49" t="n">
        <x:v>823406</x:v>
      </x:c>
      <x:c r="F983" s="52" t="n">
        <x:v>4508040</x:v>
      </x:c>
      <x:c r="G983" s="54" t="n">
        <x:v>46220</x:v>
      </x:c>
      <x:c r="H983" s="14" t="str">
        <x:f>IF(E983&lt;0,"Componente negativo — manter e investigar","OK")</x:f>
        <x:v>OK</x:v>
      </x:c>
    </x:row>
    <x:row r="984">
      <x:c r="A984" s="51" t="n">
        <x:v>41183</x:v>
      </x:c>
      <x:c r="B984" s="14" t="str">
        <x:v>Nordeste</x:v>
      </x:c>
      <x:c r="C984" s="14" t="str">
        <x:v>NORDESTE</x:v>
      </x:c>
      <x:c r="D984" s="53" t="str">
        <x:v>Cativo</x:v>
      </x:c>
      <x:c r="E984" s="49" t="n">
        <x:v>1596405</x:v>
      </x:c>
      <x:c r="F984" s="52" t="n">
        <x:v>14474646</x:v>
      </x:c>
      <x:c r="G984" s="54" t="n">
        <x:v>46220</x:v>
      </x:c>
      <x:c r="H984" s="14" t="str">
        <x:f>IF(E984&lt;0,"Componente negativo — manter e investigar","OK")</x:f>
        <x:v>OK</x:v>
      </x:c>
    </x:row>
    <x:row r="985">
      <x:c r="A985" s="51" t="n">
        <x:v>41183</x:v>
      </x:c>
      <x:c r="B985" s="14" t="str">
        <x:v>Nordeste</x:v>
      </x:c>
      <x:c r="C985" s="14" t="str">
        <x:v>NORTE INTERLIGADO</x:v>
      </x:c>
      <x:c r="D985" s="53" t="str">
        <x:v>Cativo</x:v>
      </x:c>
      <x:c r="E985" s="49" t="n">
        <x:v>200697</x:v>
      </x:c>
      <x:c r="F985" s="52" t="n">
        <x:v>1793962</x:v>
      </x:c>
      <x:c r="G985" s="54" t="n">
        <x:v>46220</x:v>
      </x:c>
      <x:c r="H985" s="14" t="str">
        <x:f>IF(E985&lt;0,"Componente negativo — manter e investigar","OK")</x:f>
        <x:v>OK</x:v>
      </x:c>
    </x:row>
    <x:row r="986">
      <x:c r="A986" s="51" t="n">
        <x:v>41183</x:v>
      </x:c>
      <x:c r="B986" s="14" t="str">
        <x:v>Nordeste</x:v>
      </x:c>
      <x:c r="C986" s="14" t="str">
        <x:v>SISTEMAS ISOLADOS</x:v>
      </x:c>
      <x:c r="D986" s="53" t="str">
        <x:v>Cativo</x:v>
      </x:c>
      <x:c r="E986" s="49" t="n">
        <x:v>248</x:v>
      </x:c>
      <x:c r="F986" s="52" t="n">
        <x:v>509</x:v>
      </x:c>
      <x:c r="G986" s="54" t="n">
        <x:v>46220</x:v>
      </x:c>
      <x:c r="H986" s="14" t="str">
        <x:f>IF(E986&lt;0,"Componente negativo — manter e investigar","OK")</x:f>
        <x:v>OK</x:v>
      </x:c>
    </x:row>
    <x:row r="987">
      <x:c r="A987" s="51" t="n">
        <x:v>41183</x:v>
      </x:c>
      <x:c r="B987" s="14" t="str">
        <x:v>Norte</x:v>
      </x:c>
      <x:c r="C987" s="14" t="str">
        <x:v>NORTE INTERLIGADO</x:v>
      </x:c>
      <x:c r="D987" s="53" t="str">
        <x:v>Cativo</x:v>
      </x:c>
      <x:c r="E987" s="49" t="n">
        <x:v>254135</x:v>
      </x:c>
      <x:c r="F987" s="52" t="n">
        <x:v>1914909</x:v>
      </x:c>
      <x:c r="G987" s="54" t="n">
        <x:v>46220</x:v>
      </x:c>
      <x:c r="H987" s="14" t="str">
        <x:f>IF(E987&lt;0,"Componente negativo — manter e investigar","OK")</x:f>
        <x:v>OK</x:v>
      </x:c>
    </x:row>
    <x:row r="988">
      <x:c r="A988" s="51" t="n">
        <x:v>41183</x:v>
      </x:c>
      <x:c r="B988" s="14" t="str">
        <x:v>Norte</x:v>
      </x:c>
      <x:c r="C988" s="14" t="str">
        <x:v>SISTEMAS ISOLADOS</x:v>
      </x:c>
      <x:c r="D988" s="53" t="str">
        <x:v>Cativo</x:v>
      </x:c>
      <x:c r="E988" s="49" t="n">
        <x:v>238917</x:v>
      </x:c>
      <x:c r="F988" s="52" t="n">
        <x:v>1095930</x:v>
      </x:c>
      <x:c r="G988" s="54" t="n">
        <x:v>46220</x:v>
      </x:c>
      <x:c r="H988" s="14" t="str">
        <x:f>IF(E988&lt;0,"Componente negativo — manter e investigar","OK")</x:f>
        <x:v>OK</x:v>
      </x:c>
    </x:row>
    <x:row r="989">
      <x:c r="A989" s="51" t="n">
        <x:v>41183</x:v>
      </x:c>
      <x:c r="B989" s="14" t="str">
        <x:v>Norte</x:v>
      </x:c>
      <x:c r="C989" s="14" t="str">
        <x:v>SUDESTE / CENTRO - OESTE</x:v>
      </x:c>
      <x:c r="D989" s="53" t="str">
        <x:v>Cativo</x:v>
      </x:c>
      <x:c r="E989" s="49" t="n">
        <x:v>115263</x:v>
      </x:c>
      <x:c r="F989" s="52" t="n">
        <x:v>479697</x:v>
      </x:c>
      <x:c r="G989" s="54" t="n">
        <x:v>46220</x:v>
      </x:c>
      <x:c r="H989" s="14" t="str">
        <x:f>IF(E989&lt;0,"Componente negativo — manter e investigar","OK")</x:f>
        <x:v>OK</x:v>
      </x:c>
    </x:row>
    <x:row r="990">
      <x:c r="A990" s="51" t="n">
        <x:v>41183</x:v>
      </x:c>
      <x:c r="B990" s="14" t="str">
        <x:v>Sudeste</x:v>
      </x:c>
      <x:c r="C990" s="14" t="str">
        <x:v>SUDESTE / CENTRO - OESTE</x:v>
      </x:c>
      <x:c r="D990" s="53" t="str">
        <x:v>Cativo</x:v>
      </x:c>
      <x:c r="E990" s="49" t="n">
        <x:v>5068966</x:v>
      </x:c>
      <x:c r="F990" s="52" t="n">
        <x:v>28446819</x:v>
      </x:c>
      <x:c r="G990" s="54" t="n">
        <x:v>46220</x:v>
      </x:c>
      <x:c r="H990" s="14" t="str">
        <x:f>IF(E990&lt;0,"Componente negativo — manter e investigar","OK")</x:f>
        <x:v>OK</x:v>
      </x:c>
    </x:row>
    <x:row r="991">
      <x:c r="A991" s="51" t="n">
        <x:v>41183</x:v>
      </x:c>
      <x:c r="B991" s="14" t="str">
        <x:v>Sul</x:v>
      </x:c>
      <x:c r="C991" s="14" t="str">
        <x:v>SUL</x:v>
      </x:c>
      <x:c r="D991" s="53" t="str">
        <x:v>Cativo</x:v>
      </x:c>
      <x:c r="E991" s="49" t="n">
        <x:v>1489158.066</x:v>
      </x:c>
      <x:c r="F991" s="52" t="n">
        <x:v>8677147</x:v>
      </x:c>
      <x:c r="G991" s="54" t="n">
        <x:v>46220</x:v>
      </x:c>
      <x:c r="H991" s="14" t="str">
        <x:f>IF(E991&lt;0,"Componente negativo — manter e investigar","OK")</x:f>
        <x:v>OK</x:v>
      </x:c>
    </x:row>
    <x:row r="992">
      <x:c r="A992" s="51" t="n">
        <x:v>41214</x:v>
      </x:c>
      <x:c r="B992" s="14" t="str">
        <x:v>Centro-Oeste</x:v>
      </x:c>
      <x:c r="C992" s="14" t="str">
        <x:v>SISTEMAS ISOLADOS</x:v>
      </x:c>
      <x:c r="D992" s="53" t="str">
        <x:v>Cativo</x:v>
      </x:c>
      <x:c r="E992" s="49" t="n">
        <x:v>722</x:v>
      </x:c>
      <x:c r="F992" s="52" t="n">
        <x:v>5519</x:v>
      </x:c>
      <x:c r="G992" s="54" t="n">
        <x:v>46220</x:v>
      </x:c>
      <x:c r="H992" s="14" t="str">
        <x:f>IF(E992&lt;0,"Componente negativo — manter e investigar","OK")</x:f>
        <x:v>OK</x:v>
      </x:c>
    </x:row>
    <x:row r="993">
      <x:c r="A993" s="51" t="n">
        <x:v>41214</x:v>
      </x:c>
      <x:c r="B993" s="14" t="str">
        <x:v>Centro-Oeste</x:v>
      </x:c>
      <x:c r="C993" s="14" t="str">
        <x:v>SUDESTE / CENTRO - OESTE</x:v>
      </x:c>
      <x:c r="D993" s="53" t="str">
        <x:v>Cativo</x:v>
      </x:c>
      <x:c r="E993" s="49" t="n">
        <x:v>851622</x:v>
      </x:c>
      <x:c r="F993" s="52" t="n">
        <x:v>4525511</x:v>
      </x:c>
      <x:c r="G993" s="54" t="n">
        <x:v>46220</x:v>
      </x:c>
      <x:c r="H993" s="14" t="str">
        <x:f>IF(E993&lt;0,"Componente negativo — manter e investigar","OK")</x:f>
        <x:v>OK</x:v>
      </x:c>
    </x:row>
    <x:row r="994">
      <x:c r="A994" s="51" t="n">
        <x:v>41214</x:v>
      </x:c>
      <x:c r="B994" s="14" t="str">
        <x:v>Nordeste</x:v>
      </x:c>
      <x:c r="C994" s="14" t="str">
        <x:v>NORDESTE</x:v>
      </x:c>
      <x:c r="D994" s="53" t="str">
        <x:v>Cativo</x:v>
      </x:c>
      <x:c r="E994" s="49" t="n">
        <x:v>1622262</x:v>
      </x:c>
      <x:c r="F994" s="52" t="n">
        <x:v>14511614</x:v>
      </x:c>
      <x:c r="G994" s="54" t="n">
        <x:v>46220</x:v>
      </x:c>
      <x:c r="H994" s="14" t="str">
        <x:f>IF(E994&lt;0,"Componente negativo — manter e investigar","OK")</x:f>
        <x:v>OK</x:v>
      </x:c>
    </x:row>
    <x:row r="995">
      <x:c r="A995" s="51" t="n">
        <x:v>41214</x:v>
      </x:c>
      <x:c r="B995" s="14" t="str">
        <x:v>Nordeste</x:v>
      </x:c>
      <x:c r="C995" s="14" t="str">
        <x:v>NORTE INTERLIGADO</x:v>
      </x:c>
      <x:c r="D995" s="53" t="str">
        <x:v>Cativo</x:v>
      </x:c>
      <x:c r="E995" s="49" t="n">
        <x:v>200347</x:v>
      </x:c>
      <x:c r="F995" s="52" t="n">
        <x:v>1796767</x:v>
      </x:c>
      <x:c r="G995" s="54" t="n">
        <x:v>46220</x:v>
      </x:c>
      <x:c r="H995" s="14" t="str">
        <x:f>IF(E995&lt;0,"Componente negativo — manter e investigar","OK")</x:f>
        <x:v>OK</x:v>
      </x:c>
    </x:row>
    <x:row r="996">
      <x:c r="A996" s="51" t="n">
        <x:v>41214</x:v>
      </x:c>
      <x:c r="B996" s="14" t="str">
        <x:v>Nordeste</x:v>
      </x:c>
      <x:c r="C996" s="14" t="str">
        <x:v>SISTEMAS ISOLADOS</x:v>
      </x:c>
      <x:c r="D996" s="53" t="str">
        <x:v>Cativo</x:v>
      </x:c>
      <x:c r="E996" s="49" t="n">
        <x:v>299</x:v>
      </x:c>
      <x:c r="F996" s="52" t="n">
        <x:v>512</x:v>
      </x:c>
      <x:c r="G996" s="54" t="n">
        <x:v>46220</x:v>
      </x:c>
      <x:c r="H996" s="14" t="str">
        <x:f>IF(E996&lt;0,"Componente negativo — manter e investigar","OK")</x:f>
        <x:v>OK</x:v>
      </x:c>
    </x:row>
    <x:row r="997">
      <x:c r="A997" s="51" t="n">
        <x:v>41214</x:v>
      </x:c>
      <x:c r="B997" s="14" t="str">
        <x:v>Norte</x:v>
      </x:c>
      <x:c r="C997" s="14" t="str">
        <x:v>NORTE INTERLIGADO</x:v>
      </x:c>
      <x:c r="D997" s="53" t="str">
        <x:v>Cativo</x:v>
      </x:c>
      <x:c r="E997" s="49" t="n">
        <x:v>256975</x:v>
      </x:c>
      <x:c r="F997" s="52" t="n">
        <x:v>1919579</x:v>
      </x:c>
      <x:c r="G997" s="54" t="n">
        <x:v>46220</x:v>
      </x:c>
      <x:c r="H997" s="14" t="str">
        <x:f>IF(E997&lt;0,"Componente negativo — manter e investigar","OK")</x:f>
        <x:v>OK</x:v>
      </x:c>
    </x:row>
    <x:row r="998">
      <x:c r="A998" s="51" t="n">
        <x:v>41214</x:v>
      </x:c>
      <x:c r="B998" s="14" t="str">
        <x:v>Norte</x:v>
      </x:c>
      <x:c r="C998" s="14" t="str">
        <x:v>SISTEMAS ISOLADOS</x:v>
      </x:c>
      <x:c r="D998" s="53" t="str">
        <x:v>Cativo</x:v>
      </x:c>
      <x:c r="E998" s="49" t="n">
        <x:v>246682</x:v>
      </x:c>
      <x:c r="F998" s="52" t="n">
        <x:v>1100853</x:v>
      </x:c>
      <x:c r="G998" s="54" t="n">
        <x:v>46220</x:v>
      </x:c>
      <x:c r="H998" s="14" t="str">
        <x:f>IF(E998&lt;0,"Componente negativo — manter e investigar","OK")</x:f>
        <x:v>OK</x:v>
      </x:c>
    </x:row>
    <x:row r="999">
      <x:c r="A999" s="51" t="n">
        <x:v>41214</x:v>
      </x:c>
      <x:c r="B999" s="14" t="str">
        <x:v>Norte</x:v>
      </x:c>
      <x:c r="C999" s="14" t="str">
        <x:v>SUDESTE / CENTRO - OESTE</x:v>
      </x:c>
      <x:c r="D999" s="53" t="str">
        <x:v>Cativo</x:v>
      </x:c>
      <x:c r="E999" s="49" t="n">
        <x:v>124441</x:v>
      </x:c>
      <x:c r="F999" s="52" t="n">
        <x:v>484932</x:v>
      </x:c>
      <x:c r="G999" s="54" t="n">
        <x:v>46220</x:v>
      </x:c>
      <x:c r="H999" s="14" t="str">
        <x:f>IF(E999&lt;0,"Componente negativo — manter e investigar","OK")</x:f>
        <x:v>OK</x:v>
      </x:c>
    </x:row>
    <x:row r="1000">
      <x:c r="A1000" s="51" t="n">
        <x:v>41214</x:v>
      </x:c>
      <x:c r="B1000" s="14" t="str">
        <x:v>Sudeste</x:v>
      </x:c>
      <x:c r="C1000" s="14" t="str">
        <x:v>SUDESTE / CENTRO - OESTE</x:v>
      </x:c>
      <x:c r="D1000" s="53" t="str">
        <x:v>Cativo</x:v>
      </x:c>
      <x:c r="E1000" s="49" t="n">
        <x:v>5369591</x:v>
      </x:c>
      <x:c r="F1000" s="52" t="n">
        <x:v>28518767</x:v>
      </x:c>
      <x:c r="G1000" s="54" t="n">
        <x:v>46220</x:v>
      </x:c>
      <x:c r="H1000" s="14" t="str">
        <x:f>IF(E1000&lt;0,"Componente negativo — manter e investigar","OK")</x:f>
        <x:v>OK</x:v>
      </x:c>
    </x:row>
    <x:row r="1001">
      <x:c r="A1001" s="51" t="n">
        <x:v>41214</x:v>
      </x:c>
      <x:c r="B1001" s="14" t="str">
        <x:v>Sul</x:v>
      </x:c>
      <x:c r="C1001" s="14" t="str">
        <x:v>SUL</x:v>
      </x:c>
      <x:c r="D1001" s="53" t="str">
        <x:v>Cativo</x:v>
      </x:c>
      <x:c r="E1001" s="49" t="n">
        <x:v>1566444.165</x:v>
      </x:c>
      <x:c r="F1001" s="52" t="n">
        <x:v>8688025</x:v>
      </x:c>
      <x:c r="G1001" s="54" t="n">
        <x:v>46220</x:v>
      </x:c>
      <x:c r="H1001" s="14" t="str">
        <x:f>IF(E1001&lt;0,"Componente negativo — manter e investigar","OK")</x:f>
        <x:v>OK</x:v>
      </x:c>
    </x:row>
    <x:row r="1002">
      <x:c r="A1002" s="51" t="n">
        <x:v>41244</x:v>
      </x:c>
      <x:c r="B1002" s="14" t="str">
        <x:v>Centro-Oeste</x:v>
      </x:c>
      <x:c r="C1002" s="14" t="str">
        <x:v>SISTEMAS ISOLADOS</x:v>
      </x:c>
      <x:c r="D1002" s="53" t="str">
        <x:v>Cativo</x:v>
      </x:c>
      <x:c r="E1002" s="49" t="n">
        <x:v>734</x:v>
      </x:c>
      <x:c r="F1002" s="52" t="n">
        <x:v>5590</x:v>
      </x:c>
      <x:c r="G1002" s="54" t="n">
        <x:v>46220</x:v>
      </x:c>
      <x:c r="H1002" s="14" t="str">
        <x:f>IF(E1002&lt;0,"Componente negativo — manter e investigar","OK")</x:f>
        <x:v>OK</x:v>
      </x:c>
    </x:row>
    <x:row r="1003">
      <x:c r="A1003" s="51" t="n">
        <x:v>41244</x:v>
      </x:c>
      <x:c r="B1003" s="14" t="str">
        <x:v>Centro-Oeste</x:v>
      </x:c>
      <x:c r="C1003" s="14" t="str">
        <x:v>SUDESTE / CENTRO - OESTE</x:v>
      </x:c>
      <x:c r="D1003" s="53" t="str">
        <x:v>Cativo</x:v>
      </x:c>
      <x:c r="E1003" s="49" t="n">
        <x:v>808581</x:v>
      </x:c>
      <x:c r="F1003" s="52" t="n">
        <x:v>4539009</x:v>
      </x:c>
      <x:c r="G1003" s="54" t="n">
        <x:v>46220</x:v>
      </x:c>
      <x:c r="H1003" s="14" t="str">
        <x:f>IF(E1003&lt;0,"Componente negativo — manter e investigar","OK")</x:f>
        <x:v>OK</x:v>
      </x:c>
    </x:row>
    <x:row r="1004">
      <x:c r="A1004" s="51" t="n">
        <x:v>41244</x:v>
      </x:c>
      <x:c r="B1004" s="14" t="str">
        <x:v>Nordeste</x:v>
      </x:c>
      <x:c r="C1004" s="14" t="str">
        <x:v>NORDESTE</x:v>
      </x:c>
      <x:c r="D1004" s="53" t="str">
        <x:v>Cativo</x:v>
      </x:c>
      <x:c r="E1004" s="49" t="n">
        <x:v>1672499</x:v>
      </x:c>
      <x:c r="F1004" s="52" t="n">
        <x:v>14555289</x:v>
      </x:c>
      <x:c r="G1004" s="54" t="n">
        <x:v>46220</x:v>
      </x:c>
      <x:c r="H1004" s="14" t="str">
        <x:f>IF(E1004&lt;0,"Componente negativo — manter e investigar","OK")</x:f>
        <x:v>OK</x:v>
      </x:c>
    </x:row>
    <x:row r="1005">
      <x:c r="A1005" s="51" t="n">
        <x:v>41244</x:v>
      </x:c>
      <x:c r="B1005" s="14" t="str">
        <x:v>Nordeste</x:v>
      </x:c>
      <x:c r="C1005" s="14" t="str">
        <x:v>NORTE INTERLIGADO</x:v>
      </x:c>
      <x:c r="D1005" s="53" t="str">
        <x:v>Cativo</x:v>
      </x:c>
      <x:c r="E1005" s="49" t="n">
        <x:v>201926</x:v>
      </x:c>
      <x:c r="F1005" s="52" t="n">
        <x:v>1811167</x:v>
      </x:c>
      <x:c r="G1005" s="54" t="n">
        <x:v>46220</x:v>
      </x:c>
      <x:c r="H1005" s="14" t="str">
        <x:f>IF(E1005&lt;0,"Componente negativo — manter e investigar","OK")</x:f>
        <x:v>OK</x:v>
      </x:c>
    </x:row>
    <x:row r="1006">
      <x:c r="A1006" s="51" t="n">
        <x:v>41244</x:v>
      </x:c>
      <x:c r="B1006" s="14" t="str">
        <x:v>Nordeste</x:v>
      </x:c>
      <x:c r="C1006" s="14" t="str">
        <x:v>SISTEMAS ISOLADOS</x:v>
      </x:c>
      <x:c r="D1006" s="53" t="str">
        <x:v>Cativo</x:v>
      </x:c>
      <x:c r="E1006" s="49" t="n">
        <x:v>267</x:v>
      </x:c>
      <x:c r="F1006" s="52" t="n">
        <x:v>512</x:v>
      </x:c>
      <x:c r="G1006" s="54" t="n">
        <x:v>46220</x:v>
      </x:c>
      <x:c r="H1006" s="14" t="str">
        <x:f>IF(E1006&lt;0,"Componente negativo — manter e investigar","OK")</x:f>
        <x:v>OK</x:v>
      </x:c>
    </x:row>
    <x:row r="1007">
      <x:c r="A1007" s="51" t="n">
        <x:v>41244</x:v>
      </x:c>
      <x:c r="B1007" s="14" t="str">
        <x:v>Norte</x:v>
      </x:c>
      <x:c r="C1007" s="14" t="str">
        <x:v>NORTE INTERLIGADO</x:v>
      </x:c>
      <x:c r="D1007" s="53" t="str">
        <x:v>Cativo</x:v>
      </x:c>
      <x:c r="E1007" s="49" t="n">
        <x:v>242897</x:v>
      </x:c>
      <x:c r="F1007" s="52" t="n">
        <x:v>1920290</x:v>
      </x:c>
      <x:c r="G1007" s="54" t="n">
        <x:v>46220</x:v>
      </x:c>
      <x:c r="H1007" s="14" t="str">
        <x:f>IF(E1007&lt;0,"Componente negativo — manter e investigar","OK")</x:f>
        <x:v>OK</x:v>
      </x:c>
    </x:row>
    <x:row r="1008">
      <x:c r="A1008" s="51" t="n">
        <x:v>41244</x:v>
      </x:c>
      <x:c r="B1008" s="14" t="str">
        <x:v>Norte</x:v>
      </x:c>
      <x:c r="C1008" s="14" t="str">
        <x:v>SISTEMAS ISOLADOS</x:v>
      </x:c>
      <x:c r="D1008" s="53" t="str">
        <x:v>Cativo</x:v>
      </x:c>
      <x:c r="E1008" s="49" t="n">
        <x:v>239478</x:v>
      </x:c>
      <x:c r="F1008" s="52" t="n">
        <x:v>1104537</x:v>
      </x:c>
      <x:c r="G1008" s="54" t="n">
        <x:v>46220</x:v>
      </x:c>
      <x:c r="H1008" s="14" t="str">
        <x:f>IF(E1008&lt;0,"Componente negativo — manter e investigar","OK")</x:f>
        <x:v>OK</x:v>
      </x:c>
    </x:row>
    <x:row r="1009">
      <x:c r="A1009" s="51" t="n">
        <x:v>41244</x:v>
      </x:c>
      <x:c r="B1009" s="14" t="str">
        <x:v>Norte</x:v>
      </x:c>
      <x:c r="C1009" s="14" t="str">
        <x:v>SUDESTE / CENTRO - OESTE</x:v>
      </x:c>
      <x:c r="D1009" s="53" t="str">
        <x:v>Cativo</x:v>
      </x:c>
      <x:c r="E1009" s="49" t="n">
        <x:v>115257</x:v>
      </x:c>
      <x:c r="F1009" s="52" t="n">
        <x:v>487079</x:v>
      </x:c>
      <x:c r="G1009" s="54" t="n">
        <x:v>46220</x:v>
      </x:c>
      <x:c r="H1009" s="14" t="str">
        <x:f>IF(E1009&lt;0,"Componente negativo — manter e investigar","OK")</x:f>
        <x:v>OK</x:v>
      </x:c>
    </x:row>
    <x:row r="1010">
      <x:c r="A1010" s="51" t="n">
        <x:v>41244</x:v>
      </x:c>
      <x:c r="B1010" s="14" t="str">
        <x:v>Sudeste</x:v>
      </x:c>
      <x:c r="C1010" s="14" t="str">
        <x:v>SUDESTE / CENTRO - OESTE</x:v>
      </x:c>
      <x:c r="D1010" s="53" t="str">
        <x:v>Cativo</x:v>
      </x:c>
      <x:c r="E1010" s="49" t="n">
        <x:v>5223040</x:v>
      </x:c>
      <x:c r="F1010" s="52" t="n">
        <x:v>28546662</x:v>
      </x:c>
      <x:c r="G1010" s="54" t="n">
        <x:v>46220</x:v>
      </x:c>
      <x:c r="H1010" s="14" t="str">
        <x:f>IF(E1010&lt;0,"Componente negativo — manter e investigar","OK")</x:f>
        <x:v>OK</x:v>
      </x:c>
    </x:row>
    <x:row r="1011">
      <x:c r="A1011" s="51" t="n">
        <x:v>41244</x:v>
      </x:c>
      <x:c r="B1011" s="14" t="str">
        <x:v>Sul</x:v>
      </x:c>
      <x:c r="C1011" s="14" t="str">
        <x:v>SUL</x:v>
      </x:c>
      <x:c r="D1011" s="53" t="str">
        <x:v>Cativo</x:v>
      </x:c>
      <x:c r="E1011" s="49" t="n">
        <x:v>1628533.302</x:v>
      </x:c>
      <x:c r="F1011" s="52" t="n">
        <x:v>8727093</x:v>
      </x:c>
      <x:c r="G1011" s="54" t="n">
        <x:v>46220</x:v>
      </x:c>
      <x:c r="H1011" s="14" t="str">
        <x:f>IF(E1011&lt;0,"Componente negativo — manter e investigar","OK")</x:f>
        <x:v>OK</x:v>
      </x:c>
    </x:row>
    <x:row r="1012">
      <x:c r="A1012" s="51" t="n">
        <x:v>41275</x:v>
      </x:c>
      <x:c r="B1012" s="14" t="str">
        <x:v>Centro-Oeste</x:v>
      </x:c>
      <x:c r="C1012" s="14" t="str">
        <x:v>SISTEMAS ISOLADOS</x:v>
      </x:c>
      <x:c r="D1012" s="53" t="str">
        <x:v>Cativo</x:v>
      </x:c>
      <x:c r="E1012" s="49" t="n">
        <x:v>752</x:v>
      </x:c>
      <x:c r="F1012" s="52" t="n">
        <x:v>5619</x:v>
      </x:c>
      <x:c r="G1012" s="54" t="n">
        <x:v>46220</x:v>
      </x:c>
      <x:c r="H1012" s="14" t="str">
        <x:f>IF(E1012&lt;0,"Componente negativo — manter e investigar","OK")</x:f>
        <x:v>OK</x:v>
      </x:c>
    </x:row>
    <x:row r="1013">
      <x:c r="A1013" s="51" t="n">
        <x:v>41275</x:v>
      </x:c>
      <x:c r="B1013" s="14" t="str">
        <x:v>Centro-Oeste</x:v>
      </x:c>
      <x:c r="C1013" s="14" t="str">
        <x:v>SUDESTE / CENTRO - OESTE</x:v>
      </x:c>
      <x:c r="D1013" s="53" t="str">
        <x:v>Cativo</x:v>
      </x:c>
      <x:c r="E1013" s="49" t="n">
        <x:v>828029</x:v>
      </x:c>
      <x:c r="F1013" s="52" t="n">
        <x:v>4555215</x:v>
      </x:c>
      <x:c r="G1013" s="54" t="n">
        <x:v>46220</x:v>
      </x:c>
      <x:c r="H1013" s="14" t="str">
        <x:f>IF(E1013&lt;0,"Componente negativo — manter e investigar","OK")</x:f>
        <x:v>OK</x:v>
      </x:c>
    </x:row>
    <x:row r="1014">
      <x:c r="A1014" s="51" t="n">
        <x:v>41275</x:v>
      </x:c>
      <x:c r="B1014" s="14" t="str">
        <x:v>Nordeste</x:v>
      </x:c>
      <x:c r="C1014" s="14" t="str">
        <x:v>NORDESTE</x:v>
      </x:c>
      <x:c r="D1014" s="53" t="str">
        <x:v>Cativo</x:v>
      </x:c>
      <x:c r="E1014" s="49" t="n">
        <x:v>1798661</x:v>
      </x:c>
      <x:c r="F1014" s="52" t="n">
        <x:v>14590520</x:v>
      </x:c>
      <x:c r="G1014" s="54" t="n">
        <x:v>46220</x:v>
      </x:c>
      <x:c r="H1014" s="14" t="str">
        <x:f>IF(E1014&lt;0,"Componente negativo — manter e investigar","OK")</x:f>
        <x:v>OK</x:v>
      </x:c>
    </x:row>
    <x:row r="1015">
      <x:c r="A1015" s="51" t="n">
        <x:v>41275</x:v>
      </x:c>
      <x:c r="B1015" s="14" t="str">
        <x:v>Nordeste</x:v>
      </x:c>
      <x:c r="C1015" s="14" t="str">
        <x:v>NORTE INTERLIGADO</x:v>
      </x:c>
      <x:c r="D1015" s="53" t="str">
        <x:v>Cativo</x:v>
      </x:c>
      <x:c r="E1015" s="49" t="n">
        <x:v>203234</x:v>
      </x:c>
      <x:c r="F1015" s="52" t="n">
        <x:v>1825308</x:v>
      </x:c>
      <x:c r="G1015" s="54" t="n">
        <x:v>46220</x:v>
      </x:c>
      <x:c r="H1015" s="14" t="str">
        <x:f>IF(E1015&lt;0,"Componente negativo — manter e investigar","OK")</x:f>
        <x:v>OK</x:v>
      </x:c>
    </x:row>
    <x:row r="1016">
      <x:c r="A1016" s="51" t="n">
        <x:v>41275</x:v>
      </x:c>
      <x:c r="B1016" s="14" t="str">
        <x:v>Nordeste</x:v>
      </x:c>
      <x:c r="C1016" s="14" t="str">
        <x:v>SISTEMAS ISOLADOS</x:v>
      </x:c>
      <x:c r="D1016" s="53" t="str">
        <x:v>Cativo</x:v>
      </x:c>
      <x:c r="E1016" s="49" t="n">
        <x:v>286</x:v>
      </x:c>
      <x:c r="F1016" s="52" t="n">
        <x:v>511</x:v>
      </x:c>
      <x:c r="G1016" s="54" t="n">
        <x:v>46220</x:v>
      </x:c>
      <x:c r="H1016" s="14" t="str">
        <x:f>IF(E1016&lt;0,"Componente negativo — manter e investigar","OK")</x:f>
        <x:v>OK</x:v>
      </x:c>
    </x:row>
    <x:row r="1017">
      <x:c r="A1017" s="51" t="n">
        <x:v>41275</x:v>
      </x:c>
      <x:c r="B1017" s="14" t="str">
        <x:v>Norte</x:v>
      </x:c>
      <x:c r="C1017" s="14" t="str">
        <x:v>NORTE INTERLIGADO</x:v>
      </x:c>
      <x:c r="D1017" s="53" t="str">
        <x:v>Cativo</x:v>
      </x:c>
      <x:c r="E1017" s="49" t="n">
        <x:v>247094</x:v>
      </x:c>
      <x:c r="F1017" s="52" t="n">
        <x:v>1930946</x:v>
      </x:c>
      <x:c r="G1017" s="54" t="n">
        <x:v>46220</x:v>
      </x:c>
      <x:c r="H1017" s="14" t="str">
        <x:f>IF(E1017&lt;0,"Componente negativo — manter e investigar","OK")</x:f>
        <x:v>OK</x:v>
      </x:c>
    </x:row>
    <x:row r="1018">
      <x:c r="A1018" s="51" t="n">
        <x:v>41275</x:v>
      </x:c>
      <x:c r="B1018" s="14" t="str">
        <x:v>Norte</x:v>
      </x:c>
      <x:c r="C1018" s="14" t="str">
        <x:v>SISTEMAS ISOLADOS</x:v>
      </x:c>
      <x:c r="D1018" s="53" t="str">
        <x:v>Cativo</x:v>
      </x:c>
      <x:c r="E1018" s="49" t="n">
        <x:v>223876</x:v>
      </x:c>
      <x:c r="F1018" s="52" t="n">
        <x:v>1109071</x:v>
      </x:c>
      <x:c r="G1018" s="54" t="n">
        <x:v>46220</x:v>
      </x:c>
      <x:c r="H1018" s="14" t="str">
        <x:f>IF(E1018&lt;0,"Componente negativo — manter e investigar","OK")</x:f>
        <x:v>OK</x:v>
      </x:c>
    </x:row>
    <x:row r="1019">
      <x:c r="A1019" s="51" t="n">
        <x:v>41275</x:v>
      </x:c>
      <x:c r="B1019" s="14" t="str">
        <x:v>Norte</x:v>
      </x:c>
      <x:c r="C1019" s="14" t="str">
        <x:v>SUDESTE / CENTRO - OESTE</x:v>
      </x:c>
      <x:c r="D1019" s="53" t="str">
        <x:v>Cativo</x:v>
      </x:c>
      <x:c r="E1019" s="49" t="n">
        <x:v>106547</x:v>
      </x:c>
      <x:c r="F1019" s="52" t="n">
        <x:v>489597</x:v>
      </x:c>
      <x:c r="G1019" s="54" t="n">
        <x:v>46220</x:v>
      </x:c>
      <x:c r="H1019" s="14" t="str">
        <x:f>IF(E1019&lt;0,"Componente negativo — manter e investigar","OK")</x:f>
        <x:v>OK</x:v>
      </x:c>
    </x:row>
    <x:row r="1020">
      <x:c r="A1020" s="51" t="n">
        <x:v>41275</x:v>
      </x:c>
      <x:c r="B1020" s="14" t="str">
        <x:v>Sudeste</x:v>
      </x:c>
      <x:c r="C1020" s="14" t="str">
        <x:v>SUDESTE / CENTRO - OESTE</x:v>
      </x:c>
      <x:c r="D1020" s="53" t="str">
        <x:v>Cativo</x:v>
      </x:c>
      <x:c r="E1020" s="49" t="n">
        <x:v>5757901</x:v>
      </x:c>
      <x:c r="F1020" s="52" t="n">
        <x:v>28586034</x:v>
      </x:c>
      <x:c r="G1020" s="54" t="n">
        <x:v>46220</x:v>
      </x:c>
      <x:c r="H1020" s="14" t="str">
        <x:f>IF(E1020&lt;0,"Componente negativo — manter e investigar","OK")</x:f>
        <x:v>OK</x:v>
      </x:c>
    </x:row>
    <x:row r="1021">
      <x:c r="A1021" s="51" t="n">
        <x:v>41275</x:v>
      </x:c>
      <x:c r="B1021" s="14" t="str">
        <x:v>Sul</x:v>
      </x:c>
      <x:c r="C1021" s="14" t="str">
        <x:v>SUL</x:v>
      </x:c>
      <x:c r="D1021" s="53" t="str">
        <x:v>Cativo</x:v>
      </x:c>
      <x:c r="E1021" s="49" t="n">
        <x:v>1758505</x:v>
      </x:c>
      <x:c r="F1021" s="52" t="n">
        <x:v>8760994</x:v>
      </x:c>
      <x:c r="G1021" s="54" t="n">
        <x:v>46220</x:v>
      </x:c>
      <x:c r="H1021" s="14" t="str">
        <x:f>IF(E1021&lt;0,"Componente negativo — manter e investigar","OK")</x:f>
        <x:v>OK</x:v>
      </x:c>
    </x:row>
    <x:row r="1022">
      <x:c r="A1022" s="51" t="n">
        <x:v>41306</x:v>
      </x:c>
      <x:c r="B1022" s="14" t="str">
        <x:v>Centro-Oeste</x:v>
      </x:c>
      <x:c r="C1022" s="14" t="str">
        <x:v>SISTEMAS ISOLADOS</x:v>
      </x:c>
      <x:c r="D1022" s="53" t="str">
        <x:v>Cativo</x:v>
      </x:c>
      <x:c r="E1022" s="49" t="n">
        <x:v>671</x:v>
      </x:c>
      <x:c r="F1022" s="52" t="n">
        <x:v>5636</x:v>
      </x:c>
      <x:c r="G1022" s="54" t="n">
        <x:v>46220</x:v>
      </x:c>
      <x:c r="H1022" s="14" t="str">
        <x:f>IF(E1022&lt;0,"Componente negativo — manter e investigar","OK")</x:f>
        <x:v>OK</x:v>
      </x:c>
    </x:row>
    <x:row r="1023">
      <x:c r="A1023" s="51" t="n">
        <x:v>41306</x:v>
      </x:c>
      <x:c r="B1023" s="14" t="str">
        <x:v>Centro-Oeste</x:v>
      </x:c>
      <x:c r="C1023" s="14" t="str">
        <x:v>SUDESTE / CENTRO - OESTE</x:v>
      </x:c>
      <x:c r="D1023" s="53" t="str">
        <x:v>Cativo</x:v>
      </x:c>
      <x:c r="E1023" s="49" t="n">
        <x:v>795734</x:v>
      </x:c>
      <x:c r="F1023" s="52" t="n">
        <x:v>4565640</x:v>
      </x:c>
      <x:c r="G1023" s="54" t="n">
        <x:v>46220</x:v>
      </x:c>
      <x:c r="H1023" s="14" t="str">
        <x:f>IF(E1023&lt;0,"Componente negativo — manter e investigar","OK")</x:f>
        <x:v>OK</x:v>
      </x:c>
    </x:row>
    <x:row r="1024">
      <x:c r="A1024" s="51" t="n">
        <x:v>41306</x:v>
      </x:c>
      <x:c r="B1024" s="14" t="str">
        <x:v>Nordeste</x:v>
      </x:c>
      <x:c r="C1024" s="14" t="str">
        <x:v>NORDESTE</x:v>
      </x:c>
      <x:c r="D1024" s="53" t="str">
        <x:v>Cativo</x:v>
      </x:c>
      <x:c r="E1024" s="49" t="n">
        <x:v>1778737</x:v>
      </x:c>
      <x:c r="F1024" s="52" t="n">
        <x:v>14625839</x:v>
      </x:c>
      <x:c r="G1024" s="54" t="n">
        <x:v>46220</x:v>
      </x:c>
      <x:c r="H1024" s="14" t="str">
        <x:f>IF(E1024&lt;0,"Componente negativo — manter e investigar","OK")</x:f>
        <x:v>OK</x:v>
      </x:c>
    </x:row>
    <x:row r="1025">
      <x:c r="A1025" s="51" t="n">
        <x:v>41306</x:v>
      </x:c>
      <x:c r="B1025" s="14" t="str">
        <x:v>Nordeste</x:v>
      </x:c>
      <x:c r="C1025" s="14" t="str">
        <x:v>NORTE INTERLIGADO</x:v>
      </x:c>
      <x:c r="D1025" s="53" t="str">
        <x:v>Cativo</x:v>
      </x:c>
      <x:c r="E1025" s="49" t="n">
        <x:v>201304</x:v>
      </x:c>
      <x:c r="F1025" s="52" t="n">
        <x:v>1838680</x:v>
      </x:c>
      <x:c r="G1025" s="54" t="n">
        <x:v>46220</x:v>
      </x:c>
      <x:c r="H1025" s="14" t="str">
        <x:f>IF(E1025&lt;0,"Componente negativo — manter e investigar","OK")</x:f>
        <x:v>OK</x:v>
      </x:c>
    </x:row>
    <x:row r="1026">
      <x:c r="A1026" s="51" t="n">
        <x:v>41306</x:v>
      </x:c>
      <x:c r="B1026" s="14" t="str">
        <x:v>Nordeste</x:v>
      </x:c>
      <x:c r="C1026" s="14" t="str">
        <x:v>SISTEMAS ISOLADOS</x:v>
      </x:c>
      <x:c r="D1026" s="53" t="str">
        <x:v>Cativo</x:v>
      </x:c>
      <x:c r="E1026" s="49" t="n">
        <x:v>290</x:v>
      </x:c>
      <x:c r="F1026" s="52" t="n">
        <x:v>513</x:v>
      </x:c>
      <x:c r="G1026" s="54" t="n">
        <x:v>46220</x:v>
      </x:c>
      <x:c r="H1026" s="14" t="str">
        <x:f>IF(E1026&lt;0,"Componente negativo — manter e investigar","OK")</x:f>
        <x:v>OK</x:v>
      </x:c>
    </x:row>
    <x:row r="1027">
      <x:c r="A1027" s="51" t="n">
        <x:v>41306</x:v>
      </x:c>
      <x:c r="B1027" s="14" t="str">
        <x:v>Norte</x:v>
      </x:c>
      <x:c r="C1027" s="14" t="str">
        <x:v>NORTE INTERLIGADO</x:v>
      </x:c>
      <x:c r="D1027" s="53" t="str">
        <x:v>Cativo</x:v>
      </x:c>
      <x:c r="E1027" s="49" t="n">
        <x:v>236164</x:v>
      </x:c>
      <x:c r="F1027" s="52" t="n">
        <x:v>1937270</x:v>
      </x:c>
      <x:c r="G1027" s="54" t="n">
        <x:v>46220</x:v>
      </x:c>
      <x:c r="H1027" s="14" t="str">
        <x:f>IF(E1027&lt;0,"Componente negativo — manter e investigar","OK")</x:f>
        <x:v>OK</x:v>
      </x:c>
    </x:row>
    <x:row r="1028">
      <x:c r="A1028" s="51" t="n">
        <x:v>41306</x:v>
      </x:c>
      <x:c r="B1028" s="14" t="str">
        <x:v>Norte</x:v>
      </x:c>
      <x:c r="C1028" s="14" t="str">
        <x:v>SISTEMAS ISOLADOS</x:v>
      </x:c>
      <x:c r="D1028" s="53" t="str">
        <x:v>Cativo</x:v>
      </x:c>
      <x:c r="E1028" s="49" t="n">
        <x:v>222610</x:v>
      </x:c>
      <x:c r="F1028" s="52" t="n">
        <x:v>1115895</x:v>
      </x:c>
      <x:c r="G1028" s="54" t="n">
        <x:v>46220</x:v>
      </x:c>
      <x:c r="H1028" s="14" t="str">
        <x:f>IF(E1028&lt;0,"Componente negativo — manter e investigar","OK")</x:f>
        <x:v>OK</x:v>
      </x:c>
    </x:row>
    <x:row r="1029">
      <x:c r="A1029" s="51" t="n">
        <x:v>41306</x:v>
      </x:c>
      <x:c r="B1029" s="14" t="str">
        <x:v>Norte</x:v>
      </x:c>
      <x:c r="C1029" s="14" t="str">
        <x:v>SUDESTE / CENTRO - OESTE</x:v>
      </x:c>
      <x:c r="D1029" s="53" t="str">
        <x:v>Cativo</x:v>
      </x:c>
      <x:c r="E1029" s="49" t="n">
        <x:v>101392</x:v>
      </x:c>
      <x:c r="F1029" s="52" t="n">
        <x:v>490846</x:v>
      </x:c>
      <x:c r="G1029" s="54" t="n">
        <x:v>46220</x:v>
      </x:c>
      <x:c r="H1029" s="14" t="str">
        <x:f>IF(E1029&lt;0,"Componente negativo — manter e investigar","OK")</x:f>
        <x:v>OK</x:v>
      </x:c>
    </x:row>
    <x:row r="1030">
      <x:c r="A1030" s="51" t="n">
        <x:v>41306</x:v>
      </x:c>
      <x:c r="B1030" s="14" t="str">
        <x:v>Sudeste</x:v>
      </x:c>
      <x:c r="C1030" s="14" t="str">
        <x:v>SUDESTE / CENTRO - OESTE</x:v>
      </x:c>
      <x:c r="D1030" s="53" t="str">
        <x:v>Cativo</x:v>
      </x:c>
      <x:c r="E1030" s="49" t="n">
        <x:v>5425917</x:v>
      </x:c>
      <x:c r="F1030" s="52" t="n">
        <x:v>28712422</x:v>
      </x:c>
      <x:c r="G1030" s="54" t="n">
        <x:v>46220</x:v>
      </x:c>
      <x:c r="H1030" s="14" t="str">
        <x:f>IF(E1030&lt;0,"Componente negativo — manter e investigar","OK")</x:f>
        <x:v>OK</x:v>
      </x:c>
    </x:row>
    <x:row r="1031">
      <x:c r="A1031" s="51" t="n">
        <x:v>41306</x:v>
      </x:c>
      <x:c r="B1031" s="14" t="str">
        <x:v>Sul</x:v>
      </x:c>
      <x:c r="C1031" s="14" t="str">
        <x:v>SUL</x:v>
      </x:c>
      <x:c r="D1031" s="53" t="str">
        <x:v>Cativo</x:v>
      </x:c>
      <x:c r="E1031" s="49" t="n">
        <x:v>1711710</x:v>
      </x:c>
      <x:c r="F1031" s="52" t="n">
        <x:v>8780845</x:v>
      </x:c>
      <x:c r="G1031" s="54" t="n">
        <x:v>46220</x:v>
      </x:c>
      <x:c r="H1031" s="14" t="str">
        <x:f>IF(E1031&lt;0,"Componente negativo — manter e investigar","OK")</x:f>
        <x:v>OK</x:v>
      </x:c>
    </x:row>
    <x:row r="1032">
      <x:c r="A1032" s="51" t="n">
        <x:v>41334</x:v>
      </x:c>
      <x:c r="B1032" s="14" t="str">
        <x:v>Centro-Oeste</x:v>
      </x:c>
      <x:c r="C1032" s="14" t="str">
        <x:v>SISTEMAS ISOLADOS</x:v>
      </x:c>
      <x:c r="D1032" s="53" t="str">
        <x:v>Cativo</x:v>
      </x:c>
      <x:c r="E1032" s="49" t="n">
        <x:v>697</x:v>
      </x:c>
      <x:c r="F1032" s="52" t="n">
        <x:v>5624</x:v>
      </x:c>
      <x:c r="G1032" s="54" t="n">
        <x:v>46220</x:v>
      </x:c>
      <x:c r="H1032" s="14" t="str">
        <x:f>IF(E1032&lt;0,"Componente negativo — manter e investigar","OK")</x:f>
        <x:v>OK</x:v>
      </x:c>
    </x:row>
    <x:row r="1033">
      <x:c r="A1033" s="51" t="n">
        <x:v>41334</x:v>
      </x:c>
      <x:c r="B1033" s="14" t="str">
        <x:v>Centro-Oeste</x:v>
      </x:c>
      <x:c r="C1033" s="14" t="str">
        <x:v>SUDESTE / CENTRO - OESTE</x:v>
      </x:c>
      <x:c r="D1033" s="53" t="str">
        <x:v>Cativo</x:v>
      </x:c>
      <x:c r="E1033" s="49" t="n">
        <x:v>807195</x:v>
      </x:c>
      <x:c r="F1033" s="52" t="n">
        <x:v>4579175</x:v>
      </x:c>
      <x:c r="G1033" s="54" t="n">
        <x:v>46220</x:v>
      </x:c>
      <x:c r="H1033" s="14" t="str">
        <x:f>IF(E1033&lt;0,"Componente negativo — manter e investigar","OK")</x:f>
        <x:v>OK</x:v>
      </x:c>
    </x:row>
    <x:row r="1034">
      <x:c r="A1034" s="51" t="n">
        <x:v>41334</x:v>
      </x:c>
      <x:c r="B1034" s="14" t="str">
        <x:v>Nordeste</x:v>
      </x:c>
      <x:c r="C1034" s="14" t="str">
        <x:v>NORDESTE</x:v>
      </x:c>
      <x:c r="D1034" s="53" t="str">
        <x:v>Cativo</x:v>
      </x:c>
      <x:c r="E1034" s="49" t="n">
        <x:v>1797158</x:v>
      </x:c>
      <x:c r="F1034" s="52" t="n">
        <x:v>14673388</x:v>
      </x:c>
      <x:c r="G1034" s="54" t="n">
        <x:v>46220</x:v>
      </x:c>
      <x:c r="H1034" s="14" t="str">
        <x:f>IF(E1034&lt;0,"Componente negativo — manter e investigar","OK")</x:f>
        <x:v>OK</x:v>
      </x:c>
    </x:row>
    <x:row r="1035">
      <x:c r="A1035" s="51" t="n">
        <x:v>41334</x:v>
      </x:c>
      <x:c r="B1035" s="14" t="str">
        <x:v>Nordeste</x:v>
      </x:c>
      <x:c r="C1035" s="14" t="str">
        <x:v>NORTE INTERLIGADO</x:v>
      </x:c>
      <x:c r="D1035" s="53" t="str">
        <x:v>Cativo</x:v>
      </x:c>
      <x:c r="E1035" s="49" t="n">
        <x:v>203004</x:v>
      </x:c>
      <x:c r="F1035" s="52" t="n">
        <x:v>1844377</x:v>
      </x:c>
      <x:c r="G1035" s="54" t="n">
        <x:v>46220</x:v>
      </x:c>
      <x:c r="H1035" s="14" t="str">
        <x:f>IF(E1035&lt;0,"Componente negativo — manter e investigar","OK")</x:f>
        <x:v>OK</x:v>
      </x:c>
    </x:row>
    <x:row r="1036">
      <x:c r="A1036" s="51" t="n">
        <x:v>41334</x:v>
      </x:c>
      <x:c r="B1036" s="14" t="str">
        <x:v>Nordeste</x:v>
      </x:c>
      <x:c r="C1036" s="14" t="str">
        <x:v>SISTEMAS ISOLADOS</x:v>
      </x:c>
      <x:c r="D1036" s="53" t="str">
        <x:v>Cativo</x:v>
      </x:c>
      <x:c r="E1036" s="49" t="n">
        <x:v>284</x:v>
      </x:c>
      <x:c r="F1036" s="52" t="n">
        <x:v>513</x:v>
      </x:c>
      <x:c r="G1036" s="54" t="n">
        <x:v>46220</x:v>
      </x:c>
      <x:c r="H1036" s="14" t="str">
        <x:f>IF(E1036&lt;0,"Componente negativo — manter e investigar","OK")</x:f>
        <x:v>OK</x:v>
      </x:c>
    </x:row>
    <x:row r="1037">
      <x:c r="A1037" s="51" t="n">
        <x:v>41334</x:v>
      </x:c>
      <x:c r="B1037" s="14" t="str">
        <x:v>Norte</x:v>
      </x:c>
      <x:c r="C1037" s="14" t="str">
        <x:v>NORTE INTERLIGADO</x:v>
      </x:c>
      <x:c r="D1037" s="53" t="str">
        <x:v>Cativo</x:v>
      </x:c>
      <x:c r="E1037" s="49" t="n">
        <x:v>231419</x:v>
      </x:c>
      <x:c r="F1037" s="52" t="n">
        <x:v>1942452</x:v>
      </x:c>
      <x:c r="G1037" s="54" t="n">
        <x:v>46220</x:v>
      </x:c>
      <x:c r="H1037" s="14" t="str">
        <x:f>IF(E1037&lt;0,"Componente negativo — manter e investigar","OK")</x:f>
        <x:v>OK</x:v>
      </x:c>
    </x:row>
    <x:row r="1038">
      <x:c r="A1038" s="51" t="n">
        <x:v>41334</x:v>
      </x:c>
      <x:c r="B1038" s="14" t="str">
        <x:v>Norte</x:v>
      </x:c>
      <x:c r="C1038" s="14" t="str">
        <x:v>SISTEMAS ISOLADOS</x:v>
      </x:c>
      <x:c r="D1038" s="53" t="str">
        <x:v>Cativo</x:v>
      </x:c>
      <x:c r="E1038" s="49" t="n">
        <x:v>209149</x:v>
      </x:c>
      <x:c r="F1038" s="52" t="n">
        <x:v>1121230</x:v>
      </x:c>
      <x:c r="G1038" s="54" t="n">
        <x:v>46220</x:v>
      </x:c>
      <x:c r="H1038" s="14" t="str">
        <x:f>IF(E1038&lt;0,"Componente negativo — manter e investigar","OK")</x:f>
        <x:v>OK</x:v>
      </x:c>
    </x:row>
    <x:row r="1039">
      <x:c r="A1039" s="51" t="n">
        <x:v>41334</x:v>
      </x:c>
      <x:c r="B1039" s="14" t="str">
        <x:v>Norte</x:v>
      </x:c>
      <x:c r="C1039" s="14" t="str">
        <x:v>SUDESTE / CENTRO - OESTE</x:v>
      </x:c>
      <x:c r="D1039" s="53" t="str">
        <x:v>Cativo</x:v>
      </x:c>
      <x:c r="E1039" s="49" t="n">
        <x:v>102990</x:v>
      </x:c>
      <x:c r="F1039" s="52" t="n">
        <x:v>490950</x:v>
      </x:c>
      <x:c r="G1039" s="54" t="n">
        <x:v>46220</x:v>
      </x:c>
      <x:c r="H1039" s="14" t="str">
        <x:f>IF(E1039&lt;0,"Componente negativo — manter e investigar","OK")</x:f>
        <x:v>OK</x:v>
      </x:c>
    </x:row>
    <x:row r="1040">
      <x:c r="A1040" s="51" t="n">
        <x:v>41334</x:v>
      </x:c>
      <x:c r="B1040" s="14" t="str">
        <x:v>Sudeste</x:v>
      </x:c>
      <x:c r="C1040" s="14" t="str">
        <x:v>SUDESTE / CENTRO - OESTE</x:v>
      </x:c>
      <x:c r="D1040" s="53" t="str">
        <x:v>Cativo</x:v>
      </x:c>
      <x:c r="E1040" s="49" t="n">
        <x:v>5373723</x:v>
      </x:c>
      <x:c r="F1040" s="52" t="n">
        <x:v>28806065</x:v>
      </x:c>
      <x:c r="G1040" s="54" t="n">
        <x:v>46220</x:v>
      </x:c>
      <x:c r="H1040" s="14" t="str">
        <x:f>IF(E1040&lt;0,"Componente negativo — manter e investigar","OK")</x:f>
        <x:v>OK</x:v>
      </x:c>
    </x:row>
    <x:row r="1041">
      <x:c r="A1041" s="51" t="n">
        <x:v>41334</x:v>
      </x:c>
      <x:c r="B1041" s="14" t="str">
        <x:v>Sul</x:v>
      </x:c>
      <x:c r="C1041" s="14" t="str">
        <x:v>SUL</x:v>
      </x:c>
      <x:c r="D1041" s="53" t="str">
        <x:v>Cativo</x:v>
      </x:c>
      <x:c r="E1041" s="49" t="n">
        <x:v>1631377</x:v>
      </x:c>
      <x:c r="F1041" s="52" t="n">
        <x:v>8801425</x:v>
      </x:c>
      <x:c r="G1041" s="54" t="n">
        <x:v>46220</x:v>
      </x:c>
      <x:c r="H1041" s="14" t="str">
        <x:f>IF(E1041&lt;0,"Componente negativo — manter e investigar","OK")</x:f>
        <x:v>OK</x:v>
      </x:c>
    </x:row>
    <x:row r="1042">
      <x:c r="A1042" s="51" t="n">
        <x:v>41365</x:v>
      </x:c>
      <x:c r="B1042" s="14" t="str">
        <x:v>Centro-Oeste</x:v>
      </x:c>
      <x:c r="C1042" s="14" t="str">
        <x:v>SISTEMAS ISOLADOS</x:v>
      </x:c>
      <x:c r="D1042" s="53" t="str">
        <x:v>Cativo</x:v>
      </x:c>
      <x:c r="E1042" s="49" t="n">
        <x:v>729</x:v>
      </x:c>
      <x:c r="F1042" s="52" t="n">
        <x:v>5624</x:v>
      </x:c>
      <x:c r="G1042" s="54" t="n">
        <x:v>46220</x:v>
      </x:c>
      <x:c r="H1042" s="14" t="str">
        <x:f>IF(E1042&lt;0,"Componente negativo — manter e investigar","OK")</x:f>
        <x:v>OK</x:v>
      </x:c>
    </x:row>
    <x:row r="1043">
      <x:c r="A1043" s="51" t="n">
        <x:v>41365</x:v>
      </x:c>
      <x:c r="B1043" s="14" t="str">
        <x:v>Centro-Oeste</x:v>
      </x:c>
      <x:c r="C1043" s="14" t="str">
        <x:v>SUDESTE / CENTRO - OESTE</x:v>
      </x:c>
      <x:c r="D1043" s="53" t="str">
        <x:v>Cativo</x:v>
      </x:c>
      <x:c r="E1043" s="49" t="n">
        <x:v>782290</x:v>
      </x:c>
      <x:c r="F1043" s="52" t="n">
        <x:v>4591126</x:v>
      </x:c>
      <x:c r="G1043" s="54" t="n">
        <x:v>46220</x:v>
      </x:c>
      <x:c r="H1043" s="14" t="str">
        <x:f>IF(E1043&lt;0,"Componente negativo — manter e investigar","OK")</x:f>
        <x:v>OK</x:v>
      </x:c>
    </x:row>
    <x:row r="1044">
      <x:c r="A1044" s="51" t="n">
        <x:v>41365</x:v>
      </x:c>
      <x:c r="B1044" s="14" t="str">
        <x:v>Nordeste</x:v>
      </x:c>
      <x:c r="C1044" s="14" t="str">
        <x:v>NORDESTE</x:v>
      </x:c>
      <x:c r="D1044" s="53" t="str">
        <x:v>Cativo</x:v>
      </x:c>
      <x:c r="E1044" s="49" t="n">
        <x:v>1889046</x:v>
      </x:c>
      <x:c r="F1044" s="52" t="n">
        <x:v>14710749</x:v>
      </x:c>
      <x:c r="G1044" s="54" t="n">
        <x:v>46220</x:v>
      </x:c>
      <x:c r="H1044" s="14" t="str">
        <x:f>IF(E1044&lt;0,"Componente negativo — manter e investigar","OK")</x:f>
        <x:v>OK</x:v>
      </x:c>
    </x:row>
    <x:row r="1045">
      <x:c r="A1045" s="51" t="n">
        <x:v>41365</x:v>
      </x:c>
      <x:c r="B1045" s="14" t="str">
        <x:v>Nordeste</x:v>
      </x:c>
      <x:c r="C1045" s="14" t="str">
        <x:v>NORTE INTERLIGADO</x:v>
      </x:c>
      <x:c r="D1045" s="53" t="str">
        <x:v>Cativo</x:v>
      </x:c>
      <x:c r="E1045" s="49" t="n">
        <x:v>194028</x:v>
      </x:c>
      <x:c r="F1045" s="52" t="n">
        <x:v>1850859</x:v>
      </x:c>
      <x:c r="G1045" s="54" t="n">
        <x:v>46220</x:v>
      </x:c>
      <x:c r="H1045" s="14" t="str">
        <x:f>IF(E1045&lt;0,"Componente negativo — manter e investigar","OK")</x:f>
        <x:v>OK</x:v>
      </x:c>
    </x:row>
    <x:row r="1046">
      <x:c r="A1046" s="51" t="n">
        <x:v>41365</x:v>
      </x:c>
      <x:c r="B1046" s="14" t="str">
        <x:v>Nordeste</x:v>
      </x:c>
      <x:c r="C1046" s="14" t="str">
        <x:v>SISTEMAS ISOLADOS</x:v>
      </x:c>
      <x:c r="D1046" s="53" t="str">
        <x:v>Cativo</x:v>
      </x:c>
      <x:c r="E1046" s="49" t="n">
        <x:v>290</x:v>
      </x:c>
      <x:c r="F1046" s="52" t="n">
        <x:v>517</x:v>
      </x:c>
      <x:c r="G1046" s="54" t="n">
        <x:v>46220</x:v>
      </x:c>
      <x:c r="H1046" s="14" t="str">
        <x:f>IF(E1046&lt;0,"Componente negativo — manter e investigar","OK")</x:f>
        <x:v>OK</x:v>
      </x:c>
    </x:row>
    <x:row r="1047">
      <x:c r="A1047" s="51" t="n">
        <x:v>41365</x:v>
      </x:c>
      <x:c r="B1047" s="14" t="str">
        <x:v>Norte</x:v>
      </x:c>
      <x:c r="C1047" s="14" t="str">
        <x:v>NORTE INTERLIGADO</x:v>
      </x:c>
      <x:c r="D1047" s="53" t="str">
        <x:v>Cativo</x:v>
      </x:c>
      <x:c r="E1047" s="49" t="n">
        <x:v>250158</x:v>
      </x:c>
      <x:c r="F1047" s="52" t="n">
        <x:v>1948918</x:v>
      </x:c>
      <x:c r="G1047" s="54" t="n">
        <x:v>46220</x:v>
      </x:c>
      <x:c r="H1047" s="14" t="str">
        <x:f>IF(E1047&lt;0,"Componente negativo — manter e investigar","OK")</x:f>
        <x:v>OK</x:v>
      </x:c>
    </x:row>
    <x:row r="1048">
      <x:c r="A1048" s="51" t="n">
        <x:v>41365</x:v>
      </x:c>
      <x:c r="B1048" s="14" t="str">
        <x:v>Norte</x:v>
      </x:c>
      <x:c r="C1048" s="14" t="str">
        <x:v>SISTEMAS ISOLADOS</x:v>
      </x:c>
      <x:c r="D1048" s="53" t="str">
        <x:v>Cativo</x:v>
      </x:c>
      <x:c r="E1048" s="49" t="n">
        <x:v>233264</x:v>
      </x:c>
      <x:c r="F1048" s="52" t="n">
        <x:v>1128607</x:v>
      </x:c>
      <x:c r="G1048" s="54" t="n">
        <x:v>46220</x:v>
      </x:c>
      <x:c r="H1048" s="14" t="str">
        <x:f>IF(E1048&lt;0,"Componente negativo — manter e investigar","OK")</x:f>
        <x:v>OK</x:v>
      </x:c>
    </x:row>
    <x:row r="1049">
      <x:c r="A1049" s="51" t="n">
        <x:v>41365</x:v>
      </x:c>
      <x:c r="B1049" s="14" t="str">
        <x:v>Norte</x:v>
      </x:c>
      <x:c r="C1049" s="14" t="str">
        <x:v>SUDESTE / CENTRO - OESTE</x:v>
      </x:c>
      <x:c r="D1049" s="53" t="str">
        <x:v>Cativo</x:v>
      </x:c>
      <x:c r="E1049" s="49" t="n">
        <x:v>108573</x:v>
      </x:c>
      <x:c r="F1049" s="52" t="n">
        <x:v>495037</x:v>
      </x:c>
      <x:c r="G1049" s="54" t="n">
        <x:v>46220</x:v>
      </x:c>
      <x:c r="H1049" s="14" t="str">
        <x:f>IF(E1049&lt;0,"Componente negativo — manter e investigar","OK")</x:f>
        <x:v>OK</x:v>
      </x:c>
    </x:row>
    <x:row r="1050">
      <x:c r="A1050" s="51" t="n">
        <x:v>41365</x:v>
      </x:c>
      <x:c r="B1050" s="14" t="str">
        <x:v>Sudeste</x:v>
      </x:c>
      <x:c r="C1050" s="14" t="str">
        <x:v>SUDESTE / CENTRO - OESTE</x:v>
      </x:c>
      <x:c r="D1050" s="53" t="str">
        <x:v>Cativo</x:v>
      </x:c>
      <x:c r="E1050" s="49" t="n">
        <x:v>5329736</x:v>
      </x:c>
      <x:c r="F1050" s="52" t="n">
        <x:v>28840432</x:v>
      </x:c>
      <x:c r="G1050" s="54" t="n">
        <x:v>46220</x:v>
      </x:c>
      <x:c r="H1050" s="14" t="str">
        <x:f>IF(E1050&lt;0,"Componente negativo — manter e investigar","OK")</x:f>
        <x:v>OK</x:v>
      </x:c>
    </x:row>
    <x:row r="1051">
      <x:c r="A1051" s="51" t="n">
        <x:v>41365</x:v>
      </x:c>
      <x:c r="B1051" s="14" t="str">
        <x:v>Sul</x:v>
      </x:c>
      <x:c r="C1051" s="14" t="str">
        <x:v>SUL</x:v>
      </x:c>
      <x:c r="D1051" s="53" t="str">
        <x:v>Cativo</x:v>
      </x:c>
      <x:c r="E1051" s="49" t="n">
        <x:v>1513471</x:v>
      </x:c>
      <x:c r="F1051" s="52" t="n">
        <x:v>8829058</x:v>
      </x:c>
      <x:c r="G1051" s="54" t="n">
        <x:v>46220</x:v>
      </x:c>
      <x:c r="H1051" s="14" t="str">
        <x:f>IF(E1051&lt;0,"Componente negativo — manter e investigar","OK")</x:f>
        <x:v>OK</x:v>
      </x:c>
    </x:row>
    <x:row r="1052">
      <x:c r="A1052" s="51" t="n">
        <x:v>41395</x:v>
      </x:c>
      <x:c r="B1052" s="14" t="str">
        <x:v>Centro-Oeste</x:v>
      </x:c>
      <x:c r="C1052" s="14" t="str">
        <x:v>SISTEMAS ISOLADOS</x:v>
      </x:c>
      <x:c r="D1052" s="53" t="str">
        <x:v>Cativo</x:v>
      </x:c>
      <x:c r="E1052" s="49" t="n">
        <x:v>721</x:v>
      </x:c>
      <x:c r="F1052" s="52" t="n">
        <x:v>5586</x:v>
      </x:c>
      <x:c r="G1052" s="54" t="n">
        <x:v>46220</x:v>
      </x:c>
      <x:c r="H1052" s="14" t="str">
        <x:f>IF(E1052&lt;0,"Componente negativo — manter e investigar","OK")</x:f>
        <x:v>OK</x:v>
      </x:c>
    </x:row>
    <x:row r="1053">
      <x:c r="A1053" s="51" t="n">
        <x:v>41395</x:v>
      </x:c>
      <x:c r="B1053" s="14" t="str">
        <x:v>Centro-Oeste</x:v>
      </x:c>
      <x:c r="C1053" s="14" t="str">
        <x:v>SUDESTE / CENTRO - OESTE</x:v>
      </x:c>
      <x:c r="D1053" s="53" t="str">
        <x:v>Cativo</x:v>
      </x:c>
      <x:c r="E1053" s="49" t="n">
        <x:v>815415</x:v>
      </x:c>
      <x:c r="F1053" s="52" t="n">
        <x:v>4610146</x:v>
      </x:c>
      <x:c r="G1053" s="54" t="n">
        <x:v>46220</x:v>
      </x:c>
      <x:c r="H1053" s="14" t="str">
        <x:f>IF(E1053&lt;0,"Componente negativo — manter e investigar","OK")</x:f>
        <x:v>OK</x:v>
      </x:c>
    </x:row>
    <x:row r="1054">
      <x:c r="A1054" s="51" t="n">
        <x:v>41395</x:v>
      </x:c>
      <x:c r="B1054" s="14" t="str">
        <x:v>Nordeste</x:v>
      </x:c>
      <x:c r="C1054" s="14" t="str">
        <x:v>NORDESTE</x:v>
      </x:c>
      <x:c r="D1054" s="53" t="str">
        <x:v>Cativo</x:v>
      </x:c>
      <x:c r="E1054" s="49" t="n">
        <x:v>1791595</x:v>
      </x:c>
      <x:c r="F1054" s="52" t="n">
        <x:v>14753931</x:v>
      </x:c>
      <x:c r="G1054" s="54" t="n">
        <x:v>46220</x:v>
      </x:c>
      <x:c r="H1054" s="14" t="str">
        <x:f>IF(E1054&lt;0,"Componente negativo — manter e investigar","OK")</x:f>
        <x:v>OK</x:v>
      </x:c>
    </x:row>
    <x:row r="1055">
      <x:c r="A1055" s="51" t="n">
        <x:v>41395</x:v>
      </x:c>
      <x:c r="B1055" s="14" t="str">
        <x:v>Nordeste</x:v>
      </x:c>
      <x:c r="C1055" s="14" t="str">
        <x:v>NORTE INTERLIGADO</x:v>
      </x:c>
      <x:c r="D1055" s="53" t="str">
        <x:v>Cativo</x:v>
      </x:c>
      <x:c r="E1055" s="49" t="n">
        <x:v>203137</x:v>
      </x:c>
      <x:c r="F1055" s="52" t="n">
        <x:v>1855363</x:v>
      </x:c>
      <x:c r="G1055" s="54" t="n">
        <x:v>46220</x:v>
      </x:c>
      <x:c r="H1055" s="14" t="str">
        <x:f>IF(E1055&lt;0,"Componente negativo — manter e investigar","OK")</x:f>
        <x:v>OK</x:v>
      </x:c>
    </x:row>
    <x:row r="1056">
      <x:c r="A1056" s="51" t="n">
        <x:v>41395</x:v>
      </x:c>
      <x:c r="B1056" s="14" t="str">
        <x:v>Nordeste</x:v>
      </x:c>
      <x:c r="C1056" s="14" t="str">
        <x:v>SISTEMAS ISOLADOS</x:v>
      </x:c>
      <x:c r="D1056" s="53" t="str">
        <x:v>Cativo</x:v>
      </x:c>
      <x:c r="E1056" s="49" t="n">
        <x:v>291</x:v>
      </x:c>
      <x:c r="F1056" s="52" t="n">
        <x:v>518</x:v>
      </x:c>
      <x:c r="G1056" s="54" t="n">
        <x:v>46220</x:v>
      </x:c>
      <x:c r="H1056" s="14" t="str">
        <x:f>IF(E1056&lt;0,"Componente negativo — manter e investigar","OK")</x:f>
        <x:v>OK</x:v>
      </x:c>
    </x:row>
    <x:row r="1057">
      <x:c r="A1057" s="51" t="n">
        <x:v>41395</x:v>
      </x:c>
      <x:c r="B1057" s="14" t="str">
        <x:v>Norte</x:v>
      </x:c>
      <x:c r="C1057" s="14" t="str">
        <x:v>NORTE INTERLIGADO</x:v>
      </x:c>
      <x:c r="D1057" s="53" t="str">
        <x:v>Cativo</x:v>
      </x:c>
      <x:c r="E1057" s="49" t="n">
        <x:v>255865</x:v>
      </x:c>
      <x:c r="F1057" s="52" t="n">
        <x:v>1954554</x:v>
      </x:c>
      <x:c r="G1057" s="54" t="n">
        <x:v>46220</x:v>
      </x:c>
      <x:c r="H1057" s="14" t="str">
        <x:f>IF(E1057&lt;0,"Componente negativo — manter e investigar","OK")</x:f>
        <x:v>OK</x:v>
      </x:c>
    </x:row>
    <x:row r="1058">
      <x:c r="A1058" s="51" t="n">
        <x:v>41395</x:v>
      </x:c>
      <x:c r="B1058" s="14" t="str">
        <x:v>Norte</x:v>
      </x:c>
      <x:c r="C1058" s="14" t="str">
        <x:v>SISTEMAS ISOLADOS</x:v>
      </x:c>
      <x:c r="D1058" s="53" t="str">
        <x:v>Cativo</x:v>
      </x:c>
      <x:c r="E1058" s="49" t="n">
        <x:v>229944</x:v>
      </x:c>
      <x:c r="F1058" s="52" t="n">
        <x:v>1134593</x:v>
      </x:c>
      <x:c r="G1058" s="54" t="n">
        <x:v>46220</x:v>
      </x:c>
      <x:c r="H1058" s="14" t="str">
        <x:f>IF(E1058&lt;0,"Componente negativo — manter e investigar","OK")</x:f>
        <x:v>OK</x:v>
      </x:c>
    </x:row>
    <x:row r="1059">
      <x:c r="A1059" s="51" t="n">
        <x:v>41395</x:v>
      </x:c>
      <x:c r="B1059" s="14" t="str">
        <x:v>Norte</x:v>
      </x:c>
      <x:c r="C1059" s="14" t="str">
        <x:v>SUDESTE / CENTRO - OESTE</x:v>
      </x:c>
      <x:c r="D1059" s="53" t="str">
        <x:v>Cativo</x:v>
      </x:c>
      <x:c r="E1059" s="49" t="n">
        <x:v>110043</x:v>
      </x:c>
      <x:c r="F1059" s="52" t="n">
        <x:v>497337</x:v>
      </x:c>
      <x:c r="G1059" s="54" t="n">
        <x:v>46220</x:v>
      </x:c>
      <x:c r="H1059" s="14" t="str">
        <x:f>IF(E1059&lt;0,"Componente negativo — manter e investigar","OK")</x:f>
        <x:v>OK</x:v>
      </x:c>
    </x:row>
    <x:row r="1060">
      <x:c r="A1060" s="51" t="n">
        <x:v>41395</x:v>
      </x:c>
      <x:c r="B1060" s="14" t="str">
        <x:v>Sudeste</x:v>
      </x:c>
      <x:c r="C1060" s="14" t="str">
        <x:v>SUDESTE / CENTRO - OESTE</x:v>
      </x:c>
      <x:c r="D1060" s="53" t="str">
        <x:v>Cativo</x:v>
      </x:c>
      <x:c r="E1060" s="49" t="n">
        <x:v>5269471</x:v>
      </x:c>
      <x:c r="F1060" s="52" t="n">
        <x:v>28927394</x:v>
      </x:c>
      <x:c r="G1060" s="54" t="n">
        <x:v>46220</x:v>
      </x:c>
      <x:c r="H1060" s="14" t="str">
        <x:f>IF(E1060&lt;0,"Componente negativo — manter e investigar","OK")</x:f>
        <x:v>OK</x:v>
      </x:c>
    </x:row>
    <x:row r="1061">
      <x:c r="A1061" s="51" t="n">
        <x:v>41395</x:v>
      </x:c>
      <x:c r="B1061" s="14" t="str">
        <x:v>Sul</x:v>
      </x:c>
      <x:c r="C1061" s="14" t="str">
        <x:v>SUL</x:v>
      </x:c>
      <x:c r="D1061" s="53" t="str">
        <x:v>Cativo</x:v>
      </x:c>
      <x:c r="E1061" s="49" t="n">
        <x:v>1565432</x:v>
      </x:c>
      <x:c r="F1061" s="52" t="n">
        <x:v>8848498</x:v>
      </x:c>
      <x:c r="G1061" s="54" t="n">
        <x:v>46220</x:v>
      </x:c>
      <x:c r="H1061" s="14" t="str">
        <x:f>IF(E1061&lt;0,"Componente negativo — manter e investigar","OK")</x:f>
        <x:v>OK</x:v>
      </x:c>
    </x:row>
    <x:row r="1062">
      <x:c r="A1062" s="51" t="n">
        <x:v>41426</x:v>
      </x:c>
      <x:c r="B1062" s="14" t="str">
        <x:v>Centro-Oeste</x:v>
      </x:c>
      <x:c r="C1062" s="14" t="str">
        <x:v>SISTEMAS ISOLADOS</x:v>
      </x:c>
      <x:c r="D1062" s="53" t="str">
        <x:v>Cativo</x:v>
      </x:c>
      <x:c r="E1062" s="49" t="n">
        <x:v>732</x:v>
      </x:c>
      <x:c r="F1062" s="52" t="n">
        <x:v>5587</x:v>
      </x:c>
      <x:c r="G1062" s="54" t="n">
        <x:v>46220</x:v>
      </x:c>
      <x:c r="H1062" s="14" t="str">
        <x:f>IF(E1062&lt;0,"Componente negativo — manter e investigar","OK")</x:f>
        <x:v>OK</x:v>
      </x:c>
    </x:row>
    <x:row r="1063">
      <x:c r="A1063" s="51" t="n">
        <x:v>41426</x:v>
      </x:c>
      <x:c r="B1063" s="14" t="str">
        <x:v>Centro-Oeste</x:v>
      </x:c>
      <x:c r="C1063" s="14" t="str">
        <x:v>SUDESTE / CENTRO - OESTE</x:v>
      </x:c>
      <x:c r="D1063" s="53" t="str">
        <x:v>Cativo</x:v>
      </x:c>
      <x:c r="E1063" s="49" t="n">
        <x:v>797179</x:v>
      </x:c>
      <x:c r="F1063" s="52" t="n">
        <x:v>4630067</x:v>
      </x:c>
      <x:c r="G1063" s="54" t="n">
        <x:v>46220</x:v>
      </x:c>
      <x:c r="H1063" s="14" t="str">
        <x:f>IF(E1063&lt;0,"Componente negativo — manter e investigar","OK")</x:f>
        <x:v>OK</x:v>
      </x:c>
    </x:row>
    <x:row r="1064">
      <x:c r="A1064" s="51" t="n">
        <x:v>41426</x:v>
      </x:c>
      <x:c r="B1064" s="14" t="str">
        <x:v>Nordeste</x:v>
      </x:c>
      <x:c r="C1064" s="14" t="str">
        <x:v>NORDESTE</x:v>
      </x:c>
      <x:c r="D1064" s="53" t="str">
        <x:v>Cativo</x:v>
      </x:c>
      <x:c r="E1064" s="49" t="n">
        <x:v>1687327</x:v>
      </x:c>
      <x:c r="F1064" s="52" t="n">
        <x:v>14797104</x:v>
      </x:c>
      <x:c r="G1064" s="54" t="n">
        <x:v>46220</x:v>
      </x:c>
      <x:c r="H1064" s="14" t="str">
        <x:f>IF(E1064&lt;0,"Componente negativo — manter e investigar","OK")</x:f>
        <x:v>OK</x:v>
      </x:c>
    </x:row>
    <x:row r="1065">
      <x:c r="A1065" s="51" t="n">
        <x:v>41426</x:v>
      </x:c>
      <x:c r="B1065" s="14" t="str">
        <x:v>Nordeste</x:v>
      </x:c>
      <x:c r="C1065" s="14" t="str">
        <x:v>NORTE INTERLIGADO</x:v>
      </x:c>
      <x:c r="D1065" s="53" t="str">
        <x:v>Cativo</x:v>
      </x:c>
      <x:c r="E1065" s="49" t="n">
        <x:v>209818</x:v>
      </x:c>
      <x:c r="F1065" s="52" t="n">
        <x:v>1860156</x:v>
      </x:c>
      <x:c r="G1065" s="54" t="n">
        <x:v>46220</x:v>
      </x:c>
      <x:c r="H1065" s="14" t="str">
        <x:f>IF(E1065&lt;0,"Componente negativo — manter e investigar","OK")</x:f>
        <x:v>OK</x:v>
      </x:c>
    </x:row>
    <x:row r="1066">
      <x:c r="A1066" s="51" t="n">
        <x:v>41426</x:v>
      </x:c>
      <x:c r="B1066" s="14" t="str">
        <x:v>Nordeste</x:v>
      </x:c>
      <x:c r="C1066" s="14" t="str">
        <x:v>SISTEMAS ISOLADOS</x:v>
      </x:c>
      <x:c r="D1066" s="53" t="str">
        <x:v>Cativo</x:v>
      </x:c>
      <x:c r="E1066" s="49" t="n">
        <x:v>285</x:v>
      </x:c>
      <x:c r="F1066" s="52" t="n">
        <x:v>518</x:v>
      </x:c>
      <x:c r="G1066" s="54" t="n">
        <x:v>46220</x:v>
      </x:c>
      <x:c r="H1066" s="14" t="str">
        <x:f>IF(E1066&lt;0,"Componente negativo — manter e investigar","OK")</x:f>
        <x:v>OK</x:v>
      </x:c>
    </x:row>
    <x:row r="1067">
      <x:c r="A1067" s="51" t="n">
        <x:v>41426</x:v>
      </x:c>
      <x:c r="B1067" s="14" t="str">
        <x:v>Norte</x:v>
      </x:c>
      <x:c r="C1067" s="14" t="str">
        <x:v>NORTE INTERLIGADO</x:v>
      </x:c>
      <x:c r="D1067" s="53" t="str">
        <x:v>Cativo</x:v>
      </x:c>
      <x:c r="E1067" s="49" t="n">
        <x:v>262166</x:v>
      </x:c>
      <x:c r="F1067" s="52" t="n">
        <x:v>1959072</x:v>
      </x:c>
      <x:c r="G1067" s="54" t="n">
        <x:v>46220</x:v>
      </x:c>
      <x:c r="H1067" s="14" t="str">
        <x:f>IF(E1067&lt;0,"Componente negativo — manter e investigar","OK")</x:f>
        <x:v>OK</x:v>
      </x:c>
    </x:row>
    <x:row r="1068">
      <x:c r="A1068" s="51" t="n">
        <x:v>41426</x:v>
      </x:c>
      <x:c r="B1068" s="14" t="str">
        <x:v>Norte</x:v>
      </x:c>
      <x:c r="C1068" s="14" t="str">
        <x:v>SISTEMAS ISOLADOS</x:v>
      </x:c>
      <x:c r="D1068" s="53" t="str">
        <x:v>Cativo</x:v>
      </x:c>
      <x:c r="E1068" s="49" t="n">
        <x:v>243957</x:v>
      </x:c>
      <x:c r="F1068" s="52" t="n">
        <x:v>1140517</x:v>
      </x:c>
      <x:c r="G1068" s="54" t="n">
        <x:v>46220</x:v>
      </x:c>
      <x:c r="H1068" s="14" t="str">
        <x:f>IF(E1068&lt;0,"Componente negativo — manter e investigar","OK")</x:f>
        <x:v>OK</x:v>
      </x:c>
    </x:row>
    <x:row r="1069">
      <x:c r="A1069" s="51" t="n">
        <x:v>41426</x:v>
      </x:c>
      <x:c r="B1069" s="14" t="str">
        <x:v>Norte</x:v>
      </x:c>
      <x:c r="C1069" s="14" t="str">
        <x:v>SUDESTE / CENTRO - OESTE</x:v>
      </x:c>
      <x:c r="D1069" s="53" t="str">
        <x:v>Cativo</x:v>
      </x:c>
      <x:c r="E1069" s="49" t="n">
        <x:v>110659</x:v>
      </x:c>
      <x:c r="F1069" s="52" t="n">
        <x:v>498531</x:v>
      </x:c>
      <x:c r="G1069" s="54" t="n">
        <x:v>46220</x:v>
      </x:c>
      <x:c r="H1069" s="14" t="str">
        <x:f>IF(E1069&lt;0,"Componente negativo — manter e investigar","OK")</x:f>
        <x:v>OK</x:v>
      </x:c>
    </x:row>
    <x:row r="1070">
      <x:c r="A1070" s="51" t="n">
        <x:v>41426</x:v>
      </x:c>
      <x:c r="B1070" s="14" t="str">
        <x:v>Sudeste</x:v>
      </x:c>
      <x:c r="C1070" s="14" t="str">
        <x:v>SUDESTE / CENTRO - OESTE</x:v>
      </x:c>
      <x:c r="D1070" s="53" t="str">
        <x:v>Cativo</x:v>
      </x:c>
      <x:c r="E1070" s="49" t="n">
        <x:v>5185998</x:v>
      </x:c>
      <x:c r="F1070" s="52" t="n">
        <x:v>29024728</x:v>
      </x:c>
      <x:c r="G1070" s="54" t="n">
        <x:v>46220</x:v>
      </x:c>
      <x:c r="H1070" s="14" t="str">
        <x:f>IF(E1070&lt;0,"Componente negativo — manter e investigar","OK")</x:f>
        <x:v>OK</x:v>
      </x:c>
    </x:row>
    <x:row r="1071">
      <x:c r="A1071" s="51" t="n">
        <x:v>41426</x:v>
      </x:c>
      <x:c r="B1071" s="14" t="str">
        <x:v>Sul</x:v>
      </x:c>
      <x:c r="C1071" s="14" t="str">
        <x:v>SUL</x:v>
      </x:c>
      <x:c r="D1071" s="53" t="str">
        <x:v>Cativo</x:v>
      </x:c>
      <x:c r="E1071" s="49" t="n">
        <x:v>1594070</x:v>
      </x:c>
      <x:c r="F1071" s="52" t="n">
        <x:v>8869937</x:v>
      </x:c>
      <x:c r="G1071" s="54" t="n">
        <x:v>46220</x:v>
      </x:c>
      <x:c r="H1071" s="14" t="str">
        <x:f>IF(E1071&lt;0,"Componente negativo — manter e investigar","OK")</x:f>
        <x:v>OK</x:v>
      </x:c>
    </x:row>
    <x:row r="1072">
      <x:c r="A1072" s="51" t="n">
        <x:v>41456</x:v>
      </x:c>
      <x:c r="B1072" s="14" t="str">
        <x:v>Centro-Oeste</x:v>
      </x:c>
      <x:c r="C1072" s="14" t="str">
        <x:v>SISTEMAS ISOLADOS</x:v>
      </x:c>
      <x:c r="D1072" s="53" t="str">
        <x:v>Cativo</x:v>
      </x:c>
      <x:c r="E1072" s="49" t="n">
        <x:v>747</x:v>
      </x:c>
      <x:c r="F1072" s="52" t="n">
        <x:v>5570</x:v>
      </x:c>
      <x:c r="G1072" s="54" t="n">
        <x:v>46220</x:v>
      </x:c>
      <x:c r="H1072" s="14" t="str">
        <x:f>IF(E1072&lt;0,"Componente negativo — manter e investigar","OK")</x:f>
        <x:v>OK</x:v>
      </x:c>
    </x:row>
    <x:row r="1073">
      <x:c r="A1073" s="51" t="n">
        <x:v>41456</x:v>
      </x:c>
      <x:c r="B1073" s="14" t="str">
        <x:v>Centro-Oeste</x:v>
      </x:c>
      <x:c r="C1073" s="14" t="str">
        <x:v>SUDESTE / CENTRO - OESTE</x:v>
      </x:c>
      <x:c r="D1073" s="53" t="str">
        <x:v>Cativo</x:v>
      </x:c>
      <x:c r="E1073" s="49" t="n">
        <x:v>771917</x:v>
      </x:c>
      <x:c r="F1073" s="52" t="n">
        <x:v>4649999</x:v>
      </x:c>
      <x:c r="G1073" s="54" t="n">
        <x:v>46220</x:v>
      </x:c>
      <x:c r="H1073" s="14" t="str">
        <x:f>IF(E1073&lt;0,"Componente negativo — manter e investigar","OK")</x:f>
        <x:v>OK</x:v>
      </x:c>
    </x:row>
    <x:row r="1074">
      <x:c r="A1074" s="51" t="n">
        <x:v>41456</x:v>
      </x:c>
      <x:c r="B1074" s="14" t="str">
        <x:v>Nordeste</x:v>
      </x:c>
      <x:c r="C1074" s="14" t="str">
        <x:v>NORDESTE</x:v>
      </x:c>
      <x:c r="D1074" s="53" t="str">
        <x:v>Cativo</x:v>
      </x:c>
      <x:c r="E1074" s="49" t="n">
        <x:v>1714242</x:v>
      </x:c>
      <x:c r="F1074" s="52" t="n">
        <x:v>14838277</x:v>
      </x:c>
      <x:c r="G1074" s="54" t="n">
        <x:v>46220</x:v>
      </x:c>
      <x:c r="H1074" s="14" t="str">
        <x:f>IF(E1074&lt;0,"Componente negativo — manter e investigar","OK")</x:f>
        <x:v>OK</x:v>
      </x:c>
    </x:row>
    <x:row r="1075">
      <x:c r="A1075" s="51" t="n">
        <x:v>41456</x:v>
      </x:c>
      <x:c r="B1075" s="14" t="str">
        <x:v>Nordeste</x:v>
      </x:c>
      <x:c r="C1075" s="14" t="str">
        <x:v>NORTE INTERLIGADO</x:v>
      </x:c>
      <x:c r="D1075" s="53" t="str">
        <x:v>Cativo</x:v>
      </x:c>
      <x:c r="E1075" s="49" t="n">
        <x:v>213208</x:v>
      </x:c>
      <x:c r="F1075" s="52" t="n">
        <x:v>1866752</x:v>
      </x:c>
      <x:c r="G1075" s="54" t="n">
        <x:v>46220</x:v>
      </x:c>
      <x:c r="H1075" s="14" t="str">
        <x:f>IF(E1075&lt;0,"Componente negativo — manter e investigar","OK")</x:f>
        <x:v>OK</x:v>
      </x:c>
    </x:row>
    <x:row r="1076">
      <x:c r="A1076" s="51" t="n">
        <x:v>41456</x:v>
      </x:c>
      <x:c r="B1076" s="14" t="str">
        <x:v>Nordeste</x:v>
      </x:c>
      <x:c r="C1076" s="14" t="str">
        <x:v>SISTEMAS ISOLADOS</x:v>
      </x:c>
      <x:c r="D1076" s="53" t="str">
        <x:v>Cativo</x:v>
      </x:c>
      <x:c r="E1076" s="49" t="n">
        <x:v>286</x:v>
      </x:c>
      <x:c r="F1076" s="52" t="n">
        <x:v>518</x:v>
      </x:c>
      <x:c r="G1076" s="54" t="n">
        <x:v>46220</x:v>
      </x:c>
      <x:c r="H1076" s="14" t="str">
        <x:f>IF(E1076&lt;0,"Componente negativo — manter e investigar","OK")</x:f>
        <x:v>OK</x:v>
      </x:c>
    </x:row>
    <x:row r="1077">
      <x:c r="A1077" s="51" t="n">
        <x:v>41456</x:v>
      </x:c>
      <x:c r="B1077" s="14" t="str">
        <x:v>Norte</x:v>
      </x:c>
      <x:c r="C1077" s="14" t="str">
        <x:v>NORTE INTERLIGADO</x:v>
      </x:c>
      <x:c r="D1077" s="53" t="str">
        <x:v>Cativo</x:v>
      </x:c>
      <x:c r="E1077" s="49" t="n">
        <x:v>374008</x:v>
      </x:c>
      <x:c r="F1077" s="52" t="n">
        <x:v>2397029</x:v>
      </x:c>
      <x:c r="G1077" s="54" t="n">
        <x:v>46220</x:v>
      </x:c>
      <x:c r="H1077" s="14" t="str">
        <x:f>IF(E1077&lt;0,"Componente negativo — manter e investigar","OK")</x:f>
        <x:v>OK</x:v>
      </x:c>
    </x:row>
    <x:row r="1078">
      <x:c r="A1078" s="51" t="n">
        <x:v>41456</x:v>
      </x:c>
      <x:c r="B1078" s="14" t="str">
        <x:v>Norte</x:v>
      </x:c>
      <x:c r="C1078" s="14" t="str">
        <x:v>SISTEMAS ISOLADOS</x:v>
      </x:c>
      <x:c r="D1078" s="53" t="str">
        <x:v>Cativo</x:v>
      </x:c>
      <x:c r="E1078" s="49" t="n">
        <x:v>138565</x:v>
      </x:c>
      <x:c r="F1078" s="52" t="n">
        <x:v>714958</x:v>
      </x:c>
      <x:c r="G1078" s="54" t="n">
        <x:v>46220</x:v>
      </x:c>
      <x:c r="H1078" s="14" t="str">
        <x:f>IF(E1078&lt;0,"Componente negativo — manter e investigar","OK")</x:f>
        <x:v>OK</x:v>
      </x:c>
    </x:row>
    <x:row r="1079">
      <x:c r="A1079" s="51" t="n">
        <x:v>41456</x:v>
      </x:c>
      <x:c r="B1079" s="14" t="str">
        <x:v>Norte</x:v>
      </x:c>
      <x:c r="C1079" s="14" t="str">
        <x:v>SUDESTE / CENTRO - OESTE</x:v>
      </x:c>
      <x:c r="D1079" s="53" t="str">
        <x:v>Cativo</x:v>
      </x:c>
      <x:c r="E1079" s="49" t="n">
        <x:v>110820</x:v>
      </x:c>
      <x:c r="F1079" s="52" t="n">
        <x:v>498498</x:v>
      </x:c>
      <x:c r="G1079" s="54" t="n">
        <x:v>46220</x:v>
      </x:c>
      <x:c r="H1079" s="14" t="str">
        <x:f>IF(E1079&lt;0,"Componente negativo — manter e investigar","OK")</x:f>
        <x:v>OK</x:v>
      </x:c>
    </x:row>
    <x:row r="1080">
      <x:c r="A1080" s="51" t="n">
        <x:v>41456</x:v>
      </x:c>
      <x:c r="B1080" s="14" t="str">
        <x:v>Sudeste</x:v>
      </x:c>
      <x:c r="C1080" s="14" t="str">
        <x:v>SUDESTE / CENTRO - OESTE</x:v>
      </x:c>
      <x:c r="D1080" s="53" t="str">
        <x:v>Cativo</x:v>
      </x:c>
      <x:c r="E1080" s="49" t="n">
        <x:v>5063741</x:v>
      </x:c>
      <x:c r="F1080" s="52" t="n">
        <x:v>29093052</x:v>
      </x:c>
      <x:c r="G1080" s="54" t="n">
        <x:v>46220</x:v>
      </x:c>
      <x:c r="H1080" s="14" t="str">
        <x:f>IF(E1080&lt;0,"Componente negativo — manter e investigar","OK")</x:f>
        <x:v>OK</x:v>
      </x:c>
    </x:row>
    <x:row r="1081">
      <x:c r="A1081" s="51" t="n">
        <x:v>41456</x:v>
      </x:c>
      <x:c r="B1081" s="14" t="str">
        <x:v>Sul</x:v>
      </x:c>
      <x:c r="C1081" s="14" t="str">
        <x:v>SUL</x:v>
      </x:c>
      <x:c r="D1081" s="53" t="str">
        <x:v>Cativo</x:v>
      </x:c>
      <x:c r="E1081" s="49" t="n">
        <x:v>1634801</x:v>
      </x:c>
      <x:c r="F1081" s="52" t="n">
        <x:v>8895649</x:v>
      </x:c>
      <x:c r="G1081" s="54" t="n">
        <x:v>46220</x:v>
      </x:c>
      <x:c r="H1081" s="14" t="str">
        <x:f>IF(E1081&lt;0,"Componente negativo — manter e investigar","OK")</x:f>
        <x:v>OK</x:v>
      </x:c>
    </x:row>
    <x:row r="1082">
      <x:c r="A1082" s="51" t="n">
        <x:v>41487</x:v>
      </x:c>
      <x:c r="B1082" s="14" t="str">
        <x:v>Centro-Oeste</x:v>
      </x:c>
      <x:c r="C1082" s="14" t="str">
        <x:v>SISTEMAS ISOLADOS</x:v>
      </x:c>
      <x:c r="D1082" s="53" t="str">
        <x:v>Cativo</x:v>
      </x:c>
      <x:c r="E1082" s="49" t="n">
        <x:v>731</x:v>
      </x:c>
      <x:c r="F1082" s="52" t="n">
        <x:v>5572</x:v>
      </x:c>
      <x:c r="G1082" s="54" t="n">
        <x:v>46220</x:v>
      </x:c>
      <x:c r="H1082" s="14" t="str">
        <x:f>IF(E1082&lt;0,"Componente negativo — manter e investigar","OK")</x:f>
        <x:v>OK</x:v>
      </x:c>
    </x:row>
    <x:row r="1083">
      <x:c r="A1083" s="51" t="n">
        <x:v>41487</x:v>
      </x:c>
      <x:c r="B1083" s="14" t="str">
        <x:v>Centro-Oeste</x:v>
      </x:c>
      <x:c r="C1083" s="14" t="str">
        <x:v>SUDESTE / CENTRO - OESTE</x:v>
      </x:c>
      <x:c r="D1083" s="53" t="str">
        <x:v>Cativo</x:v>
      </x:c>
      <x:c r="E1083" s="49" t="n">
        <x:v>815394</x:v>
      </x:c>
      <x:c r="F1083" s="52" t="n">
        <x:v>4674725</x:v>
      </x:c>
      <x:c r="G1083" s="54" t="n">
        <x:v>46220</x:v>
      </x:c>
      <x:c r="H1083" s="14" t="str">
        <x:f>IF(E1083&lt;0,"Componente negativo — manter e investigar","OK")</x:f>
        <x:v>OK</x:v>
      </x:c>
    </x:row>
    <x:row r="1084">
      <x:c r="A1084" s="51" t="n">
        <x:v>41487</x:v>
      </x:c>
      <x:c r="B1084" s="14" t="str">
        <x:v>Nordeste</x:v>
      </x:c>
      <x:c r="C1084" s="14" t="str">
        <x:v>NORDESTE</x:v>
      </x:c>
      <x:c r="D1084" s="53" t="str">
        <x:v>Cativo</x:v>
      </x:c>
      <x:c r="E1084" s="49" t="n">
        <x:v>1701550</x:v>
      </x:c>
      <x:c r="F1084" s="52" t="n">
        <x:v>14874971</x:v>
      </x:c>
      <x:c r="G1084" s="54" t="n">
        <x:v>46220</x:v>
      </x:c>
      <x:c r="H1084" s="14" t="str">
        <x:f>IF(E1084&lt;0,"Componente negativo — manter e investigar","OK")</x:f>
        <x:v>OK</x:v>
      </x:c>
    </x:row>
    <x:row r="1085">
      <x:c r="A1085" s="51" t="n">
        <x:v>41487</x:v>
      </x:c>
      <x:c r="B1085" s="14" t="str">
        <x:v>Nordeste</x:v>
      </x:c>
      <x:c r="C1085" s="14" t="str">
        <x:v>NORTE INTERLIGADO</x:v>
      </x:c>
      <x:c r="D1085" s="53" t="str">
        <x:v>Cativo</x:v>
      </x:c>
      <x:c r="E1085" s="49" t="n">
        <x:v>216786</x:v>
      </x:c>
      <x:c r="F1085" s="52" t="n">
        <x:v>1873533</x:v>
      </x:c>
      <x:c r="G1085" s="54" t="n">
        <x:v>46220</x:v>
      </x:c>
      <x:c r="H1085" s="14" t="str">
        <x:f>IF(E1085&lt;0,"Componente negativo — manter e investigar","OK")</x:f>
        <x:v>OK</x:v>
      </x:c>
    </x:row>
    <x:row r="1086">
      <x:c r="A1086" s="51" t="n">
        <x:v>41487</x:v>
      </x:c>
      <x:c r="B1086" s="14" t="str">
        <x:v>Nordeste</x:v>
      </x:c>
      <x:c r="C1086" s="14" t="str">
        <x:v>SISTEMAS ISOLADOS</x:v>
      </x:c>
      <x:c r="D1086" s="53" t="str">
        <x:v>Cativo</x:v>
      </x:c>
      <x:c r="E1086" s="49" t="n">
        <x:v>290</x:v>
      </x:c>
      <x:c r="F1086" s="52" t="n">
        <x:v>520</x:v>
      </x:c>
      <x:c r="G1086" s="54" t="n">
        <x:v>46220</x:v>
      </x:c>
      <x:c r="H1086" s="14" t="str">
        <x:f>IF(E1086&lt;0,"Componente negativo — manter e investigar","OK")</x:f>
        <x:v>OK</x:v>
      </x:c>
    </x:row>
    <x:row r="1087">
      <x:c r="A1087" s="51" t="n">
        <x:v>41487</x:v>
      </x:c>
      <x:c r="B1087" s="14" t="str">
        <x:v>Norte</x:v>
      </x:c>
      <x:c r="C1087" s="14" t="str">
        <x:v>NORTE INTERLIGADO</x:v>
      </x:c>
      <x:c r="D1087" s="53" t="str">
        <x:v>Cativo</x:v>
      </x:c>
      <x:c r="E1087" s="49" t="n">
        <x:v>381384</x:v>
      </x:c>
      <x:c r="F1087" s="52" t="n">
        <x:v>2410344</x:v>
      </x:c>
      <x:c r="G1087" s="54" t="n">
        <x:v>46220</x:v>
      </x:c>
      <x:c r="H1087" s="14" t="str">
        <x:f>IF(E1087&lt;0,"Componente negativo — manter e investigar","OK")</x:f>
        <x:v>OK</x:v>
      </x:c>
    </x:row>
    <x:row r="1088">
      <x:c r="A1088" s="51" t="n">
        <x:v>41487</x:v>
      </x:c>
      <x:c r="B1088" s="14" t="str">
        <x:v>Norte</x:v>
      </x:c>
      <x:c r="C1088" s="14" t="str">
        <x:v>SISTEMAS ISOLADOS</x:v>
      </x:c>
      <x:c r="D1088" s="53" t="str">
        <x:v>Cativo</x:v>
      </x:c>
      <x:c r="E1088" s="49" t="n">
        <x:v>139118</x:v>
      </x:c>
      <x:c r="F1088" s="52" t="n">
        <x:v>719028</x:v>
      </x:c>
      <x:c r="G1088" s="54" t="n">
        <x:v>46220</x:v>
      </x:c>
      <x:c r="H1088" s="14" t="str">
        <x:f>IF(E1088&lt;0,"Componente negativo — manter e investigar","OK")</x:f>
        <x:v>OK</x:v>
      </x:c>
    </x:row>
    <x:row r="1089">
      <x:c r="A1089" s="51" t="n">
        <x:v>41487</x:v>
      </x:c>
      <x:c r="B1089" s="14" t="str">
        <x:v>Norte</x:v>
      </x:c>
      <x:c r="C1089" s="14" t="str">
        <x:v>SUDESTE / CENTRO - OESTE</x:v>
      </x:c>
      <x:c r="D1089" s="53" t="str">
        <x:v>Cativo</x:v>
      </x:c>
      <x:c r="E1089" s="49" t="n">
        <x:v>108680</x:v>
      </x:c>
      <x:c r="F1089" s="52" t="n">
        <x:v>500301</x:v>
      </x:c>
      <x:c r="G1089" s="54" t="n">
        <x:v>46220</x:v>
      </x:c>
      <x:c r="H1089" s="14" t="str">
        <x:f>IF(E1089&lt;0,"Componente negativo — manter e investigar","OK")</x:f>
        <x:v>OK</x:v>
      </x:c>
    </x:row>
    <x:row r="1090">
      <x:c r="A1090" s="51" t="n">
        <x:v>41487</x:v>
      </x:c>
      <x:c r="B1090" s="14" t="str">
        <x:v>Sudeste</x:v>
      </x:c>
      <x:c r="C1090" s="14" t="str">
        <x:v>SUDESTE / CENTRO - OESTE</x:v>
      </x:c>
      <x:c r="D1090" s="53" t="str">
        <x:v>Cativo</x:v>
      </x:c>
      <x:c r="E1090" s="49" t="n">
        <x:v>5200951</x:v>
      </x:c>
      <x:c r="F1090" s="52" t="n">
        <x:v>29155455</x:v>
      </x:c>
      <x:c r="G1090" s="54" t="n">
        <x:v>46220</x:v>
      </x:c>
      <x:c r="H1090" s="14" t="str">
        <x:f>IF(E1090&lt;0,"Componente negativo — manter e investigar","OK")</x:f>
        <x:v>OK</x:v>
      </x:c>
    </x:row>
    <x:row r="1091">
      <x:c r="A1091" s="51" t="n">
        <x:v>41487</x:v>
      </x:c>
      <x:c r="B1091" s="14" t="str">
        <x:v>Sul</x:v>
      </x:c>
      <x:c r="C1091" s="14" t="str">
        <x:v>SUL</x:v>
      </x:c>
      <x:c r="D1091" s="53" t="str">
        <x:v>Cativo</x:v>
      </x:c>
      <x:c r="E1091" s="49" t="n">
        <x:v>1715613</x:v>
      </x:c>
      <x:c r="F1091" s="52" t="n">
        <x:v>8917631</x:v>
      </x:c>
      <x:c r="G1091" s="54" t="n">
        <x:v>46220</x:v>
      </x:c>
      <x:c r="H1091" s="14" t="str">
        <x:f>IF(E1091&lt;0,"Componente negativo — manter e investigar","OK")</x:f>
        <x:v>OK</x:v>
      </x:c>
    </x:row>
    <x:row r="1092">
      <x:c r="A1092" s="51" t="n">
        <x:v>41518</x:v>
      </x:c>
      <x:c r="B1092" s="14" t="str">
        <x:v>Centro-Oeste</x:v>
      </x:c>
      <x:c r="C1092" s="14" t="str">
        <x:v>SISTEMAS ISOLADOS</x:v>
      </x:c>
      <x:c r="D1092" s="53" t="str">
        <x:v>Cativo</x:v>
      </x:c>
      <x:c r="E1092" s="49" t="n">
        <x:v>734</x:v>
      </x:c>
      <x:c r="F1092" s="52" t="n">
        <x:v>5584</x:v>
      </x:c>
      <x:c r="G1092" s="54" t="n">
        <x:v>46220</x:v>
      </x:c>
      <x:c r="H1092" s="14" t="str">
        <x:f>IF(E1092&lt;0,"Componente negativo — manter e investigar","OK")</x:f>
        <x:v>OK</x:v>
      </x:c>
    </x:row>
    <x:row r="1093">
      <x:c r="A1093" s="51" t="n">
        <x:v>41518</x:v>
      </x:c>
      <x:c r="B1093" s="14" t="str">
        <x:v>Centro-Oeste</x:v>
      </x:c>
      <x:c r="C1093" s="14" t="str">
        <x:v>SUDESTE / CENTRO - OESTE</x:v>
      </x:c>
      <x:c r="D1093" s="53" t="str">
        <x:v>Cativo</x:v>
      </x:c>
      <x:c r="E1093" s="49" t="n">
        <x:v>813136</x:v>
      </x:c>
      <x:c r="F1093" s="52" t="n">
        <x:v>4685710</x:v>
      </x:c>
      <x:c r="G1093" s="54" t="n">
        <x:v>46220</x:v>
      </x:c>
      <x:c r="H1093" s="14" t="str">
        <x:f>IF(E1093&lt;0,"Componente negativo — manter e investigar","OK")</x:f>
        <x:v>OK</x:v>
      </x:c>
    </x:row>
    <x:row r="1094">
      <x:c r="A1094" s="51" t="n">
        <x:v>41518</x:v>
      </x:c>
      <x:c r="B1094" s="14" t="str">
        <x:v>Nordeste</x:v>
      </x:c>
      <x:c r="C1094" s="14" t="str">
        <x:v>NORDESTE</x:v>
      </x:c>
      <x:c r="D1094" s="53" t="str">
        <x:v>Cativo</x:v>
      </x:c>
      <x:c r="E1094" s="49" t="n">
        <x:v>1727468</x:v>
      </x:c>
      <x:c r="F1094" s="52" t="n">
        <x:v>14918723</x:v>
      </x:c>
      <x:c r="G1094" s="54" t="n">
        <x:v>46220</x:v>
      </x:c>
      <x:c r="H1094" s="14" t="str">
        <x:f>IF(E1094&lt;0,"Componente negativo — manter e investigar","OK")</x:f>
        <x:v>OK</x:v>
      </x:c>
    </x:row>
    <x:row r="1095">
      <x:c r="A1095" s="51" t="n">
        <x:v>41518</x:v>
      </x:c>
      <x:c r="B1095" s="14" t="str">
        <x:v>Nordeste</x:v>
      </x:c>
      <x:c r="C1095" s="14" t="str">
        <x:v>NORTE INTERLIGADO</x:v>
      </x:c>
      <x:c r="D1095" s="53" t="str">
        <x:v>Cativo</x:v>
      </x:c>
      <x:c r="E1095" s="49" t="n">
        <x:v>228870</x:v>
      </x:c>
      <x:c r="F1095" s="52" t="n">
        <x:v>1878700</x:v>
      </x:c>
      <x:c r="G1095" s="54" t="n">
        <x:v>46220</x:v>
      </x:c>
      <x:c r="H1095" s="14" t="str">
        <x:f>IF(E1095&lt;0,"Componente negativo — manter e investigar","OK")</x:f>
        <x:v>OK</x:v>
      </x:c>
    </x:row>
    <x:row r="1096">
      <x:c r="A1096" s="51" t="n">
        <x:v>41518</x:v>
      </x:c>
      <x:c r="B1096" s="14" t="str">
        <x:v>Nordeste</x:v>
      </x:c>
      <x:c r="C1096" s="14" t="str">
        <x:v>SISTEMAS ISOLADOS</x:v>
      </x:c>
      <x:c r="D1096" s="53" t="str">
        <x:v>Cativo</x:v>
      </x:c>
      <x:c r="E1096" s="49" t="n">
        <x:v>284</x:v>
      </x:c>
      <x:c r="F1096" s="52" t="n">
        <x:v>523</x:v>
      </x:c>
      <x:c r="G1096" s="54" t="n">
        <x:v>46220</x:v>
      </x:c>
      <x:c r="H1096" s="14" t="str">
        <x:f>IF(E1096&lt;0,"Componente negativo — manter e investigar","OK")</x:f>
        <x:v>OK</x:v>
      </x:c>
    </x:row>
    <x:row r="1097">
      <x:c r="A1097" s="51" t="n">
        <x:v>41518</x:v>
      </x:c>
      <x:c r="B1097" s="14" t="str">
        <x:v>Norte</x:v>
      </x:c>
      <x:c r="C1097" s="14" t="str">
        <x:v>NORTE INTERLIGADO</x:v>
      </x:c>
      <x:c r="D1097" s="53" t="str">
        <x:v>Cativo</x:v>
      </x:c>
      <x:c r="E1097" s="49" t="n">
        <x:v>384536</x:v>
      </x:c>
      <x:c r="F1097" s="52" t="n">
        <x:v>2421992</x:v>
      </x:c>
      <x:c r="G1097" s="54" t="n">
        <x:v>46220</x:v>
      </x:c>
      <x:c r="H1097" s="14" t="str">
        <x:f>IF(E1097&lt;0,"Componente negativo — manter e investigar","OK")</x:f>
        <x:v>OK</x:v>
      </x:c>
    </x:row>
    <x:row r="1098">
      <x:c r="A1098" s="51" t="n">
        <x:v>41518</x:v>
      </x:c>
      <x:c r="B1098" s="14" t="str">
        <x:v>Norte</x:v>
      </x:c>
      <x:c r="C1098" s="14" t="str">
        <x:v>SISTEMAS ISOLADOS</x:v>
      </x:c>
      <x:c r="D1098" s="53" t="str">
        <x:v>Cativo</x:v>
      </x:c>
      <x:c r="E1098" s="49" t="n">
        <x:v>143984</x:v>
      </x:c>
      <x:c r="F1098" s="52" t="n">
        <x:v>722228</x:v>
      </x:c>
      <x:c r="G1098" s="54" t="n">
        <x:v>46220</x:v>
      </x:c>
      <x:c r="H1098" s="14" t="str">
        <x:f>IF(E1098&lt;0,"Componente negativo — manter e investigar","OK")</x:f>
        <x:v>OK</x:v>
      </x:c>
    </x:row>
    <x:row r="1099">
      <x:c r="A1099" s="51" t="n">
        <x:v>41518</x:v>
      </x:c>
      <x:c r="B1099" s="14" t="str">
        <x:v>Norte</x:v>
      </x:c>
      <x:c r="C1099" s="14" t="str">
        <x:v>SUDESTE / CENTRO - OESTE</x:v>
      </x:c>
      <x:c r="D1099" s="53" t="str">
        <x:v>Cativo</x:v>
      </x:c>
      <x:c r="E1099" s="49" t="n">
        <x:v>111648</x:v>
      </x:c>
      <x:c r="F1099" s="52" t="n">
        <x:v>501841</x:v>
      </x:c>
      <x:c r="G1099" s="54" t="n">
        <x:v>46220</x:v>
      </x:c>
      <x:c r="H1099" s="14" t="str">
        <x:f>IF(E1099&lt;0,"Componente negativo — manter e investigar","OK")</x:f>
        <x:v>OK</x:v>
      </x:c>
    </x:row>
    <x:row r="1100">
      <x:c r="A1100" s="51" t="n">
        <x:v>41518</x:v>
      </x:c>
      <x:c r="B1100" s="14" t="str">
        <x:v>Sudeste</x:v>
      </x:c>
      <x:c r="C1100" s="14" t="str">
        <x:v>SUDESTE / CENTRO - OESTE</x:v>
      </x:c>
      <x:c r="D1100" s="53" t="str">
        <x:v>Cativo</x:v>
      </x:c>
      <x:c r="E1100" s="49" t="n">
        <x:v>5196437</x:v>
      </x:c>
      <x:c r="F1100" s="52" t="n">
        <x:v>29196561</x:v>
      </x:c>
      <x:c r="G1100" s="54" t="n">
        <x:v>46220</x:v>
      </x:c>
      <x:c r="H1100" s="14" t="str">
        <x:f>IF(E1100&lt;0,"Componente negativo — manter e investigar","OK")</x:f>
        <x:v>OK</x:v>
      </x:c>
    </x:row>
    <x:row r="1101">
      <x:c r="A1101" s="51" t="n">
        <x:v>41518</x:v>
      </x:c>
      <x:c r="B1101" s="14" t="str">
        <x:v>Sul</x:v>
      </x:c>
      <x:c r="C1101" s="14" t="str">
        <x:v>SUL</x:v>
      </x:c>
      <x:c r="D1101" s="53" t="str">
        <x:v>Cativo</x:v>
      </x:c>
      <x:c r="E1101" s="49" t="n">
        <x:v>1644068</x:v>
      </x:c>
      <x:c r="F1101" s="52" t="n">
        <x:v>8948000</x:v>
      </x:c>
      <x:c r="G1101" s="54" t="n">
        <x:v>46220</x:v>
      </x:c>
      <x:c r="H1101" s="14" t="str">
        <x:f>IF(E1101&lt;0,"Componente negativo — manter e investigar","OK")</x:f>
        <x:v>OK</x:v>
      </x:c>
    </x:row>
    <x:row r="1102">
      <x:c r="A1102" s="51" t="n">
        <x:v>41548</x:v>
      </x:c>
      <x:c r="B1102" s="14" t="str">
        <x:v>Centro-Oeste</x:v>
      </x:c>
      <x:c r="C1102" s="14" t="str">
        <x:v>SISTEMAS ISOLADOS</x:v>
      </x:c>
      <x:c r="D1102" s="53" t="str">
        <x:v>Cativo</x:v>
      </x:c>
      <x:c r="E1102" s="49" t="n">
        <x:v>829</x:v>
      </x:c>
      <x:c r="F1102" s="52" t="n">
        <x:v>5597</x:v>
      </x:c>
      <x:c r="G1102" s="54" t="n">
        <x:v>46220</x:v>
      </x:c>
      <x:c r="H1102" s="14" t="str">
        <x:f>IF(E1102&lt;0,"Componente negativo — manter e investigar","OK")</x:f>
        <x:v>OK</x:v>
      </x:c>
    </x:row>
    <x:row r="1103">
      <x:c r="A1103" s="51" t="n">
        <x:v>41548</x:v>
      </x:c>
      <x:c r="B1103" s="14" t="str">
        <x:v>Centro-Oeste</x:v>
      </x:c>
      <x:c r="C1103" s="14" t="str">
        <x:v>SUDESTE / CENTRO - OESTE</x:v>
      </x:c>
      <x:c r="D1103" s="53" t="str">
        <x:v>Cativo</x:v>
      </x:c>
      <x:c r="E1103" s="49" t="n">
        <x:v>869245</x:v>
      </x:c>
      <x:c r="F1103" s="52" t="n">
        <x:v>4712528</x:v>
      </x:c>
      <x:c r="G1103" s="54" t="n">
        <x:v>46220</x:v>
      </x:c>
      <x:c r="H1103" s="14" t="str">
        <x:f>IF(E1103&lt;0,"Componente negativo — manter e investigar","OK")</x:f>
        <x:v>OK</x:v>
      </x:c>
    </x:row>
    <x:row r="1104">
      <x:c r="A1104" s="51" t="n">
        <x:v>41548</x:v>
      </x:c>
      <x:c r="B1104" s="14" t="str">
        <x:v>Nordeste</x:v>
      </x:c>
      <x:c r="C1104" s="14" t="str">
        <x:v>NORDESTE</x:v>
      </x:c>
      <x:c r="D1104" s="53" t="str">
        <x:v>Cativo</x:v>
      </x:c>
      <x:c r="E1104" s="49" t="n">
        <x:v>1820329</x:v>
      </x:c>
      <x:c r="F1104" s="52" t="n">
        <x:v>14965035</x:v>
      </x:c>
      <x:c r="G1104" s="54" t="n">
        <x:v>46220</x:v>
      </x:c>
      <x:c r="H1104" s="14" t="str">
        <x:f>IF(E1104&lt;0,"Componente negativo — manter e investigar","OK")</x:f>
        <x:v>OK</x:v>
      </x:c>
    </x:row>
    <x:row r="1105">
      <x:c r="A1105" s="51" t="n">
        <x:v>41548</x:v>
      </x:c>
      <x:c r="B1105" s="14" t="str">
        <x:v>Nordeste</x:v>
      </x:c>
      <x:c r="C1105" s="14" t="str">
        <x:v>NORTE INTERLIGADO</x:v>
      </x:c>
      <x:c r="D1105" s="53" t="str">
        <x:v>Cativo</x:v>
      </x:c>
      <x:c r="E1105" s="49" t="n">
        <x:v>233548</x:v>
      </x:c>
      <x:c r="F1105" s="52" t="n">
        <x:v>1882715</x:v>
      </x:c>
      <x:c r="G1105" s="54" t="n">
        <x:v>46220</x:v>
      </x:c>
      <x:c r="H1105" s="14" t="str">
        <x:f>IF(E1105&lt;0,"Componente negativo — manter e investigar","OK")</x:f>
        <x:v>OK</x:v>
      </x:c>
    </x:row>
    <x:row r="1106">
      <x:c r="A1106" s="51" t="n">
        <x:v>41548</x:v>
      </x:c>
      <x:c r="B1106" s="14" t="str">
        <x:v>Nordeste</x:v>
      </x:c>
      <x:c r="C1106" s="14" t="str">
        <x:v>SISTEMAS ISOLADOS</x:v>
      </x:c>
      <x:c r="D1106" s="53" t="str">
        <x:v>Cativo</x:v>
      </x:c>
      <x:c r="E1106" s="49" t="n">
        <x:v>289</x:v>
      </x:c>
      <x:c r="F1106" s="52" t="n">
        <x:v>520</x:v>
      </x:c>
      <x:c r="G1106" s="54" t="n">
        <x:v>46220</x:v>
      </x:c>
      <x:c r="H1106" s="14" t="str">
        <x:f>IF(E1106&lt;0,"Componente negativo — manter e investigar","OK")</x:f>
        <x:v>OK</x:v>
      </x:c>
    </x:row>
    <x:row r="1107">
      <x:c r="A1107" s="51" t="n">
        <x:v>41548</x:v>
      </x:c>
      <x:c r="B1107" s="14" t="str">
        <x:v>Norte</x:v>
      </x:c>
      <x:c r="C1107" s="14" t="str">
        <x:v>NORTE INTERLIGADO</x:v>
      </x:c>
      <x:c r="D1107" s="53" t="str">
        <x:v>Cativo</x:v>
      </x:c>
      <x:c r="E1107" s="49" t="n">
        <x:v>416652</x:v>
      </x:c>
      <x:c r="F1107" s="52" t="n">
        <x:v>2435341</x:v>
      </x:c>
      <x:c r="G1107" s="54" t="n">
        <x:v>46220</x:v>
      </x:c>
      <x:c r="H1107" s="14" t="str">
        <x:f>IF(E1107&lt;0,"Componente negativo — manter e investigar","OK")</x:f>
        <x:v>OK</x:v>
      </x:c>
    </x:row>
    <x:row r="1108">
      <x:c r="A1108" s="51" t="n">
        <x:v>41548</x:v>
      </x:c>
      <x:c r="B1108" s="14" t="str">
        <x:v>Norte</x:v>
      </x:c>
      <x:c r="C1108" s="14" t="str">
        <x:v>SISTEMAS ISOLADOS</x:v>
      </x:c>
      <x:c r="D1108" s="53" t="str">
        <x:v>Cativo</x:v>
      </x:c>
      <x:c r="E1108" s="49" t="n">
        <x:v>153869</x:v>
      </x:c>
      <x:c r="F1108" s="52" t="n">
        <x:v>724995</x:v>
      </x:c>
      <x:c r="G1108" s="54" t="n">
        <x:v>46220</x:v>
      </x:c>
      <x:c r="H1108" s="14" t="str">
        <x:f>IF(E1108&lt;0,"Componente negativo — manter e investigar","OK")</x:f>
        <x:v>OK</x:v>
      </x:c>
    </x:row>
    <x:row r="1109">
      <x:c r="A1109" s="51" t="n">
        <x:v>41548</x:v>
      </x:c>
      <x:c r="B1109" s="14" t="str">
        <x:v>Norte</x:v>
      </x:c>
      <x:c r="C1109" s="14" t="str">
        <x:v>SUDESTE / CENTRO - OESTE</x:v>
      </x:c>
      <x:c r="D1109" s="53" t="str">
        <x:v>Cativo</x:v>
      </x:c>
      <x:c r="E1109" s="49" t="n">
        <x:v>116544</x:v>
      </x:c>
      <x:c r="F1109" s="52" t="n">
        <x:v>501971</x:v>
      </x:c>
      <x:c r="G1109" s="54" t="n">
        <x:v>46220</x:v>
      </x:c>
      <x:c r="H1109" s="14" t="str">
        <x:f>IF(E1109&lt;0,"Componente negativo — manter e investigar","OK")</x:f>
        <x:v>OK</x:v>
      </x:c>
    </x:row>
    <x:row r="1110">
      <x:c r="A1110" s="51" t="n">
        <x:v>41548</x:v>
      </x:c>
      <x:c r="B1110" s="14" t="str">
        <x:v>Sudeste</x:v>
      </x:c>
      <x:c r="C1110" s="14" t="str">
        <x:v>SUDESTE / CENTRO - OESTE</x:v>
      </x:c>
      <x:c r="D1110" s="53" t="str">
        <x:v>Cativo</x:v>
      </x:c>
      <x:c r="E1110" s="49" t="n">
        <x:v>5313978</x:v>
      </x:c>
      <x:c r="F1110" s="52" t="n">
        <x:v>29278144</x:v>
      </x:c>
      <x:c r="G1110" s="54" t="n">
        <x:v>46220</x:v>
      </x:c>
      <x:c r="H1110" s="14" t="str">
        <x:f>IF(E1110&lt;0,"Componente negativo — manter e investigar","OK")</x:f>
        <x:v>OK</x:v>
      </x:c>
    </x:row>
    <x:row r="1111">
      <x:c r="A1111" s="51" t="n">
        <x:v>41548</x:v>
      </x:c>
      <x:c r="B1111" s="14" t="str">
        <x:v>Sul</x:v>
      </x:c>
      <x:c r="C1111" s="14" t="str">
        <x:v>SUL</x:v>
      </x:c>
      <x:c r="D1111" s="53" t="str">
        <x:v>Cativo</x:v>
      </x:c>
      <x:c r="E1111" s="49" t="n">
        <x:v>1620013</x:v>
      </x:c>
      <x:c r="F1111" s="52" t="n">
        <x:v>8975129</x:v>
      </x:c>
      <x:c r="G1111" s="54" t="n">
        <x:v>46220</x:v>
      </x:c>
      <x:c r="H1111" s="14" t="str">
        <x:f>IF(E1111&lt;0,"Componente negativo — manter e investigar","OK")</x:f>
        <x:v>OK</x:v>
      </x:c>
    </x:row>
    <x:row r="1112">
      <x:c r="A1112" s="51" t="n">
        <x:v>41579</x:v>
      </x:c>
      <x:c r="B1112" s="14" t="str">
        <x:v>Centro-Oeste</x:v>
      </x:c>
      <x:c r="C1112" s="14" t="str">
        <x:v>SISTEMAS ISOLADOS</x:v>
      </x:c>
      <x:c r="D1112" s="53" t="str">
        <x:v>Cativo</x:v>
      </x:c>
      <x:c r="E1112" s="49" t="n">
        <x:v>177</x:v>
      </x:c>
      <x:c r="F1112" s="52" t="n">
        <x:v>1235</x:v>
      </x:c>
      <x:c r="G1112" s="54" t="n">
        <x:v>46220</x:v>
      </x:c>
      <x:c r="H1112" s="14" t="str">
        <x:f>IF(E1112&lt;0,"Componente negativo — manter e investigar","OK")</x:f>
        <x:v>OK</x:v>
      </x:c>
    </x:row>
    <x:row r="1113">
      <x:c r="A1113" s="51" t="n">
        <x:v>41579</x:v>
      </x:c>
      <x:c r="B1113" s="14" t="str">
        <x:v>Centro-Oeste</x:v>
      </x:c>
      <x:c r="C1113" s="14" t="str">
        <x:v>SUDESTE / CENTRO - OESTE</x:v>
      </x:c>
      <x:c r="D1113" s="53" t="str">
        <x:v>Cativo</x:v>
      </x:c>
      <x:c r="E1113" s="49" t="n">
        <x:v>913660</x:v>
      </x:c>
      <x:c r="F1113" s="52" t="n">
        <x:v>4731536</x:v>
      </x:c>
      <x:c r="G1113" s="54" t="n">
        <x:v>46220</x:v>
      </x:c>
      <x:c r="H1113" s="14" t="str">
        <x:f>IF(E1113&lt;0,"Componente negativo — manter e investigar","OK")</x:f>
        <x:v>OK</x:v>
      </x:c>
    </x:row>
    <x:row r="1114">
      <x:c r="A1114" s="51" t="n">
        <x:v>41579</x:v>
      </x:c>
      <x:c r="B1114" s="14" t="str">
        <x:v>Nordeste</x:v>
      </x:c>
      <x:c r="C1114" s="14" t="str">
        <x:v>NORDESTE</x:v>
      </x:c>
      <x:c r="D1114" s="53" t="str">
        <x:v>Cativo</x:v>
      </x:c>
      <x:c r="E1114" s="49" t="n">
        <x:v>1838252</x:v>
      </x:c>
      <x:c r="F1114" s="52" t="n">
        <x:v>15000189</x:v>
      </x:c>
      <x:c r="G1114" s="54" t="n">
        <x:v>46220</x:v>
      </x:c>
      <x:c r="H1114" s="14" t="str">
        <x:f>IF(E1114&lt;0,"Componente negativo — manter e investigar","OK")</x:f>
        <x:v>OK</x:v>
      </x:c>
    </x:row>
    <x:row r="1115">
      <x:c r="A1115" s="51" t="n">
        <x:v>41579</x:v>
      </x:c>
      <x:c r="B1115" s="14" t="str">
        <x:v>Nordeste</x:v>
      </x:c>
      <x:c r="C1115" s="14" t="str">
        <x:v>NORTE INTERLIGADO</x:v>
      </x:c>
      <x:c r="D1115" s="53" t="str">
        <x:v>Cativo</x:v>
      </x:c>
      <x:c r="E1115" s="49" t="n">
        <x:v>234073</x:v>
      </x:c>
      <x:c r="F1115" s="52" t="n">
        <x:v>1888951</x:v>
      </x:c>
      <x:c r="G1115" s="54" t="n">
        <x:v>46220</x:v>
      </x:c>
      <x:c r="H1115" s="14" t="str">
        <x:f>IF(E1115&lt;0,"Componente negativo — manter e investigar","OK")</x:f>
        <x:v>OK</x:v>
      </x:c>
    </x:row>
    <x:row r="1116">
      <x:c r="A1116" s="51" t="n">
        <x:v>41579</x:v>
      </x:c>
      <x:c r="B1116" s="14" t="str">
        <x:v>Nordeste</x:v>
      </x:c>
      <x:c r="C1116" s="14" t="str">
        <x:v>SISTEMAS ISOLADOS</x:v>
      </x:c>
      <x:c r="D1116" s="53" t="str">
        <x:v>Cativo</x:v>
      </x:c>
      <x:c r="E1116" s="49" t="n">
        <x:v>291</x:v>
      </x:c>
      <x:c r="F1116" s="52" t="n">
        <x:v>522</x:v>
      </x:c>
      <x:c r="G1116" s="54" t="n">
        <x:v>46220</x:v>
      </x:c>
      <x:c r="H1116" s="14" t="str">
        <x:f>IF(E1116&lt;0,"Componente negativo — manter e investigar","OK")</x:f>
        <x:v>OK</x:v>
      </x:c>
    </x:row>
    <x:row r="1117">
      <x:c r="A1117" s="51" t="n">
        <x:v>41579</x:v>
      </x:c>
      <x:c r="B1117" s="14" t="str">
        <x:v>Norte</x:v>
      </x:c>
      <x:c r="C1117" s="14" t="str">
        <x:v>NORTE INTERLIGADO</x:v>
      </x:c>
      <x:c r="D1117" s="53" t="str">
        <x:v>Cativo</x:v>
      </x:c>
      <x:c r="E1117" s="49" t="n">
        <x:v>400095</x:v>
      </x:c>
      <x:c r="F1117" s="52" t="n">
        <x:v>2452566</x:v>
      </x:c>
      <x:c r="G1117" s="54" t="n">
        <x:v>46220</x:v>
      </x:c>
      <x:c r="H1117" s="14" t="str">
        <x:f>IF(E1117&lt;0,"Componente negativo — manter e investigar","OK")</x:f>
        <x:v>OK</x:v>
      </x:c>
    </x:row>
    <x:row r="1118">
      <x:c r="A1118" s="51" t="n">
        <x:v>41579</x:v>
      </x:c>
      <x:c r="B1118" s="14" t="str">
        <x:v>Norte</x:v>
      </x:c>
      <x:c r="C1118" s="14" t="str">
        <x:v>SISTEMAS ISOLADOS</x:v>
      </x:c>
      <x:c r="D1118" s="53" t="str">
        <x:v>Cativo</x:v>
      </x:c>
      <x:c r="E1118" s="49" t="n">
        <x:v>157366</x:v>
      </x:c>
      <x:c r="F1118" s="52" t="n">
        <x:v>727617</x:v>
      </x:c>
      <x:c r="G1118" s="54" t="n">
        <x:v>46220</x:v>
      </x:c>
      <x:c r="H1118" s="14" t="str">
        <x:f>IF(E1118&lt;0,"Componente negativo — manter e investigar","OK")</x:f>
        <x:v>OK</x:v>
      </x:c>
    </x:row>
    <x:row r="1119">
      <x:c r="A1119" s="51" t="n">
        <x:v>41579</x:v>
      </x:c>
      <x:c r="B1119" s="14" t="str">
        <x:v>Norte</x:v>
      </x:c>
      <x:c r="C1119" s="14" t="str">
        <x:v>SUDESTE / CENTRO - OESTE</x:v>
      </x:c>
      <x:c r="D1119" s="53" t="str">
        <x:v>Cativo</x:v>
      </x:c>
      <x:c r="E1119" s="49" t="n">
        <x:v>117906</x:v>
      </x:c>
      <x:c r="F1119" s="52" t="n">
        <x:v>503467</x:v>
      </x:c>
      <x:c r="G1119" s="54" t="n">
        <x:v>46220</x:v>
      </x:c>
      <x:c r="H1119" s="14" t="str">
        <x:f>IF(E1119&lt;0,"Componente negativo — manter e investigar","OK")</x:f>
        <x:v>OK</x:v>
      </x:c>
    </x:row>
    <x:row r="1120">
      <x:c r="A1120" s="51" t="n">
        <x:v>41579</x:v>
      </x:c>
      <x:c r="B1120" s="14" t="str">
        <x:v>Sudeste</x:v>
      </x:c>
      <x:c r="C1120" s="14" t="str">
        <x:v>SUDESTE / CENTRO - OESTE</x:v>
      </x:c>
      <x:c r="D1120" s="53" t="str">
        <x:v>Cativo</x:v>
      </x:c>
      <x:c r="E1120" s="49" t="n">
        <x:v>5420982</x:v>
      </x:c>
      <x:c r="F1120" s="52" t="n">
        <x:v>29357901</x:v>
      </x:c>
      <x:c r="G1120" s="54" t="n">
        <x:v>46220</x:v>
      </x:c>
      <x:c r="H1120" s="14" t="str">
        <x:f>IF(E1120&lt;0,"Componente negativo — manter e investigar","OK")</x:f>
        <x:v>OK</x:v>
      </x:c>
    </x:row>
    <x:row r="1121">
      <x:c r="A1121" s="51" t="n">
        <x:v>41579</x:v>
      </x:c>
      <x:c r="B1121" s="14" t="str">
        <x:v>Sul</x:v>
      </x:c>
      <x:c r="C1121" s="14" t="str">
        <x:v>SUL</x:v>
      </x:c>
      <x:c r="D1121" s="53" t="str">
        <x:v>Cativo</x:v>
      </x:c>
      <x:c r="E1121" s="49" t="n">
        <x:v>1628086</x:v>
      </x:c>
      <x:c r="F1121" s="52" t="n">
        <x:v>9001607</x:v>
      </x:c>
      <x:c r="G1121" s="54" t="n">
        <x:v>46220</x:v>
      </x:c>
      <x:c r="H1121" s="14" t="str">
        <x:f>IF(E1121&lt;0,"Componente negativo — manter e investigar","OK")</x:f>
        <x:v>OK</x:v>
      </x:c>
    </x:row>
    <x:row r="1122">
      <x:c r="A1122" s="51" t="n">
        <x:v>41609</x:v>
      </x:c>
      <x:c r="B1122" s="14" t="str">
        <x:v>Centro-Oeste</x:v>
      </x:c>
      <x:c r="C1122" s="14" t="str">
        <x:v>SISTEMAS ISOLADOS</x:v>
      </x:c>
      <x:c r="D1122" s="53" t="str">
        <x:v>Cativo</x:v>
      </x:c>
      <x:c r="E1122" s="49" t="n">
        <x:v>184</x:v>
      </x:c>
      <x:c r="F1122" s="52" t="n">
        <x:v>1228</x:v>
      </x:c>
      <x:c r="G1122" s="54" t="n">
        <x:v>46220</x:v>
      </x:c>
      <x:c r="H1122" s="14" t="str">
        <x:f>IF(E1122&lt;0,"Componente negativo — manter e investigar","OK")</x:f>
        <x:v>OK</x:v>
      </x:c>
    </x:row>
    <x:row r="1123">
      <x:c r="A1123" s="51" t="n">
        <x:v>41609</x:v>
      </x:c>
      <x:c r="B1123" s="14" t="str">
        <x:v>Centro-Oeste</x:v>
      </x:c>
      <x:c r="C1123" s="14" t="str">
        <x:v>SUDESTE / CENTRO - OESTE</x:v>
      </x:c>
      <x:c r="D1123" s="53" t="str">
        <x:v>Cativo</x:v>
      </x:c>
      <x:c r="E1123" s="49" t="n">
        <x:v>884878</x:v>
      </x:c>
      <x:c r="F1123" s="52" t="n">
        <x:v>4748868</x:v>
      </x:c>
      <x:c r="G1123" s="54" t="n">
        <x:v>46220</x:v>
      </x:c>
      <x:c r="H1123" s="14" t="str">
        <x:f>IF(E1123&lt;0,"Componente negativo — manter e investigar","OK")</x:f>
        <x:v>OK</x:v>
      </x:c>
    </x:row>
    <x:row r="1124">
      <x:c r="A1124" s="51" t="n">
        <x:v>41609</x:v>
      </x:c>
      <x:c r="B1124" s="14" t="str">
        <x:v>Nordeste</x:v>
      </x:c>
      <x:c r="C1124" s="14" t="str">
        <x:v>NORDESTE</x:v>
      </x:c>
      <x:c r="D1124" s="53" t="str">
        <x:v>Cativo</x:v>
      </x:c>
      <x:c r="E1124" s="49" t="n">
        <x:v>1852648</x:v>
      </x:c>
      <x:c r="F1124" s="52" t="n">
        <x:v>15054739</x:v>
      </x:c>
      <x:c r="G1124" s="54" t="n">
        <x:v>46220</x:v>
      </x:c>
      <x:c r="H1124" s="14" t="str">
        <x:f>IF(E1124&lt;0,"Componente negativo — manter e investigar","OK")</x:f>
        <x:v>OK</x:v>
      </x:c>
    </x:row>
    <x:row r="1125">
      <x:c r="A1125" s="51" t="n">
        <x:v>41609</x:v>
      </x:c>
      <x:c r="B1125" s="14" t="str">
        <x:v>Nordeste</x:v>
      </x:c>
      <x:c r="C1125" s="14" t="str">
        <x:v>NORTE INTERLIGADO</x:v>
      </x:c>
      <x:c r="D1125" s="53" t="str">
        <x:v>Cativo</x:v>
      </x:c>
      <x:c r="E1125" s="49" t="n">
        <x:v>222485</x:v>
      </x:c>
      <x:c r="F1125" s="52" t="n">
        <x:v>1893693</x:v>
      </x:c>
      <x:c r="G1125" s="54" t="n">
        <x:v>46220</x:v>
      </x:c>
      <x:c r="H1125" s="14" t="str">
        <x:f>IF(E1125&lt;0,"Componente negativo — manter e investigar","OK")</x:f>
        <x:v>OK</x:v>
      </x:c>
    </x:row>
    <x:row r="1126">
      <x:c r="A1126" s="51" t="n">
        <x:v>41609</x:v>
      </x:c>
      <x:c r="B1126" s="14" t="str">
        <x:v>Nordeste</x:v>
      </x:c>
      <x:c r="C1126" s="14" t="str">
        <x:v>SISTEMAS ISOLADOS</x:v>
      </x:c>
      <x:c r="D1126" s="53" t="str">
        <x:v>Cativo</x:v>
      </x:c>
      <x:c r="E1126" s="49" t="n">
        <x:v>288</x:v>
      </x:c>
      <x:c r="F1126" s="52" t="n">
        <x:v>523</x:v>
      </x:c>
      <x:c r="G1126" s="54" t="n">
        <x:v>46220</x:v>
      </x:c>
      <x:c r="H1126" s="14" t="str">
        <x:f>IF(E1126&lt;0,"Componente negativo — manter e investigar","OK")</x:f>
        <x:v>OK</x:v>
      </x:c>
    </x:row>
    <x:row r="1127">
      <x:c r="A1127" s="51" t="n">
        <x:v>41609</x:v>
      </x:c>
      <x:c r="B1127" s="14" t="str">
        <x:v>Norte</x:v>
      </x:c>
      <x:c r="C1127" s="14" t="str">
        <x:v>NORTE INTERLIGADO</x:v>
      </x:c>
      <x:c r="D1127" s="53" t="str">
        <x:v>Cativo</x:v>
      </x:c>
      <x:c r="E1127" s="49" t="n">
        <x:v>421252</x:v>
      </x:c>
      <x:c r="F1127" s="52" t="n">
        <x:v>2472654</x:v>
      </x:c>
      <x:c r="G1127" s="54" t="n">
        <x:v>46220</x:v>
      </x:c>
      <x:c r="H1127" s="14" t="str">
        <x:f>IF(E1127&lt;0,"Componente negativo — manter e investigar","OK")</x:f>
        <x:v>OK</x:v>
      </x:c>
    </x:row>
    <x:row r="1128">
      <x:c r="A1128" s="51" t="n">
        <x:v>41609</x:v>
      </x:c>
      <x:c r="B1128" s="14" t="str">
        <x:v>Norte</x:v>
      </x:c>
      <x:c r="C1128" s="14" t="str">
        <x:v>SISTEMAS ISOLADOS</x:v>
      </x:c>
      <x:c r="D1128" s="53" t="str">
        <x:v>Cativo</x:v>
      </x:c>
      <x:c r="E1128" s="49" t="n">
        <x:v>150542</x:v>
      </x:c>
      <x:c r="F1128" s="52" t="n">
        <x:v>727425</x:v>
      </x:c>
      <x:c r="G1128" s="54" t="n">
        <x:v>46220</x:v>
      </x:c>
      <x:c r="H1128" s="14" t="str">
        <x:f>IF(E1128&lt;0,"Componente negativo — manter e investigar","OK")</x:f>
        <x:v>OK</x:v>
      </x:c>
    </x:row>
    <x:row r="1129">
      <x:c r="A1129" s="51" t="n">
        <x:v>41609</x:v>
      </x:c>
      <x:c r="B1129" s="14" t="str">
        <x:v>Norte</x:v>
      </x:c>
      <x:c r="C1129" s="14" t="str">
        <x:v>SUDESTE / CENTRO - OESTE</x:v>
      </x:c>
      <x:c r="D1129" s="53" t="str">
        <x:v>Cativo</x:v>
      </x:c>
      <x:c r="E1129" s="49" t="n">
        <x:v>112184</x:v>
      </x:c>
      <x:c r="F1129" s="52" t="n">
        <x:v>503249</x:v>
      </x:c>
      <x:c r="G1129" s="54" t="n">
        <x:v>46220</x:v>
      </x:c>
      <x:c r="H1129" s="14" t="str">
        <x:f>IF(E1129&lt;0,"Componente negativo — manter e investigar","OK")</x:f>
        <x:v>OK</x:v>
      </x:c>
    </x:row>
    <x:row r="1130">
      <x:c r="A1130" s="51" t="n">
        <x:v>41609</x:v>
      </x:c>
      <x:c r="B1130" s="14" t="str">
        <x:v>Sudeste</x:v>
      </x:c>
      <x:c r="C1130" s="14" t="str">
        <x:v>SUDESTE / CENTRO - OESTE</x:v>
      </x:c>
      <x:c r="D1130" s="53" t="str">
        <x:v>Cativo</x:v>
      </x:c>
      <x:c r="E1130" s="49" t="n">
        <x:v>5407419</x:v>
      </x:c>
      <x:c r="F1130" s="52" t="n">
        <x:v>29431624</x:v>
      </x:c>
      <x:c r="G1130" s="54" t="n">
        <x:v>46220</x:v>
      </x:c>
      <x:c r="H1130" s="14" t="str">
        <x:f>IF(E1130&lt;0,"Componente negativo — manter e investigar","OK")</x:f>
        <x:v>OK</x:v>
      </x:c>
    </x:row>
    <x:row r="1131">
      <x:c r="A1131" s="51" t="n">
        <x:v>41609</x:v>
      </x:c>
      <x:c r="B1131" s="14" t="str">
        <x:v>Sul</x:v>
      </x:c>
      <x:c r="C1131" s="14" t="str">
        <x:v>SUL</x:v>
      </x:c>
      <x:c r="D1131" s="53" t="str">
        <x:v>Cativo</x:v>
      </x:c>
      <x:c r="E1131" s="49" t="n">
        <x:v>1653801</x:v>
      </x:c>
      <x:c r="F1131" s="52" t="n">
        <x:v>9028327</x:v>
      </x:c>
      <x:c r="G1131" s="54" t="n">
        <x:v>46220</x:v>
      </x:c>
      <x:c r="H1131" s="14" t="str">
        <x:f>IF(E1131&lt;0,"Componente negativo — manter e investigar","OK")</x:f>
        <x:v>OK</x:v>
      </x:c>
    </x:row>
    <x:row r="1132">
      <x:c r="A1132" s="51" t="n">
        <x:v>41640</x:v>
      </x:c>
      <x:c r="B1132" s="14" t="str">
        <x:v>Centro-Oeste</x:v>
      </x:c>
      <x:c r="C1132" s="14" t="str">
        <x:v>SISTEMAS ISOLADOS</x:v>
      </x:c>
      <x:c r="D1132" s="53" t="str">
        <x:v>Cativo</x:v>
      </x:c>
      <x:c r="E1132" s="49" t="n">
        <x:v>170</x:v>
      </x:c>
      <x:c r="F1132" s="52" t="n">
        <x:v>1231</x:v>
      </x:c>
      <x:c r="G1132" s="54" t="n">
        <x:v>46220</x:v>
      </x:c>
      <x:c r="H1132" s="14" t="str">
        <x:f>IF(E1132&lt;0,"Componente negativo — manter e investigar","OK")</x:f>
        <x:v>OK</x:v>
      </x:c>
    </x:row>
    <x:row r="1133">
      <x:c r="A1133" s="51" t="n">
        <x:v>41640</x:v>
      </x:c>
      <x:c r="B1133" s="14" t="str">
        <x:v>Centro-Oeste</x:v>
      </x:c>
      <x:c r="C1133" s="14" t="str">
        <x:v>SUDESTE / CENTRO - OESTE</x:v>
      </x:c>
      <x:c r="D1133" s="53" t="str">
        <x:v>Cativo</x:v>
      </x:c>
      <x:c r="E1133" s="49" t="n">
        <x:v>920705</x:v>
      </x:c>
      <x:c r="F1133" s="52" t="n">
        <x:v>4762774</x:v>
      </x:c>
      <x:c r="G1133" s="54" t="n">
        <x:v>46220</x:v>
      </x:c>
      <x:c r="H1133" s="14" t="str">
        <x:f>IF(E1133&lt;0,"Componente negativo — manter e investigar","OK")</x:f>
        <x:v>OK</x:v>
      </x:c>
    </x:row>
    <x:row r="1134">
      <x:c r="A1134" s="51" t="n">
        <x:v>41640</x:v>
      </x:c>
      <x:c r="B1134" s="14" t="str">
        <x:v>Nordeste</x:v>
      </x:c>
      <x:c r="C1134" s="14" t="str">
        <x:v>NORDESTE</x:v>
      </x:c>
      <x:c r="D1134" s="53" t="str">
        <x:v>Cativo</x:v>
      </x:c>
      <x:c r="E1134" s="49" t="n">
        <x:v>1989362</x:v>
      </x:c>
      <x:c r="F1134" s="52" t="n">
        <x:v>15106941</x:v>
      </x:c>
      <x:c r="G1134" s="54" t="n">
        <x:v>46220</x:v>
      </x:c>
      <x:c r="H1134" s="14" t="str">
        <x:f>IF(E1134&lt;0,"Componente negativo — manter e investigar","OK")</x:f>
        <x:v>OK</x:v>
      </x:c>
    </x:row>
    <x:row r="1135">
      <x:c r="A1135" s="51" t="n">
        <x:v>41640</x:v>
      </x:c>
      <x:c r="B1135" s="14" t="str">
        <x:v>Nordeste</x:v>
      </x:c>
      <x:c r="C1135" s="14" t="str">
        <x:v>NORTE INTERLIGADO</x:v>
      </x:c>
      <x:c r="D1135" s="53" t="str">
        <x:v>Cativo</x:v>
      </x:c>
      <x:c r="E1135" s="49" t="n">
        <x:v>232690</x:v>
      </x:c>
      <x:c r="F1135" s="52" t="n">
        <x:v>1900170</x:v>
      </x:c>
      <x:c r="G1135" s="54" t="n">
        <x:v>46220</x:v>
      </x:c>
      <x:c r="H1135" s="14" t="str">
        <x:f>IF(E1135&lt;0,"Componente negativo — manter e investigar","OK")</x:f>
        <x:v>OK</x:v>
      </x:c>
    </x:row>
    <x:row r="1136">
      <x:c r="A1136" s="51" t="n">
        <x:v>41640</x:v>
      </x:c>
      <x:c r="B1136" s="14" t="str">
        <x:v>Nordeste</x:v>
      </x:c>
      <x:c r="C1136" s="14" t="str">
        <x:v>SISTEMAS ISOLADOS</x:v>
      </x:c>
      <x:c r="D1136" s="53" t="str">
        <x:v>Cativo</x:v>
      </x:c>
      <x:c r="E1136" s="49" t="n">
        <x:v>360</x:v>
      </x:c>
      <x:c r="F1136" s="52" t="n">
        <x:v>526</x:v>
      </x:c>
      <x:c r="G1136" s="54" t="n">
        <x:v>46220</x:v>
      </x:c>
      <x:c r="H1136" s="14" t="str">
        <x:f>IF(E1136&lt;0,"Componente negativo — manter e investigar","OK")</x:f>
        <x:v>OK</x:v>
      </x:c>
    </x:row>
    <x:row r="1137">
      <x:c r="A1137" s="51" t="n">
        <x:v>41640</x:v>
      </x:c>
      <x:c r="B1137" s="14" t="str">
        <x:v>Norte</x:v>
      </x:c>
      <x:c r="C1137" s="14" t="str">
        <x:v>NORTE INTERLIGADO</x:v>
      </x:c>
      <x:c r="D1137" s="53" t="str">
        <x:v>Cativo</x:v>
      </x:c>
      <x:c r="E1137" s="49" t="n">
        <x:v>378691</x:v>
      </x:c>
      <x:c r="F1137" s="52" t="n">
        <x:v>2486579</x:v>
      </x:c>
      <x:c r="G1137" s="54" t="n">
        <x:v>46220</x:v>
      </x:c>
      <x:c r="H1137" s="14" t="str">
        <x:f>IF(E1137&lt;0,"Componente negativo — manter e investigar","OK")</x:f>
        <x:v>OK</x:v>
      </x:c>
    </x:row>
    <x:row r="1138">
      <x:c r="A1138" s="51" t="n">
        <x:v>41640</x:v>
      </x:c>
      <x:c r="B1138" s="14" t="str">
        <x:v>Norte</x:v>
      </x:c>
      <x:c r="C1138" s="14" t="str">
        <x:v>SISTEMAS ISOLADOS</x:v>
      </x:c>
      <x:c r="D1138" s="53" t="str">
        <x:v>Cativo</x:v>
      </x:c>
      <x:c r="E1138" s="49" t="n">
        <x:v>155376</x:v>
      </x:c>
      <x:c r="F1138" s="52" t="n">
        <x:v>731373</x:v>
      </x:c>
      <x:c r="G1138" s="54" t="n">
        <x:v>46220</x:v>
      </x:c>
      <x:c r="H1138" s="14" t="str">
        <x:f>IF(E1138&lt;0,"Componente negativo — manter e investigar","OK")</x:f>
        <x:v>OK</x:v>
      </x:c>
    </x:row>
    <x:row r="1139">
      <x:c r="A1139" s="51" t="n">
        <x:v>41640</x:v>
      </x:c>
      <x:c r="B1139" s="14" t="str">
        <x:v>Norte</x:v>
      </x:c>
      <x:c r="C1139" s="14" t="str">
        <x:v>SUDESTE / CENTRO - OESTE</x:v>
      </x:c>
      <x:c r="D1139" s="53" t="str">
        <x:v>Cativo</x:v>
      </x:c>
      <x:c r="E1139" s="49" t="n">
        <x:v>117760</x:v>
      </x:c>
      <x:c r="F1139" s="52" t="n">
        <x:v>506978</x:v>
      </x:c>
      <x:c r="G1139" s="54" t="n">
        <x:v>46220</x:v>
      </x:c>
      <x:c r="H1139" s="14" t="str">
        <x:f>IF(E1139&lt;0,"Componente negativo — manter e investigar","OK")</x:f>
        <x:v>OK</x:v>
      </x:c>
    </x:row>
    <x:row r="1140">
      <x:c r="A1140" s="51" t="n">
        <x:v>41640</x:v>
      </x:c>
      <x:c r="B1140" s="14" t="str">
        <x:v>Sudeste</x:v>
      </x:c>
      <x:c r="C1140" s="14" t="str">
        <x:v>SUDESTE / CENTRO - OESTE</x:v>
      </x:c>
      <x:c r="D1140" s="53" t="str">
        <x:v>Cativo</x:v>
      </x:c>
      <x:c r="E1140" s="49" t="n">
        <x:v>5991046</x:v>
      </x:c>
      <x:c r="F1140" s="52" t="n">
        <x:v>29489741</x:v>
      </x:c>
      <x:c r="G1140" s="54" t="n">
        <x:v>46220</x:v>
      </x:c>
      <x:c r="H1140" s="14" t="str">
        <x:f>IF(E1140&lt;0,"Componente negativo — manter e investigar","OK")</x:f>
        <x:v>OK</x:v>
      </x:c>
    </x:row>
    <x:row r="1141">
      <x:c r="A1141" s="51" t="n">
        <x:v>41640</x:v>
      </x:c>
      <x:c r="B1141" s="14" t="str">
        <x:v>Sul</x:v>
      </x:c>
      <x:c r="C1141" s="14" t="str">
        <x:v>SUL</x:v>
      </x:c>
      <x:c r="D1141" s="53" t="str">
        <x:v>Cativo</x:v>
      </x:c>
      <x:c r="E1141" s="49" t="n">
        <x:v>2012159</x:v>
      </x:c>
      <x:c r="F1141" s="52" t="n">
        <x:v>9060998</x:v>
      </x:c>
      <x:c r="G1141" s="54" t="n">
        <x:v>46220</x:v>
      </x:c>
      <x:c r="H1141" s="14" t="str">
        <x:f>IF(E1141&lt;0,"Componente negativo — manter e investigar","OK")</x:f>
        <x:v>OK</x:v>
      </x:c>
    </x:row>
    <x:row r="1142">
      <x:c r="A1142" s="51" t="n">
        <x:v>41671</x:v>
      </x:c>
      <x:c r="B1142" s="14" t="str">
        <x:v>Centro-Oeste</x:v>
      </x:c>
      <x:c r="C1142" s="14" t="str">
        <x:v>SISTEMAS ISOLADOS</x:v>
      </x:c>
      <x:c r="D1142" s="53" t="str">
        <x:v>Cativo</x:v>
      </x:c>
      <x:c r="E1142" s="49" t="n">
        <x:v>166</x:v>
      </x:c>
      <x:c r="F1142" s="52" t="n">
        <x:v>1229</x:v>
      </x:c>
      <x:c r="G1142" s="54" t="n">
        <x:v>46220</x:v>
      </x:c>
      <x:c r="H1142" s="14" t="str">
        <x:f>IF(E1142&lt;0,"Componente negativo — manter e investigar","OK")</x:f>
        <x:v>OK</x:v>
      </x:c>
    </x:row>
    <x:row r="1143">
      <x:c r="A1143" s="51" t="n">
        <x:v>41671</x:v>
      </x:c>
      <x:c r="B1143" s="14" t="str">
        <x:v>Centro-Oeste</x:v>
      </x:c>
      <x:c r="C1143" s="14" t="str">
        <x:v>SUDESTE / CENTRO - OESTE</x:v>
      </x:c>
      <x:c r="D1143" s="53" t="str">
        <x:v>Cativo</x:v>
      </x:c>
      <x:c r="E1143" s="49" t="n">
        <x:v>873971</x:v>
      </x:c>
      <x:c r="F1143" s="52" t="n">
        <x:v>4781646</x:v>
      </x:c>
      <x:c r="G1143" s="54" t="n">
        <x:v>46220</x:v>
      </x:c>
      <x:c r="H1143" s="14" t="str">
        <x:f>IF(E1143&lt;0,"Componente negativo — manter e investigar","OK")</x:f>
        <x:v>OK</x:v>
      </x:c>
    </x:row>
    <x:row r="1144">
      <x:c r="A1144" s="51" t="n">
        <x:v>41671</x:v>
      </x:c>
      <x:c r="B1144" s="14" t="str">
        <x:v>Nordeste</x:v>
      </x:c>
      <x:c r="C1144" s="14" t="str">
        <x:v>NORDESTE</x:v>
      </x:c>
      <x:c r="D1144" s="53" t="str">
        <x:v>Cativo</x:v>
      </x:c>
      <x:c r="E1144" s="49" t="n">
        <x:v>1899938</x:v>
      </x:c>
      <x:c r="F1144" s="52" t="n">
        <x:v>15155535</x:v>
      </x:c>
      <x:c r="G1144" s="54" t="n">
        <x:v>46220</x:v>
      </x:c>
      <x:c r="H1144" s="14" t="str">
        <x:f>IF(E1144&lt;0,"Componente negativo — manter e investigar","OK")</x:f>
        <x:v>OK</x:v>
      </x:c>
    </x:row>
    <x:row r="1145">
      <x:c r="A1145" s="51" t="n">
        <x:v>41671</x:v>
      </x:c>
      <x:c r="B1145" s="14" t="str">
        <x:v>Nordeste</x:v>
      </x:c>
      <x:c r="C1145" s="14" t="str">
        <x:v>NORTE INTERLIGADO</x:v>
      </x:c>
      <x:c r="D1145" s="53" t="str">
        <x:v>Cativo</x:v>
      </x:c>
      <x:c r="E1145" s="49" t="n">
        <x:v>215731</x:v>
      </x:c>
      <x:c r="F1145" s="52" t="n">
        <x:v>1904372</x:v>
      </x:c>
      <x:c r="G1145" s="54" t="n">
        <x:v>46220</x:v>
      </x:c>
      <x:c r="H1145" s="14" t="str">
        <x:f>IF(E1145&lt;0,"Componente negativo — manter e investigar","OK")</x:f>
        <x:v>OK</x:v>
      </x:c>
    </x:row>
    <x:row r="1146">
      <x:c r="A1146" s="51" t="n">
        <x:v>41671</x:v>
      </x:c>
      <x:c r="B1146" s="14" t="str">
        <x:v>Nordeste</x:v>
      </x:c>
      <x:c r="C1146" s="14" t="str">
        <x:v>SISTEMAS ISOLADOS</x:v>
      </x:c>
      <x:c r="D1146" s="53" t="str">
        <x:v>Cativo</x:v>
      </x:c>
      <x:c r="E1146" s="49" t="n">
        <x:v>308</x:v>
      </x:c>
      <x:c r="F1146" s="52" t="n">
        <x:v>527</x:v>
      </x:c>
      <x:c r="G1146" s="54" t="n">
        <x:v>46220</x:v>
      </x:c>
      <x:c r="H1146" s="14" t="str">
        <x:f>IF(E1146&lt;0,"Componente negativo — manter e investigar","OK")</x:f>
        <x:v>OK</x:v>
      </x:c>
    </x:row>
    <x:row r="1147">
      <x:c r="A1147" s="51" t="n">
        <x:v>41671</x:v>
      </x:c>
      <x:c r="B1147" s="14" t="str">
        <x:v>Norte</x:v>
      </x:c>
      <x:c r="C1147" s="14" t="str">
        <x:v>NORTE INTERLIGADO</x:v>
      </x:c>
      <x:c r="D1147" s="53" t="str">
        <x:v>Cativo</x:v>
      </x:c>
      <x:c r="E1147" s="49" t="n">
        <x:v>393258</x:v>
      </x:c>
      <x:c r="F1147" s="52" t="n">
        <x:v>2508133</x:v>
      </x:c>
      <x:c r="G1147" s="54" t="n">
        <x:v>46220</x:v>
      </x:c>
      <x:c r="H1147" s="14" t="str">
        <x:f>IF(E1147&lt;0,"Componente negativo — manter e investigar","OK")</x:f>
        <x:v>OK</x:v>
      </x:c>
    </x:row>
    <x:row r="1148">
      <x:c r="A1148" s="51" t="n">
        <x:v>41671</x:v>
      </x:c>
      <x:c r="B1148" s="14" t="str">
        <x:v>Norte</x:v>
      </x:c>
      <x:c r="C1148" s="14" t="str">
        <x:v>SISTEMAS ISOLADOS</x:v>
      </x:c>
      <x:c r="D1148" s="53" t="str">
        <x:v>Cativo</x:v>
      </x:c>
      <x:c r="E1148" s="49" t="n">
        <x:v>137925</x:v>
      </x:c>
      <x:c r="F1148" s="52" t="n">
        <x:v>731759</x:v>
      </x:c>
      <x:c r="G1148" s="54" t="n">
        <x:v>46220</x:v>
      </x:c>
      <x:c r="H1148" s="14" t="str">
        <x:f>IF(E1148&lt;0,"Componente negativo — manter e investigar","OK")</x:f>
        <x:v>OK</x:v>
      </x:c>
    </x:row>
    <x:row r="1149">
      <x:c r="A1149" s="51" t="n">
        <x:v>41671</x:v>
      </x:c>
      <x:c r="B1149" s="14" t="str">
        <x:v>Norte</x:v>
      </x:c>
      <x:c r="C1149" s="14" t="str">
        <x:v>SUDESTE / CENTRO - OESTE</x:v>
      </x:c>
      <x:c r="D1149" s="53" t="str">
        <x:v>Cativo</x:v>
      </x:c>
      <x:c r="E1149" s="49" t="n">
        <x:v>108921</x:v>
      </x:c>
      <x:c r="F1149" s="52" t="n">
        <x:v>506370</x:v>
      </x:c>
      <x:c r="G1149" s="54" t="n">
        <x:v>46220</x:v>
      </x:c>
      <x:c r="H1149" s="14" t="str">
        <x:f>IF(E1149&lt;0,"Componente negativo — manter e investigar","OK")</x:f>
        <x:v>OK</x:v>
      </x:c>
    </x:row>
    <x:row r="1150">
      <x:c r="A1150" s="51" t="n">
        <x:v>41671</x:v>
      </x:c>
      <x:c r="B1150" s="14" t="str">
        <x:v>Sudeste</x:v>
      </x:c>
      <x:c r="C1150" s="14" t="str">
        <x:v>SUDESTE / CENTRO - OESTE</x:v>
      </x:c>
      <x:c r="D1150" s="53" t="str">
        <x:v>Cativo</x:v>
      </x:c>
      <x:c r="E1150" s="49" t="n">
        <x:v>6082595</x:v>
      </x:c>
      <x:c r="F1150" s="52" t="n">
        <x:v>29613355</x:v>
      </x:c>
      <x:c r="G1150" s="54" t="n">
        <x:v>46220</x:v>
      </x:c>
      <x:c r="H1150" s="14" t="str">
        <x:f>IF(E1150&lt;0,"Componente negativo — manter e investigar","OK")</x:f>
        <x:v>OK</x:v>
      </x:c>
    </x:row>
    <x:row r="1151">
      <x:c r="A1151" s="51" t="n">
        <x:v>41671</x:v>
      </x:c>
      <x:c r="B1151" s="14" t="str">
        <x:v>Sul</x:v>
      </x:c>
      <x:c r="C1151" s="14" t="str">
        <x:v>SUL</x:v>
      </x:c>
      <x:c r="D1151" s="53" t="str">
        <x:v>Cativo</x:v>
      </x:c>
      <x:c r="E1151" s="49" t="n">
        <x:v>2166045</x:v>
      </x:c>
      <x:c r="F1151" s="52" t="n">
        <x:v>9081633</x:v>
      </x:c>
      <x:c r="G1151" s="54" t="n">
        <x:v>46220</x:v>
      </x:c>
      <x:c r="H1151" s="14" t="str">
        <x:f>IF(E1151&lt;0,"Componente negativo — manter e investigar","OK")</x:f>
        <x:v>OK</x:v>
      </x:c>
    </x:row>
    <x:row r="1152">
      <x:c r="A1152" s="51" t="n">
        <x:v>41699</x:v>
      </x:c>
      <x:c r="B1152" s="14" t="str">
        <x:v>Centro-Oeste</x:v>
      </x:c>
      <x:c r="C1152" s="14" t="str">
        <x:v>SISTEMAS ISOLADOS</x:v>
      </x:c>
      <x:c r="D1152" s="53" t="str">
        <x:v>Cativo</x:v>
      </x:c>
      <x:c r="E1152" s="49" t="n">
        <x:v>176</x:v>
      </x:c>
      <x:c r="F1152" s="52" t="n">
        <x:v>1242</x:v>
      </x:c>
      <x:c r="G1152" s="54" t="n">
        <x:v>46220</x:v>
      </x:c>
      <x:c r="H1152" s="14" t="str">
        <x:f>IF(E1152&lt;0,"Componente negativo — manter e investigar","OK")</x:f>
        <x:v>OK</x:v>
      </x:c>
    </x:row>
    <x:row r="1153">
      <x:c r="A1153" s="51" t="n">
        <x:v>41699</x:v>
      </x:c>
      <x:c r="B1153" s="14" t="str">
        <x:v>Centro-Oeste</x:v>
      </x:c>
      <x:c r="C1153" s="14" t="str">
        <x:v>SUDESTE / CENTRO - OESTE</x:v>
      </x:c>
      <x:c r="D1153" s="53" t="str">
        <x:v>Cativo</x:v>
      </x:c>
      <x:c r="E1153" s="49" t="n">
        <x:v>876069</x:v>
      </x:c>
      <x:c r="F1153" s="52" t="n">
        <x:v>4797612</x:v>
      </x:c>
      <x:c r="G1153" s="54" t="n">
        <x:v>46220</x:v>
      </x:c>
      <x:c r="H1153" s="14" t="str">
        <x:f>IF(E1153&lt;0,"Componente negativo — manter e investigar","OK")</x:f>
        <x:v>OK</x:v>
      </x:c>
    </x:row>
    <x:row r="1154">
      <x:c r="A1154" s="51" t="n">
        <x:v>41699</x:v>
      </x:c>
      <x:c r="B1154" s="14" t="str">
        <x:v>Nordeste</x:v>
      </x:c>
      <x:c r="C1154" s="14" t="str">
        <x:v>NORDESTE</x:v>
      </x:c>
      <x:c r="D1154" s="53" t="str">
        <x:v>Cativo</x:v>
      </x:c>
      <x:c r="E1154" s="49" t="n">
        <x:v>1937712</x:v>
      </x:c>
      <x:c r="F1154" s="52" t="n">
        <x:v>15201415</x:v>
      </x:c>
      <x:c r="G1154" s="54" t="n">
        <x:v>46220</x:v>
      </x:c>
      <x:c r="H1154" s="14" t="str">
        <x:f>IF(E1154&lt;0,"Componente negativo — manter e investigar","OK")</x:f>
        <x:v>OK</x:v>
      </x:c>
    </x:row>
    <x:row r="1155">
      <x:c r="A1155" s="51" t="n">
        <x:v>41699</x:v>
      </x:c>
      <x:c r="B1155" s="14" t="str">
        <x:v>Nordeste</x:v>
      </x:c>
      <x:c r="C1155" s="14" t="str">
        <x:v>NORTE INTERLIGADO</x:v>
      </x:c>
      <x:c r="D1155" s="53" t="str">
        <x:v>Cativo</x:v>
      </x:c>
      <x:c r="E1155" s="49" t="n">
        <x:v>214148</x:v>
      </x:c>
      <x:c r="F1155" s="52" t="n">
        <x:v>1912448</x:v>
      </x:c>
      <x:c r="G1155" s="54" t="n">
        <x:v>46220</x:v>
      </x:c>
      <x:c r="H1155" s="14" t="str">
        <x:f>IF(E1155&lt;0,"Componente negativo — manter e investigar","OK")</x:f>
        <x:v>OK</x:v>
      </x:c>
    </x:row>
    <x:row r="1156">
      <x:c r="A1156" s="51" t="n">
        <x:v>41699</x:v>
      </x:c>
      <x:c r="B1156" s="14" t="str">
        <x:v>Nordeste</x:v>
      </x:c>
      <x:c r="C1156" s="14" t="str">
        <x:v>SISTEMAS ISOLADOS</x:v>
      </x:c>
      <x:c r="D1156" s="53" t="str">
        <x:v>Cativo</x:v>
      </x:c>
      <x:c r="E1156" s="49" t="n">
        <x:v>357</x:v>
      </x:c>
      <x:c r="F1156" s="52" t="n">
        <x:v>527</x:v>
      </x:c>
      <x:c r="G1156" s="54" t="n">
        <x:v>46220</x:v>
      </x:c>
      <x:c r="H1156" s="14" t="str">
        <x:f>IF(E1156&lt;0,"Componente negativo — manter e investigar","OK")</x:f>
        <x:v>OK</x:v>
      </x:c>
    </x:row>
    <x:row r="1157">
      <x:c r="A1157" s="51" t="n">
        <x:v>41699</x:v>
      </x:c>
      <x:c r="B1157" s="14" t="str">
        <x:v>Norte</x:v>
      </x:c>
      <x:c r="C1157" s="14" t="str">
        <x:v>NORTE INTERLIGADO</x:v>
      </x:c>
      <x:c r="D1157" s="53" t="str">
        <x:v>Cativo</x:v>
      </x:c>
      <x:c r="E1157" s="49" t="n">
        <x:v>410436</x:v>
      </x:c>
      <x:c r="F1157" s="52" t="n">
        <x:v>2530104</x:v>
      </x:c>
      <x:c r="G1157" s="54" t="n">
        <x:v>46220</x:v>
      </x:c>
      <x:c r="H1157" s="14" t="str">
        <x:f>IF(E1157&lt;0,"Componente negativo — manter e investigar","OK")</x:f>
        <x:v>OK</x:v>
      </x:c>
    </x:row>
    <x:row r="1158">
      <x:c r="A1158" s="51" t="n">
        <x:v>41699</x:v>
      </x:c>
      <x:c r="B1158" s="14" t="str">
        <x:v>Norte</x:v>
      </x:c>
      <x:c r="C1158" s="14" t="str">
        <x:v>SISTEMAS ISOLADOS</x:v>
      </x:c>
      <x:c r="D1158" s="53" t="str">
        <x:v>Cativo</x:v>
      </x:c>
      <x:c r="E1158" s="49" t="n">
        <x:v>143797</x:v>
      </x:c>
      <x:c r="F1158" s="52" t="n">
        <x:v>735862</x:v>
      </x:c>
      <x:c r="G1158" s="54" t="n">
        <x:v>46220</x:v>
      </x:c>
      <x:c r="H1158" s="14" t="str">
        <x:f>IF(E1158&lt;0,"Componente negativo — manter e investigar","OK")</x:f>
        <x:v>OK</x:v>
      </x:c>
    </x:row>
    <x:row r="1159">
      <x:c r="A1159" s="51" t="n">
        <x:v>41699</x:v>
      </x:c>
      <x:c r="B1159" s="14" t="str">
        <x:v>Norte</x:v>
      </x:c>
      <x:c r="C1159" s="14" t="str">
        <x:v>SUDESTE / CENTRO - OESTE</x:v>
      </x:c>
      <x:c r="D1159" s="53" t="str">
        <x:v>Cativo</x:v>
      </x:c>
      <x:c r="E1159" s="49" t="n">
        <x:v>111473</x:v>
      </x:c>
      <x:c r="F1159" s="52" t="n">
        <x:v>506851</x:v>
      </x:c>
      <x:c r="G1159" s="54" t="n">
        <x:v>46220</x:v>
      </x:c>
      <x:c r="H1159" s="14" t="str">
        <x:f>IF(E1159&lt;0,"Componente negativo — manter e investigar","OK")</x:f>
        <x:v>OK</x:v>
      </x:c>
    </x:row>
    <x:row r="1160">
      <x:c r="A1160" s="51" t="n">
        <x:v>41699</x:v>
      </x:c>
      <x:c r="B1160" s="14" t="str">
        <x:v>Sudeste</x:v>
      </x:c>
      <x:c r="C1160" s="14" t="str">
        <x:v>SUDESTE / CENTRO - OESTE</x:v>
      </x:c>
      <x:c r="D1160" s="53" t="str">
        <x:v>Cativo</x:v>
      </x:c>
      <x:c r="E1160" s="49" t="n">
        <x:v>5783428</x:v>
      </x:c>
      <x:c r="F1160" s="52" t="n">
        <x:v>29668816</x:v>
      </x:c>
      <x:c r="G1160" s="54" t="n">
        <x:v>46220</x:v>
      </x:c>
      <x:c r="H1160" s="14" t="str">
        <x:f>IF(E1160&lt;0,"Componente negativo — manter e investigar","OK")</x:f>
        <x:v>OK</x:v>
      </x:c>
    </x:row>
    <x:row r="1161">
      <x:c r="A1161" s="51" t="n">
        <x:v>41699</x:v>
      </x:c>
      <x:c r="B1161" s="14" t="str">
        <x:v>Sul</x:v>
      </x:c>
      <x:c r="C1161" s="14" t="str">
        <x:v>SUL</x:v>
      </x:c>
      <x:c r="D1161" s="53" t="str">
        <x:v>Cativo</x:v>
      </x:c>
      <x:c r="E1161" s="49" t="n">
        <x:v>1810905</x:v>
      </x:c>
      <x:c r="F1161" s="52" t="n">
        <x:v>9108310</x:v>
      </x:c>
      <x:c r="G1161" s="54" t="n">
        <x:v>46220</x:v>
      </x:c>
      <x:c r="H1161" s="14" t="str">
        <x:f>IF(E1161&lt;0,"Componente negativo — manter e investigar","OK")</x:f>
        <x:v>OK</x:v>
      </x:c>
    </x:row>
    <x:row r="1162">
      <x:c r="A1162" s="51" t="n">
        <x:v>41730</x:v>
      </x:c>
      <x:c r="B1162" s="14" t="str">
        <x:v>Centro-Oeste</x:v>
      </x:c>
      <x:c r="C1162" s="14" t="str">
        <x:v>SISTEMAS ISOLADOS</x:v>
      </x:c>
      <x:c r="D1162" s="53" t="str">
        <x:v>Cativo</x:v>
      </x:c>
      <x:c r="E1162" s="49" t="n">
        <x:v>171</x:v>
      </x:c>
      <x:c r="F1162" s="52" t="n">
        <x:v>1247</x:v>
      </x:c>
      <x:c r="G1162" s="54" t="n">
        <x:v>46220</x:v>
      </x:c>
      <x:c r="H1162" s="14" t="str">
        <x:f>IF(E1162&lt;0,"Componente negativo — manter e investigar","OK")</x:f>
        <x:v>OK</x:v>
      </x:c>
    </x:row>
    <x:row r="1163">
      <x:c r="A1163" s="51" t="n">
        <x:v>41730</x:v>
      </x:c>
      <x:c r="B1163" s="14" t="str">
        <x:v>Centro-Oeste</x:v>
      </x:c>
      <x:c r="C1163" s="14" t="str">
        <x:v>SUDESTE / CENTRO - OESTE</x:v>
      </x:c>
      <x:c r="D1163" s="53" t="str">
        <x:v>Cativo</x:v>
      </x:c>
      <x:c r="E1163" s="49" t="n">
        <x:v>868206</x:v>
      </x:c>
      <x:c r="F1163" s="52" t="n">
        <x:v>4811994</x:v>
      </x:c>
      <x:c r="G1163" s="54" t="n">
        <x:v>46220</x:v>
      </x:c>
      <x:c r="H1163" s="14" t="str">
        <x:f>IF(E1163&lt;0,"Componente negativo — manter e investigar","OK")</x:f>
        <x:v>OK</x:v>
      </x:c>
    </x:row>
    <x:row r="1164">
      <x:c r="A1164" s="51" t="n">
        <x:v>41730</x:v>
      </x:c>
      <x:c r="B1164" s="14" t="str">
        <x:v>Nordeste</x:v>
      </x:c>
      <x:c r="C1164" s="14" t="str">
        <x:v>NORDESTE</x:v>
      </x:c>
      <x:c r="D1164" s="53" t="str">
        <x:v>Cativo</x:v>
      </x:c>
      <x:c r="E1164" s="49" t="n">
        <x:v>1914932</x:v>
      </x:c>
      <x:c r="F1164" s="52" t="n">
        <x:v>15242653</x:v>
      </x:c>
      <x:c r="G1164" s="54" t="n">
        <x:v>46220</x:v>
      </x:c>
      <x:c r="H1164" s="14" t="str">
        <x:f>IF(E1164&lt;0,"Componente negativo — manter e investigar","OK")</x:f>
        <x:v>OK</x:v>
      </x:c>
    </x:row>
    <x:row r="1165">
      <x:c r="A1165" s="51" t="n">
        <x:v>41730</x:v>
      </x:c>
      <x:c r="B1165" s="14" t="str">
        <x:v>Nordeste</x:v>
      </x:c>
      <x:c r="C1165" s="14" t="str">
        <x:v>NORTE INTERLIGADO</x:v>
      </x:c>
      <x:c r="D1165" s="53" t="str">
        <x:v>Cativo</x:v>
      </x:c>
      <x:c r="E1165" s="49" t="n">
        <x:v>212147</x:v>
      </x:c>
      <x:c r="F1165" s="52" t="n">
        <x:v>1917435</x:v>
      </x:c>
      <x:c r="G1165" s="54" t="n">
        <x:v>46220</x:v>
      </x:c>
      <x:c r="H1165" s="14" t="str">
        <x:f>IF(E1165&lt;0,"Componente negativo — manter e investigar","OK")</x:f>
        <x:v>OK</x:v>
      </x:c>
    </x:row>
    <x:row r="1166">
      <x:c r="A1166" s="51" t="n">
        <x:v>41730</x:v>
      </x:c>
      <x:c r="B1166" s="14" t="str">
        <x:v>Nordeste</x:v>
      </x:c>
      <x:c r="C1166" s="14" t="str">
        <x:v>SISTEMAS ISOLADOS</x:v>
      </x:c>
      <x:c r="D1166" s="53" t="str">
        <x:v>Cativo</x:v>
      </x:c>
      <x:c r="E1166" s="49" t="n">
        <x:v>318</x:v>
      </x:c>
      <x:c r="F1166" s="52" t="n">
        <x:v>527</x:v>
      </x:c>
      <x:c r="G1166" s="54" t="n">
        <x:v>46220</x:v>
      </x:c>
      <x:c r="H1166" s="14" t="str">
        <x:f>IF(E1166&lt;0,"Componente negativo — manter e investigar","OK")</x:f>
        <x:v>OK</x:v>
      </x:c>
    </x:row>
    <x:row r="1167">
      <x:c r="A1167" s="51" t="n">
        <x:v>41730</x:v>
      </x:c>
      <x:c r="B1167" s="14" t="str">
        <x:v>Norte</x:v>
      </x:c>
      <x:c r="C1167" s="14" t="str">
        <x:v>NORTE INTERLIGADO</x:v>
      </x:c>
      <x:c r="D1167" s="53" t="str">
        <x:v>Cativo</x:v>
      </x:c>
      <x:c r="E1167" s="49" t="n">
        <x:v>393349</x:v>
      </x:c>
      <x:c r="F1167" s="52" t="n">
        <x:v>2545537</x:v>
      </x:c>
      <x:c r="G1167" s="54" t="n">
        <x:v>46220</x:v>
      </x:c>
      <x:c r="H1167" s="14" t="str">
        <x:f>IF(E1167&lt;0,"Componente negativo — manter e investigar","OK")</x:f>
        <x:v>OK</x:v>
      </x:c>
    </x:row>
    <x:row r="1168">
      <x:c r="A1168" s="51" t="n">
        <x:v>41730</x:v>
      </x:c>
      <x:c r="B1168" s="14" t="str">
        <x:v>Norte</x:v>
      </x:c>
      <x:c r="C1168" s="14" t="str">
        <x:v>SISTEMAS ISOLADOS</x:v>
      </x:c>
      <x:c r="D1168" s="53" t="str">
        <x:v>Cativo</x:v>
      </x:c>
      <x:c r="E1168" s="49" t="n">
        <x:v>142795</x:v>
      </x:c>
      <x:c r="F1168" s="52" t="n">
        <x:v>739379</x:v>
      </x:c>
      <x:c r="G1168" s="54" t="n">
        <x:v>46220</x:v>
      </x:c>
      <x:c r="H1168" s="14" t="str">
        <x:f>IF(E1168&lt;0,"Componente negativo — manter e investigar","OK")</x:f>
        <x:v>OK</x:v>
      </x:c>
    </x:row>
    <x:row r="1169">
      <x:c r="A1169" s="51" t="n">
        <x:v>41730</x:v>
      </x:c>
      <x:c r="B1169" s="14" t="str">
        <x:v>Norte</x:v>
      </x:c>
      <x:c r="C1169" s="14" t="str">
        <x:v>SUDESTE / CENTRO - OESTE</x:v>
      </x:c>
      <x:c r="D1169" s="53" t="str">
        <x:v>Cativo</x:v>
      </x:c>
      <x:c r="E1169" s="49" t="n">
        <x:v>113834</x:v>
      </x:c>
      <x:c r="F1169" s="52" t="n">
        <x:v>507306</x:v>
      </x:c>
      <x:c r="G1169" s="54" t="n">
        <x:v>46220</x:v>
      </x:c>
      <x:c r="H1169" s="14" t="str">
        <x:f>IF(E1169&lt;0,"Componente negativo — manter e investigar","OK")</x:f>
        <x:v>OK</x:v>
      </x:c>
    </x:row>
    <x:row r="1170">
      <x:c r="A1170" s="51" t="n">
        <x:v>41730</x:v>
      </x:c>
      <x:c r="B1170" s="14" t="str">
        <x:v>Sudeste</x:v>
      </x:c>
      <x:c r="C1170" s="14" t="str">
        <x:v>SUDESTE / CENTRO - OESTE</x:v>
      </x:c>
      <x:c r="D1170" s="53" t="str">
        <x:v>Cativo</x:v>
      </x:c>
      <x:c r="E1170" s="49" t="n">
        <x:v>5477028</x:v>
      </x:c>
      <x:c r="F1170" s="52" t="n">
        <x:v>29728712</x:v>
      </x:c>
      <x:c r="G1170" s="54" t="n">
        <x:v>46220</x:v>
      </x:c>
      <x:c r="H1170" s="14" t="str">
        <x:f>IF(E1170&lt;0,"Componente negativo — manter e investigar","OK")</x:f>
        <x:v>OK</x:v>
      </x:c>
    </x:row>
    <x:row r="1171">
      <x:c r="A1171" s="51" t="n">
        <x:v>41730</x:v>
      </x:c>
      <x:c r="B1171" s="14" t="str">
        <x:v>Sul</x:v>
      </x:c>
      <x:c r="C1171" s="14" t="str">
        <x:v>SUL</x:v>
      </x:c>
      <x:c r="D1171" s="53" t="str">
        <x:v>Cativo</x:v>
      </x:c>
      <x:c r="E1171" s="49" t="n">
        <x:v>1657560</x:v>
      </x:c>
      <x:c r="F1171" s="52" t="n">
        <x:v>9131632</x:v>
      </x:c>
      <x:c r="G1171" s="54" t="n">
        <x:v>46220</x:v>
      </x:c>
      <x:c r="H1171" s="14" t="str">
        <x:f>IF(E1171&lt;0,"Componente negativo — manter e investigar","OK")</x:f>
        <x:v>OK</x:v>
      </x:c>
    </x:row>
    <x:row r="1172">
      <x:c r="A1172" s="51" t="n">
        <x:v>41760</x:v>
      </x:c>
      <x:c r="B1172" s="14" t="str">
        <x:v>Centro-Oeste</x:v>
      </x:c>
      <x:c r="C1172" s="14" t="str">
        <x:v>SISTEMAS ISOLADOS</x:v>
      </x:c>
      <x:c r="D1172" s="53" t="str">
        <x:v>Cativo</x:v>
      </x:c>
      <x:c r="E1172" s="49" t="n">
        <x:v>181</x:v>
      </x:c>
      <x:c r="F1172" s="52" t="n">
        <x:v>1262</x:v>
      </x:c>
      <x:c r="G1172" s="54" t="n">
        <x:v>46220</x:v>
      </x:c>
      <x:c r="H1172" s="14" t="str">
        <x:f>IF(E1172&lt;0,"Componente negativo — manter e investigar","OK")</x:f>
        <x:v>OK</x:v>
      </x:c>
    </x:row>
    <x:row r="1173">
      <x:c r="A1173" s="51" t="n">
        <x:v>41760</x:v>
      </x:c>
      <x:c r="B1173" s="14" t="str">
        <x:v>Centro-Oeste</x:v>
      </x:c>
      <x:c r="C1173" s="14" t="str">
        <x:v>SUDESTE / CENTRO - OESTE</x:v>
      </x:c>
      <x:c r="D1173" s="53" t="str">
        <x:v>Cativo</x:v>
      </x:c>
      <x:c r="E1173" s="49" t="n">
        <x:v>887870</x:v>
      </x:c>
      <x:c r="F1173" s="52" t="n">
        <x:v>4827272</x:v>
      </x:c>
      <x:c r="G1173" s="54" t="n">
        <x:v>46220</x:v>
      </x:c>
      <x:c r="H1173" s="14" t="str">
        <x:f>IF(E1173&lt;0,"Componente negativo — manter e investigar","OK")</x:f>
        <x:v>OK</x:v>
      </x:c>
    </x:row>
    <x:row r="1174">
      <x:c r="A1174" s="51" t="n">
        <x:v>41760</x:v>
      </x:c>
      <x:c r="B1174" s="14" t="str">
        <x:v>Nordeste</x:v>
      </x:c>
      <x:c r="C1174" s="14" t="str">
        <x:v>NORDESTE</x:v>
      </x:c>
      <x:c r="D1174" s="53" t="str">
        <x:v>Cativo</x:v>
      </x:c>
      <x:c r="E1174" s="49" t="n">
        <x:v>1940873</x:v>
      </x:c>
      <x:c r="F1174" s="52" t="n">
        <x:v>15289088</x:v>
      </x:c>
      <x:c r="G1174" s="54" t="n">
        <x:v>46220</x:v>
      </x:c>
      <x:c r="H1174" s="14" t="str">
        <x:f>IF(E1174&lt;0,"Componente negativo — manter e investigar","OK")</x:f>
        <x:v>OK</x:v>
      </x:c>
    </x:row>
    <x:row r="1175">
      <x:c r="A1175" s="51" t="n">
        <x:v>41760</x:v>
      </x:c>
      <x:c r="B1175" s="14" t="str">
        <x:v>Nordeste</x:v>
      </x:c>
      <x:c r="C1175" s="14" t="str">
        <x:v>NORTE INTERLIGADO</x:v>
      </x:c>
      <x:c r="D1175" s="53" t="str">
        <x:v>Cativo</x:v>
      </x:c>
      <x:c r="E1175" s="49" t="n">
        <x:v>223300</x:v>
      </x:c>
      <x:c r="F1175" s="52" t="n">
        <x:v>1920280</x:v>
      </x:c>
      <x:c r="G1175" s="54" t="n">
        <x:v>46220</x:v>
      </x:c>
      <x:c r="H1175" s="14" t="str">
        <x:f>IF(E1175&lt;0,"Componente negativo — manter e investigar","OK")</x:f>
        <x:v>OK</x:v>
      </x:c>
    </x:row>
    <x:row r="1176">
      <x:c r="A1176" s="51" t="n">
        <x:v>41760</x:v>
      </x:c>
      <x:c r="B1176" s="14" t="str">
        <x:v>Nordeste</x:v>
      </x:c>
      <x:c r="C1176" s="14" t="str">
        <x:v>SISTEMAS ISOLADOS</x:v>
      </x:c>
      <x:c r="D1176" s="53" t="str">
        <x:v>Cativo</x:v>
      </x:c>
      <x:c r="E1176" s="49" t="n">
        <x:v>337</x:v>
      </x:c>
      <x:c r="F1176" s="52" t="n">
        <x:v>528</x:v>
      </x:c>
      <x:c r="G1176" s="54" t="n">
        <x:v>46220</x:v>
      </x:c>
      <x:c r="H1176" s="14" t="str">
        <x:f>IF(E1176&lt;0,"Componente negativo — manter e investigar","OK")</x:f>
        <x:v>OK</x:v>
      </x:c>
    </x:row>
    <x:row r="1177">
      <x:c r="A1177" s="51" t="n">
        <x:v>41760</x:v>
      </x:c>
      <x:c r="B1177" s="14" t="str">
        <x:v>Norte</x:v>
      </x:c>
      <x:c r="C1177" s="14" t="str">
        <x:v>NORTE INTERLIGADO</x:v>
      </x:c>
      <x:c r="D1177" s="53" t="str">
        <x:v>Cativo</x:v>
      </x:c>
      <x:c r="E1177" s="49" t="n">
        <x:v>440896</x:v>
      </x:c>
      <x:c r="F1177" s="52" t="n">
        <x:v>2557815</x:v>
      </x:c>
      <x:c r="G1177" s="54" t="n">
        <x:v>46220</x:v>
      </x:c>
      <x:c r="H1177" s="14" t="str">
        <x:f>IF(E1177&lt;0,"Componente negativo — manter e investigar","OK")</x:f>
        <x:v>OK</x:v>
      </x:c>
    </x:row>
    <x:row r="1178">
      <x:c r="A1178" s="51" t="n">
        <x:v>41760</x:v>
      </x:c>
      <x:c r="B1178" s="14" t="str">
        <x:v>Norte</x:v>
      </x:c>
      <x:c r="C1178" s="14" t="str">
        <x:v>SISTEMAS ISOLADOS</x:v>
      </x:c>
      <x:c r="D1178" s="53" t="str">
        <x:v>Cativo</x:v>
      </x:c>
      <x:c r="E1178" s="49" t="n">
        <x:v>151370</x:v>
      </x:c>
      <x:c r="F1178" s="52" t="n">
        <x:v>741703</x:v>
      </x:c>
      <x:c r="G1178" s="54" t="n">
        <x:v>46220</x:v>
      </x:c>
      <x:c r="H1178" s="14" t="str">
        <x:f>IF(E1178&lt;0,"Componente negativo — manter e investigar","OK")</x:f>
        <x:v>OK</x:v>
      </x:c>
    </x:row>
    <x:row r="1179">
      <x:c r="A1179" s="51" t="n">
        <x:v>41760</x:v>
      </x:c>
      <x:c r="B1179" s="14" t="str">
        <x:v>Norte</x:v>
      </x:c>
      <x:c r="C1179" s="14" t="str">
        <x:v>SUDESTE / CENTRO - OESTE</x:v>
      </x:c>
      <x:c r="D1179" s="53" t="str">
        <x:v>Cativo</x:v>
      </x:c>
      <x:c r="E1179" s="49" t="n">
        <x:v>113622</x:v>
      </x:c>
      <x:c r="F1179" s="52" t="n">
        <x:v>509647</x:v>
      </x:c>
      <x:c r="G1179" s="54" t="n">
        <x:v>46220</x:v>
      </x:c>
      <x:c r="H1179" s="14" t="str">
        <x:f>IF(E1179&lt;0,"Componente negativo — manter e investigar","OK")</x:f>
        <x:v>OK</x:v>
      </x:c>
    </x:row>
    <x:row r="1180">
      <x:c r="A1180" s="51" t="n">
        <x:v>41760</x:v>
      </x:c>
      <x:c r="B1180" s="14" t="str">
        <x:v>Sudeste</x:v>
      </x:c>
      <x:c r="C1180" s="14" t="str">
        <x:v>SUDESTE / CENTRO - OESTE</x:v>
      </x:c>
      <x:c r="D1180" s="53" t="str">
        <x:v>Cativo</x:v>
      </x:c>
      <x:c r="E1180" s="49" t="n">
        <x:v>5455670</x:v>
      </x:c>
      <x:c r="F1180" s="52" t="n">
        <x:v>29801845</x:v>
      </x:c>
      <x:c r="G1180" s="54" t="n">
        <x:v>46220</x:v>
      </x:c>
      <x:c r="H1180" s="14" t="str">
        <x:f>IF(E1180&lt;0,"Componente negativo — manter e investigar","OK")</x:f>
        <x:v>OK</x:v>
      </x:c>
    </x:row>
    <x:row r="1181">
      <x:c r="A1181" s="51" t="n">
        <x:v>41760</x:v>
      </x:c>
      <x:c r="B1181" s="14" t="str">
        <x:v>Sul</x:v>
      </x:c>
      <x:c r="C1181" s="14" t="str">
        <x:v>SUL</x:v>
      </x:c>
      <x:c r="D1181" s="53" t="str">
        <x:v>Cativo</x:v>
      </x:c>
      <x:c r="E1181" s="49" t="n">
        <x:v>1663029</x:v>
      </x:c>
      <x:c r="F1181" s="52" t="n">
        <x:v>9158009</x:v>
      </x:c>
      <x:c r="G1181" s="54" t="n">
        <x:v>46220</x:v>
      </x:c>
      <x:c r="H1181" s="14" t="str">
        <x:f>IF(E1181&lt;0,"Componente negativo — manter e investigar","OK")</x:f>
        <x:v>OK</x:v>
      </x:c>
    </x:row>
    <x:row r="1182">
      <x:c r="A1182" s="51" t="n">
        <x:v>41791</x:v>
      </x:c>
      <x:c r="B1182" s="14" t="str">
        <x:v>Centro-Oeste</x:v>
      </x:c>
      <x:c r="C1182" s="14" t="str">
        <x:v>SISTEMAS ISOLADOS</x:v>
      </x:c>
      <x:c r="D1182" s="53" t="str">
        <x:v>Cativo</x:v>
      </x:c>
      <x:c r="E1182" s="49" t="n">
        <x:v>178</x:v>
      </x:c>
      <x:c r="F1182" s="52" t="n">
        <x:v>1257</x:v>
      </x:c>
      <x:c r="G1182" s="54" t="n">
        <x:v>46220</x:v>
      </x:c>
      <x:c r="H1182" s="14" t="str">
        <x:f>IF(E1182&lt;0,"Componente negativo — manter e investigar","OK")</x:f>
        <x:v>OK</x:v>
      </x:c>
    </x:row>
    <x:row r="1183">
      <x:c r="A1183" s="51" t="n">
        <x:v>41791</x:v>
      </x:c>
      <x:c r="B1183" s="14" t="str">
        <x:v>Centro-Oeste</x:v>
      </x:c>
      <x:c r="C1183" s="14" t="str">
        <x:v>SUDESTE / CENTRO - OESTE</x:v>
      </x:c>
      <x:c r="D1183" s="53" t="str">
        <x:v>Cativo</x:v>
      </x:c>
      <x:c r="E1183" s="49" t="n">
        <x:v>826976</x:v>
      </x:c>
      <x:c r="F1183" s="52" t="n">
        <x:v>4847108</x:v>
      </x:c>
      <x:c r="G1183" s="54" t="n">
        <x:v>46220</x:v>
      </x:c>
      <x:c r="H1183" s="14" t="str">
        <x:f>IF(E1183&lt;0,"Componente negativo — manter e investigar","OK")</x:f>
        <x:v>OK</x:v>
      </x:c>
    </x:row>
    <x:row r="1184">
      <x:c r="A1184" s="51" t="n">
        <x:v>41791</x:v>
      </x:c>
      <x:c r="B1184" s="14" t="str">
        <x:v>Nordeste</x:v>
      </x:c>
      <x:c r="C1184" s="14" t="str">
        <x:v>NORDESTE</x:v>
      </x:c>
      <x:c r="D1184" s="53" t="str">
        <x:v>Cativo</x:v>
      </x:c>
      <x:c r="E1184" s="49" t="n">
        <x:v>1808128</x:v>
      </x:c>
      <x:c r="F1184" s="52" t="n">
        <x:v>15319987</x:v>
      </x:c>
      <x:c r="G1184" s="54" t="n">
        <x:v>46220</x:v>
      </x:c>
      <x:c r="H1184" s="14" t="str">
        <x:f>IF(E1184&lt;0,"Componente negativo — manter e investigar","OK")</x:f>
        <x:v>OK</x:v>
      </x:c>
    </x:row>
    <x:row r="1185">
      <x:c r="A1185" s="51" t="n">
        <x:v>41791</x:v>
      </x:c>
      <x:c r="B1185" s="14" t="str">
        <x:v>Nordeste</x:v>
      </x:c>
      <x:c r="C1185" s="14" t="str">
        <x:v>NORTE INTERLIGADO</x:v>
      </x:c>
      <x:c r="D1185" s="53" t="str">
        <x:v>Cativo</x:v>
      </x:c>
      <x:c r="E1185" s="49" t="n">
        <x:v>226838</x:v>
      </x:c>
      <x:c r="F1185" s="52" t="n">
        <x:v>1926678</x:v>
      </x:c>
      <x:c r="G1185" s="54" t="n">
        <x:v>46220</x:v>
      </x:c>
      <x:c r="H1185" s="14" t="str">
        <x:f>IF(E1185&lt;0,"Componente negativo — manter e investigar","OK")</x:f>
        <x:v>OK</x:v>
      </x:c>
    </x:row>
    <x:row r="1186">
      <x:c r="A1186" s="51" t="n">
        <x:v>41791</x:v>
      </x:c>
      <x:c r="B1186" s="14" t="str">
        <x:v>Nordeste</x:v>
      </x:c>
      <x:c r="C1186" s="14" t="str">
        <x:v>SISTEMAS ISOLADOS</x:v>
      </x:c>
      <x:c r="D1186" s="53" t="str">
        <x:v>Cativo</x:v>
      </x:c>
      <x:c r="E1186" s="49" t="n">
        <x:v>330</x:v>
      </x:c>
      <x:c r="F1186" s="52" t="n">
        <x:v>528</x:v>
      </x:c>
      <x:c r="G1186" s="54" t="n">
        <x:v>46220</x:v>
      </x:c>
      <x:c r="H1186" s="14" t="str">
        <x:f>IF(E1186&lt;0,"Componente negativo — manter e investigar","OK")</x:f>
        <x:v>OK</x:v>
      </x:c>
    </x:row>
    <x:row r="1187">
      <x:c r="A1187" s="51" t="n">
        <x:v>41791</x:v>
      </x:c>
      <x:c r="B1187" s="14" t="str">
        <x:v>Norte</x:v>
      </x:c>
      <x:c r="C1187" s="14" t="str">
        <x:v>NORTE INTERLIGADO</x:v>
      </x:c>
      <x:c r="D1187" s="53" t="str">
        <x:v>Cativo</x:v>
      </x:c>
      <x:c r="E1187" s="49" t="n">
        <x:v>432836</x:v>
      </x:c>
      <x:c r="F1187" s="52" t="n">
        <x:v>2570167</x:v>
      </x:c>
      <x:c r="G1187" s="54" t="n">
        <x:v>46220</x:v>
      </x:c>
      <x:c r="H1187" s="14" t="str">
        <x:f>IF(E1187&lt;0,"Componente negativo — manter e investigar","OK")</x:f>
        <x:v>OK</x:v>
      </x:c>
    </x:row>
    <x:row r="1188">
      <x:c r="A1188" s="51" t="n">
        <x:v>41791</x:v>
      </x:c>
      <x:c r="B1188" s="14" t="str">
        <x:v>Norte</x:v>
      </x:c>
      <x:c r="C1188" s="14" t="str">
        <x:v>SISTEMAS ISOLADOS</x:v>
      </x:c>
      <x:c r="D1188" s="53" t="str">
        <x:v>Cativo</x:v>
      </x:c>
      <x:c r="E1188" s="49" t="n">
        <x:v>148911</x:v>
      </x:c>
      <x:c r="F1188" s="52" t="n">
        <x:v>745753</x:v>
      </x:c>
      <x:c r="G1188" s="54" t="n">
        <x:v>46220</x:v>
      </x:c>
      <x:c r="H1188" s="14" t="str">
        <x:f>IF(E1188&lt;0,"Componente negativo — manter e investigar","OK")</x:f>
        <x:v>OK</x:v>
      </x:c>
    </x:row>
    <x:row r="1189">
      <x:c r="A1189" s="51" t="n">
        <x:v>41791</x:v>
      </x:c>
      <x:c r="B1189" s="14" t="str">
        <x:v>Norte</x:v>
      </x:c>
      <x:c r="C1189" s="14" t="str">
        <x:v>SUDESTE / CENTRO - OESTE</x:v>
      </x:c>
      <x:c r="D1189" s="53" t="str">
        <x:v>Cativo</x:v>
      </x:c>
      <x:c r="E1189" s="49" t="n">
        <x:v>111483</x:v>
      </x:c>
      <x:c r="F1189" s="52" t="n">
        <x:v>510787</x:v>
      </x:c>
      <x:c r="G1189" s="54" t="n">
        <x:v>46220</x:v>
      </x:c>
      <x:c r="H1189" s="14" t="str">
        <x:f>IF(E1189&lt;0,"Componente negativo — manter e investigar","OK")</x:f>
        <x:v>OK</x:v>
      </x:c>
    </x:row>
    <x:row r="1190">
      <x:c r="A1190" s="51" t="n">
        <x:v>41791</x:v>
      </x:c>
      <x:c r="B1190" s="14" t="str">
        <x:v>Sudeste</x:v>
      </x:c>
      <x:c r="C1190" s="14" t="str">
        <x:v>SUDESTE / CENTRO - OESTE</x:v>
      </x:c>
      <x:c r="D1190" s="53" t="str">
        <x:v>Cativo</x:v>
      </x:c>
      <x:c r="E1190" s="49" t="n">
        <x:v>5106123</x:v>
      </x:c>
      <x:c r="F1190" s="52" t="n">
        <x:v>29836815</x:v>
      </x:c>
      <x:c r="G1190" s="54" t="n">
        <x:v>46220</x:v>
      </x:c>
      <x:c r="H1190" s="14" t="str">
        <x:f>IF(E1190&lt;0,"Componente negativo — manter e investigar","OK")</x:f>
        <x:v>OK</x:v>
      </x:c>
    </x:row>
    <x:row r="1191">
      <x:c r="A1191" s="51" t="n">
        <x:v>41791</x:v>
      </x:c>
      <x:c r="B1191" s="14" t="str">
        <x:v>Sul</x:v>
      </x:c>
      <x:c r="C1191" s="14" t="str">
        <x:v>SUL</x:v>
      </x:c>
      <x:c r="D1191" s="53" t="str">
        <x:v>Cativo</x:v>
      </x:c>
      <x:c r="E1191" s="49" t="n">
        <x:v>1660066</x:v>
      </x:c>
      <x:c r="F1191" s="52" t="n">
        <x:v>9178721</x:v>
      </x:c>
      <x:c r="G1191" s="54" t="n">
        <x:v>46220</x:v>
      </x:c>
      <x:c r="H1191" s="14" t="str">
        <x:f>IF(E1191&lt;0,"Componente negativo — manter e investigar","OK")</x:f>
        <x:v>OK</x:v>
      </x:c>
    </x:row>
    <x:row r="1192">
      <x:c r="A1192" s="51" t="n">
        <x:v>41821</x:v>
      </x:c>
      <x:c r="B1192" s="14" t="str">
        <x:v>Centro-Oeste</x:v>
      </x:c>
      <x:c r="C1192" s="14" t="str">
        <x:v>SISTEMAS ISOLADOS</x:v>
      </x:c>
      <x:c r="D1192" s="53" t="str">
        <x:v>Cativo</x:v>
      </x:c>
      <x:c r="E1192" s="49" t="n">
        <x:v>205</x:v>
      </x:c>
      <x:c r="F1192" s="52" t="n">
        <x:v>1258</x:v>
      </x:c>
      <x:c r="G1192" s="54" t="n">
        <x:v>46220</x:v>
      </x:c>
      <x:c r="H1192" s="14" t="str">
        <x:f>IF(E1192&lt;0,"Componente negativo — manter e investigar","OK")</x:f>
        <x:v>OK</x:v>
      </x:c>
    </x:row>
    <x:row r="1193">
      <x:c r="A1193" s="51" t="n">
        <x:v>41821</x:v>
      </x:c>
      <x:c r="B1193" s="14" t="str">
        <x:v>Centro-Oeste</x:v>
      </x:c>
      <x:c r="C1193" s="14" t="str">
        <x:v>SUDESTE / CENTRO - OESTE</x:v>
      </x:c>
      <x:c r="D1193" s="53" t="str">
        <x:v>Cativo</x:v>
      </x:c>
      <x:c r="E1193" s="49" t="n">
        <x:v>784681</x:v>
      </x:c>
      <x:c r="F1193" s="52" t="n">
        <x:v>4865140</x:v>
      </x:c>
      <x:c r="G1193" s="54" t="n">
        <x:v>46220</x:v>
      </x:c>
      <x:c r="H1193" s="14" t="str">
        <x:f>IF(E1193&lt;0,"Componente negativo — manter e investigar","OK")</x:f>
        <x:v>OK</x:v>
      </x:c>
    </x:row>
    <x:row r="1194">
      <x:c r="A1194" s="51" t="n">
        <x:v>41821</x:v>
      </x:c>
      <x:c r="B1194" s="14" t="str">
        <x:v>Nordeste</x:v>
      </x:c>
      <x:c r="C1194" s="14" t="str">
        <x:v>NORDESTE</x:v>
      </x:c>
      <x:c r="D1194" s="53" t="str">
        <x:v>Cativo</x:v>
      </x:c>
      <x:c r="E1194" s="49" t="n">
        <x:v>1839282</x:v>
      </x:c>
      <x:c r="F1194" s="52" t="n">
        <x:v>15367555</x:v>
      </x:c>
      <x:c r="G1194" s="54" t="n">
        <x:v>46220</x:v>
      </x:c>
      <x:c r="H1194" s="14" t="str">
        <x:f>IF(E1194&lt;0,"Componente negativo — manter e investigar","OK")</x:f>
        <x:v>OK</x:v>
      </x:c>
    </x:row>
    <x:row r="1195">
      <x:c r="A1195" s="51" t="n">
        <x:v>41821</x:v>
      </x:c>
      <x:c r="B1195" s="14" t="str">
        <x:v>Nordeste</x:v>
      </x:c>
      <x:c r="C1195" s="14" t="str">
        <x:v>NORTE INTERLIGADO</x:v>
      </x:c>
      <x:c r="D1195" s="53" t="str">
        <x:v>Cativo</x:v>
      </x:c>
      <x:c r="E1195" s="49" t="n">
        <x:v>233173</x:v>
      </x:c>
      <x:c r="F1195" s="52" t="n">
        <x:v>1928702</x:v>
      </x:c>
      <x:c r="G1195" s="54" t="n">
        <x:v>46220</x:v>
      </x:c>
      <x:c r="H1195" s="14" t="str">
        <x:f>IF(E1195&lt;0,"Componente negativo — manter e investigar","OK")</x:f>
        <x:v>OK</x:v>
      </x:c>
    </x:row>
    <x:row r="1196">
      <x:c r="A1196" s="51" t="n">
        <x:v>41821</x:v>
      </x:c>
      <x:c r="B1196" s="14" t="str">
        <x:v>Nordeste</x:v>
      </x:c>
      <x:c r="C1196" s="14" t="str">
        <x:v>SISTEMAS ISOLADOS</x:v>
      </x:c>
      <x:c r="D1196" s="53" t="str">
        <x:v>Cativo</x:v>
      </x:c>
      <x:c r="E1196" s="49" t="n">
        <x:v>316</x:v>
      </x:c>
      <x:c r="F1196" s="52" t="n">
        <x:v>529</x:v>
      </x:c>
      <x:c r="G1196" s="54" t="n">
        <x:v>46220</x:v>
      </x:c>
      <x:c r="H1196" s="14" t="str">
        <x:f>IF(E1196&lt;0,"Componente negativo — manter e investigar","OK")</x:f>
        <x:v>OK</x:v>
      </x:c>
    </x:row>
    <x:row r="1197">
      <x:c r="A1197" s="51" t="n">
        <x:v>41821</x:v>
      </x:c>
      <x:c r="B1197" s="14" t="str">
        <x:v>Norte</x:v>
      </x:c>
      <x:c r="C1197" s="14" t="str">
        <x:v>NORTE INTERLIGADO</x:v>
      </x:c>
      <x:c r="D1197" s="53" t="str">
        <x:v>Cativo</x:v>
      </x:c>
      <x:c r="E1197" s="49" t="n">
        <x:v>452215</x:v>
      </x:c>
      <x:c r="F1197" s="52" t="n">
        <x:v>2588731</x:v>
      </x:c>
      <x:c r="G1197" s="54" t="n">
        <x:v>46220</x:v>
      </x:c>
      <x:c r="H1197" s="14" t="str">
        <x:f>IF(E1197&lt;0,"Componente negativo — manter e investigar","OK")</x:f>
        <x:v>OK</x:v>
      </x:c>
    </x:row>
    <x:row r="1198">
      <x:c r="A1198" s="51" t="n">
        <x:v>41821</x:v>
      </x:c>
      <x:c r="B1198" s="14" t="str">
        <x:v>Norte</x:v>
      </x:c>
      <x:c r="C1198" s="14" t="str">
        <x:v>SISTEMAS ISOLADOS</x:v>
      </x:c>
      <x:c r="D1198" s="53" t="str">
        <x:v>Cativo</x:v>
      </x:c>
      <x:c r="E1198" s="49" t="n">
        <x:v>151556</x:v>
      </x:c>
      <x:c r="F1198" s="52" t="n">
        <x:v>750840</x:v>
      </x:c>
      <x:c r="G1198" s="54" t="n">
        <x:v>46220</x:v>
      </x:c>
      <x:c r="H1198" s="14" t="str">
        <x:f>IF(E1198&lt;0,"Componente negativo — manter e investigar","OK")</x:f>
        <x:v>OK</x:v>
      </x:c>
    </x:row>
    <x:row r="1199">
      <x:c r="A1199" s="51" t="n">
        <x:v>41821</x:v>
      </x:c>
      <x:c r="B1199" s="14" t="str">
        <x:v>Norte</x:v>
      </x:c>
      <x:c r="C1199" s="14" t="str">
        <x:v>SUDESTE / CENTRO - OESTE</x:v>
      </x:c>
      <x:c r="D1199" s="53" t="str">
        <x:v>Cativo</x:v>
      </x:c>
      <x:c r="E1199" s="49" t="n">
        <x:v>108940</x:v>
      </x:c>
      <x:c r="F1199" s="52" t="n">
        <x:v>512790</x:v>
      </x:c>
      <x:c r="G1199" s="54" t="n">
        <x:v>46220</x:v>
      </x:c>
      <x:c r="H1199" s="14" t="str">
        <x:f>IF(E1199&lt;0,"Componente negativo — manter e investigar","OK")</x:f>
        <x:v>OK</x:v>
      </x:c>
    </x:row>
    <x:row r="1200">
      <x:c r="A1200" s="51" t="n">
        <x:v>41821</x:v>
      </x:c>
      <x:c r="B1200" s="14" t="str">
        <x:v>Sudeste</x:v>
      </x:c>
      <x:c r="C1200" s="14" t="str">
        <x:v>SUDESTE / CENTRO - OESTE</x:v>
      </x:c>
      <x:c r="D1200" s="53" t="str">
        <x:v>Cativo</x:v>
      </x:c>
      <x:c r="E1200" s="49" t="n">
        <x:v>5294663</x:v>
      </x:c>
      <x:c r="F1200" s="52" t="n">
        <x:v>29909736</x:v>
      </x:c>
      <x:c r="G1200" s="54" t="n">
        <x:v>46220</x:v>
      </x:c>
      <x:c r="H1200" s="14" t="str">
        <x:f>IF(E1200&lt;0,"Componente negativo — manter e investigar","OK")</x:f>
        <x:v>OK</x:v>
      </x:c>
    </x:row>
    <x:row r="1201">
      <x:c r="A1201" s="51" t="n">
        <x:v>41821</x:v>
      </x:c>
      <x:c r="B1201" s="14" t="str">
        <x:v>Sul</x:v>
      </x:c>
      <x:c r="C1201" s="14" t="str">
        <x:v>SUL</x:v>
      </x:c>
      <x:c r="D1201" s="53" t="str">
        <x:v>Cativo</x:v>
      </x:c>
      <x:c r="E1201" s="49" t="n">
        <x:v>1690827</x:v>
      </x:c>
      <x:c r="F1201" s="52" t="n">
        <x:v>9204418</x:v>
      </x:c>
      <x:c r="G1201" s="54" t="n">
        <x:v>46220</x:v>
      </x:c>
      <x:c r="H1201" s="14" t="str">
        <x:f>IF(E1201&lt;0,"Componente negativo — manter e investigar","OK")</x:f>
        <x:v>OK</x:v>
      </x:c>
    </x:row>
    <x:row r="1202">
      <x:c r="A1202" s="51" t="n">
        <x:v>41852</x:v>
      </x:c>
      <x:c r="B1202" s="14" t="str">
        <x:v>Centro-Oeste</x:v>
      </x:c>
      <x:c r="C1202" s="14" t="str">
        <x:v>SISTEMAS ISOLADOS</x:v>
      </x:c>
      <x:c r="D1202" s="53" t="str">
        <x:v>Cativo</x:v>
      </x:c>
      <x:c r="E1202" s="49" t="n">
        <x:v>185</x:v>
      </x:c>
      <x:c r="F1202" s="52" t="n">
        <x:v>1263</x:v>
      </x:c>
      <x:c r="G1202" s="54" t="n">
        <x:v>46220</x:v>
      </x:c>
      <x:c r="H1202" s="14" t="str">
        <x:f>IF(E1202&lt;0,"Componente negativo — manter e investigar","OK")</x:f>
        <x:v>OK</x:v>
      </x:c>
    </x:row>
    <x:row r="1203">
      <x:c r="A1203" s="51" t="n">
        <x:v>41852</x:v>
      </x:c>
      <x:c r="B1203" s="14" t="str">
        <x:v>Centro-Oeste</x:v>
      </x:c>
      <x:c r="C1203" s="14" t="str">
        <x:v>SUDESTE / CENTRO - OESTE</x:v>
      </x:c>
      <x:c r="D1203" s="53" t="str">
        <x:v>Cativo</x:v>
      </x:c>
      <x:c r="E1203" s="49" t="n">
        <x:v>864248</x:v>
      </x:c>
      <x:c r="F1203" s="52" t="n">
        <x:v>4881667</x:v>
      </x:c>
      <x:c r="G1203" s="54" t="n">
        <x:v>46220</x:v>
      </x:c>
      <x:c r="H1203" s="14" t="str">
        <x:f>IF(E1203&lt;0,"Componente negativo — manter e investigar","OK")</x:f>
        <x:v>OK</x:v>
      </x:c>
    </x:row>
    <x:row r="1204">
      <x:c r="A1204" s="51" t="n">
        <x:v>41852</x:v>
      </x:c>
      <x:c r="B1204" s="14" t="str">
        <x:v>Nordeste</x:v>
      </x:c>
      <x:c r="C1204" s="14" t="str">
        <x:v>NORDESTE</x:v>
      </x:c>
      <x:c r="D1204" s="53" t="str">
        <x:v>Cativo</x:v>
      </x:c>
      <x:c r="E1204" s="49" t="n">
        <x:v>1787383</x:v>
      </x:c>
      <x:c r="F1204" s="52" t="n">
        <x:v>15413153</x:v>
      </x:c>
      <x:c r="G1204" s="54" t="n">
        <x:v>46220</x:v>
      </x:c>
      <x:c r="H1204" s="14" t="str">
        <x:f>IF(E1204&lt;0,"Componente negativo — manter e investigar","OK")</x:f>
        <x:v>OK</x:v>
      </x:c>
    </x:row>
    <x:row r="1205">
      <x:c r="A1205" s="51" t="n">
        <x:v>41852</x:v>
      </x:c>
      <x:c r="B1205" s="14" t="str">
        <x:v>Nordeste</x:v>
      </x:c>
      <x:c r="C1205" s="14" t="str">
        <x:v>NORTE INTERLIGADO</x:v>
      </x:c>
      <x:c r="D1205" s="53" t="str">
        <x:v>Cativo</x:v>
      </x:c>
      <x:c r="E1205" s="49" t="n">
        <x:v>239474</x:v>
      </x:c>
      <x:c r="F1205" s="52" t="n">
        <x:v>1938099</x:v>
      </x:c>
      <x:c r="G1205" s="54" t="n">
        <x:v>46220</x:v>
      </x:c>
      <x:c r="H1205" s="14" t="str">
        <x:f>IF(E1205&lt;0,"Componente negativo — manter e investigar","OK")</x:f>
        <x:v>OK</x:v>
      </x:c>
    </x:row>
    <x:row r="1206">
      <x:c r="A1206" s="51" t="n">
        <x:v>41852</x:v>
      </x:c>
      <x:c r="B1206" s="14" t="str">
        <x:v>Nordeste</x:v>
      </x:c>
      <x:c r="C1206" s="14" t="str">
        <x:v>SISTEMAS ISOLADOS</x:v>
      </x:c>
      <x:c r="D1206" s="53" t="str">
        <x:v>Cativo</x:v>
      </x:c>
      <x:c r="E1206" s="49" t="n">
        <x:v>309</x:v>
      </x:c>
      <x:c r="F1206" s="52" t="n">
        <x:v>529</x:v>
      </x:c>
      <x:c r="G1206" s="54" t="n">
        <x:v>46220</x:v>
      </x:c>
      <x:c r="H1206" s="14" t="str">
        <x:f>IF(E1206&lt;0,"Componente negativo — manter e investigar","OK")</x:f>
        <x:v>OK</x:v>
      </x:c>
    </x:row>
    <x:row r="1207">
      <x:c r="A1207" s="51" t="n">
        <x:v>41852</x:v>
      </x:c>
      <x:c r="B1207" s="14" t="str">
        <x:v>Norte</x:v>
      </x:c>
      <x:c r="C1207" s="14" t="str">
        <x:v>NORTE INTERLIGADO</x:v>
      </x:c>
      <x:c r="D1207" s="53" t="str">
        <x:v>Cativo</x:v>
      </x:c>
      <x:c r="E1207" s="49" t="n">
        <x:v>466748</x:v>
      </x:c>
      <x:c r="F1207" s="52" t="n">
        <x:v>2596841</x:v>
      </x:c>
      <x:c r="G1207" s="54" t="n">
        <x:v>46220</x:v>
      </x:c>
      <x:c r="H1207" s="14" t="str">
        <x:f>IF(E1207&lt;0,"Componente negativo — manter e investigar","OK")</x:f>
        <x:v>OK</x:v>
      </x:c>
    </x:row>
    <x:row r="1208">
      <x:c r="A1208" s="51" t="n">
        <x:v>41852</x:v>
      </x:c>
      <x:c r="B1208" s="14" t="str">
        <x:v>Norte</x:v>
      </x:c>
      <x:c r="C1208" s="14" t="str">
        <x:v>SISTEMAS ISOLADOS</x:v>
      </x:c>
      <x:c r="D1208" s="53" t="str">
        <x:v>Cativo</x:v>
      </x:c>
      <x:c r="E1208" s="49" t="n">
        <x:v>150992</x:v>
      </x:c>
      <x:c r="F1208" s="52" t="n">
        <x:v>752939</x:v>
      </x:c>
      <x:c r="G1208" s="54" t="n">
        <x:v>46220</x:v>
      </x:c>
      <x:c r="H1208" s="14" t="str">
        <x:f>IF(E1208&lt;0,"Componente negativo — manter e investigar","OK")</x:f>
        <x:v>OK</x:v>
      </x:c>
    </x:row>
    <x:row r="1209">
      <x:c r="A1209" s="51" t="n">
        <x:v>41852</x:v>
      </x:c>
      <x:c r="B1209" s="14" t="str">
        <x:v>Norte</x:v>
      </x:c>
      <x:c r="C1209" s="14" t="str">
        <x:v>SUDESTE / CENTRO - OESTE</x:v>
      </x:c>
      <x:c r="D1209" s="53" t="str">
        <x:v>Cativo</x:v>
      </x:c>
      <x:c r="E1209" s="49" t="n">
        <x:v>117682</x:v>
      </x:c>
      <x:c r="F1209" s="52" t="n">
        <x:v>515378</x:v>
      </x:c>
      <x:c r="G1209" s="54" t="n">
        <x:v>46220</x:v>
      </x:c>
      <x:c r="H1209" s="14" t="str">
        <x:f>IF(E1209&lt;0,"Componente negativo — manter e investigar","OK")</x:f>
        <x:v>OK</x:v>
      </x:c>
    </x:row>
    <x:row r="1210">
      <x:c r="A1210" s="51" t="n">
        <x:v>41852</x:v>
      </x:c>
      <x:c r="B1210" s="14" t="str">
        <x:v>Sudeste</x:v>
      </x:c>
      <x:c r="C1210" s="14" t="str">
        <x:v>SUDESTE / CENTRO - OESTE</x:v>
      </x:c>
      <x:c r="D1210" s="53" t="str">
        <x:v>Cativo</x:v>
      </x:c>
      <x:c r="E1210" s="49" t="n">
        <x:v>5191948</x:v>
      </x:c>
      <x:c r="F1210" s="52" t="n">
        <x:v>29904703</x:v>
      </x:c>
      <x:c r="G1210" s="54" t="n">
        <x:v>46220</x:v>
      </x:c>
      <x:c r="H1210" s="14" t="str">
        <x:f>IF(E1210&lt;0,"Componente negativo — manter e investigar","OK")</x:f>
        <x:v>OK</x:v>
      </x:c>
    </x:row>
    <x:row r="1211">
      <x:c r="A1211" s="51" t="n">
        <x:v>41852</x:v>
      </x:c>
      <x:c r="B1211" s="14" t="str">
        <x:v>Sul</x:v>
      </x:c>
      <x:c r="C1211" s="14" t="str">
        <x:v>SUL</x:v>
      </x:c>
      <x:c r="D1211" s="53" t="str">
        <x:v>Cativo</x:v>
      </x:c>
      <x:c r="E1211" s="49" t="n">
        <x:v>1722603</x:v>
      </x:c>
      <x:c r="F1211" s="52" t="n">
        <x:v>9223793</x:v>
      </x:c>
      <x:c r="G1211" s="54" t="n">
        <x:v>46220</x:v>
      </x:c>
      <x:c r="H1211" s="14" t="str">
        <x:f>IF(E1211&lt;0,"Componente negativo — manter e investigar","OK")</x:f>
        <x:v>OK</x:v>
      </x:c>
    </x:row>
    <x:row r="1212">
      <x:c r="A1212" s="51" t="n">
        <x:v>41883</x:v>
      </x:c>
      <x:c r="B1212" s="14" t="str">
        <x:v>Centro-Oeste</x:v>
      </x:c>
      <x:c r="C1212" s="14" t="str">
        <x:v>SISTEMAS ISOLADOS</x:v>
      </x:c>
      <x:c r="D1212" s="53" t="str">
        <x:v>Cativo</x:v>
      </x:c>
      <x:c r="E1212" s="49" t="n">
        <x:v>187</x:v>
      </x:c>
      <x:c r="F1212" s="52" t="n">
        <x:v>1270</x:v>
      </x:c>
      <x:c r="G1212" s="54" t="n">
        <x:v>46220</x:v>
      </x:c>
      <x:c r="H1212" s="14" t="str">
        <x:f>IF(E1212&lt;0,"Componente negativo — manter e investigar","OK")</x:f>
        <x:v>OK</x:v>
      </x:c>
    </x:row>
    <x:row r="1213">
      <x:c r="A1213" s="51" t="n">
        <x:v>41883</x:v>
      </x:c>
      <x:c r="B1213" s="14" t="str">
        <x:v>Centro-Oeste</x:v>
      </x:c>
      <x:c r="C1213" s="14" t="str">
        <x:v>SUDESTE / CENTRO - OESTE</x:v>
      </x:c>
      <x:c r="D1213" s="53" t="str">
        <x:v>Cativo</x:v>
      </x:c>
      <x:c r="E1213" s="49" t="n">
        <x:v>913955</x:v>
      </x:c>
      <x:c r="F1213" s="52" t="n">
        <x:v>4897367</x:v>
      </x:c>
      <x:c r="G1213" s="54" t="n">
        <x:v>46220</x:v>
      </x:c>
      <x:c r="H1213" s="14" t="str">
        <x:f>IF(E1213&lt;0,"Componente negativo — manter e investigar","OK")</x:f>
        <x:v>OK</x:v>
      </x:c>
    </x:row>
    <x:row r="1214">
      <x:c r="A1214" s="51" t="n">
        <x:v>41883</x:v>
      </x:c>
      <x:c r="B1214" s="14" t="str">
        <x:v>Nordeste</x:v>
      </x:c>
      <x:c r="C1214" s="14" t="str">
        <x:v>NORDESTE</x:v>
      </x:c>
      <x:c r="D1214" s="53" t="str">
        <x:v>Cativo</x:v>
      </x:c>
      <x:c r="E1214" s="49" t="n">
        <x:v>1815551</x:v>
      </x:c>
      <x:c r="F1214" s="52" t="n">
        <x:v>15455142</x:v>
      </x:c>
      <x:c r="G1214" s="54" t="n">
        <x:v>46220</x:v>
      </x:c>
      <x:c r="H1214" s="14" t="str">
        <x:f>IF(E1214&lt;0,"Componente negativo — manter e investigar","OK")</x:f>
        <x:v>OK</x:v>
      </x:c>
    </x:row>
    <x:row r="1215">
      <x:c r="A1215" s="51" t="n">
        <x:v>41883</x:v>
      </x:c>
      <x:c r="B1215" s="14" t="str">
        <x:v>Nordeste</x:v>
      </x:c>
      <x:c r="C1215" s="14" t="str">
        <x:v>NORTE INTERLIGADO</x:v>
      </x:c>
      <x:c r="D1215" s="53" t="str">
        <x:v>Cativo</x:v>
      </x:c>
      <x:c r="E1215" s="49" t="n">
        <x:v>244579</x:v>
      </x:c>
      <x:c r="F1215" s="52" t="n">
        <x:v>1937110</x:v>
      </x:c>
      <x:c r="G1215" s="54" t="n">
        <x:v>46220</x:v>
      </x:c>
      <x:c r="H1215" s="14" t="str">
        <x:f>IF(E1215&lt;0,"Componente negativo — manter e investigar","OK")</x:f>
        <x:v>OK</x:v>
      </x:c>
    </x:row>
    <x:row r="1216">
      <x:c r="A1216" s="51" t="n">
        <x:v>41883</x:v>
      </x:c>
      <x:c r="B1216" s="14" t="str">
        <x:v>Nordeste</x:v>
      </x:c>
      <x:c r="C1216" s="14" t="str">
        <x:v>SISTEMAS ISOLADOS</x:v>
      </x:c>
      <x:c r="D1216" s="53" t="str">
        <x:v>Cativo</x:v>
      </x:c>
      <x:c r="E1216" s="49" t="n">
        <x:v>310</x:v>
      </x:c>
      <x:c r="F1216" s="52" t="n">
        <x:v>530</x:v>
      </x:c>
      <x:c r="G1216" s="54" t="n">
        <x:v>46220</x:v>
      </x:c>
      <x:c r="H1216" s="14" t="str">
        <x:f>IF(E1216&lt;0,"Componente negativo — manter e investigar","OK")</x:f>
        <x:v>OK</x:v>
      </x:c>
    </x:row>
    <x:row r="1217">
      <x:c r="A1217" s="51" t="n">
        <x:v>41883</x:v>
      </x:c>
      <x:c r="B1217" s="14" t="str">
        <x:v>Norte</x:v>
      </x:c>
      <x:c r="C1217" s="14" t="str">
        <x:v>NORTE INTERLIGADO</x:v>
      </x:c>
      <x:c r="D1217" s="53" t="str">
        <x:v>Cativo</x:v>
      </x:c>
      <x:c r="E1217" s="49" t="n">
        <x:v>459332</x:v>
      </x:c>
      <x:c r="F1217" s="52" t="n">
        <x:v>2615157</x:v>
      </x:c>
      <x:c r="G1217" s="54" t="n">
        <x:v>46220</x:v>
      </x:c>
      <x:c r="H1217" s="14" t="str">
        <x:f>IF(E1217&lt;0,"Componente negativo — manter e investigar","OK")</x:f>
        <x:v>OK</x:v>
      </x:c>
    </x:row>
    <x:row r="1218">
      <x:c r="A1218" s="51" t="n">
        <x:v>41883</x:v>
      </x:c>
      <x:c r="B1218" s="14" t="str">
        <x:v>Norte</x:v>
      </x:c>
      <x:c r="C1218" s="14" t="str">
        <x:v>SISTEMAS ISOLADOS</x:v>
      </x:c>
      <x:c r="D1218" s="53" t="str">
        <x:v>Cativo</x:v>
      </x:c>
      <x:c r="E1218" s="49" t="n">
        <x:v>166639</x:v>
      </x:c>
      <x:c r="F1218" s="52" t="n">
        <x:v>758386</x:v>
      </x:c>
      <x:c r="G1218" s="54" t="n">
        <x:v>46220</x:v>
      </x:c>
      <x:c r="H1218" s="14" t="str">
        <x:f>IF(E1218&lt;0,"Componente negativo — manter e investigar","OK")</x:f>
        <x:v>OK</x:v>
      </x:c>
    </x:row>
    <x:row r="1219">
      <x:c r="A1219" s="51" t="n">
        <x:v>41883</x:v>
      </x:c>
      <x:c r="B1219" s="14" t="str">
        <x:v>Norte</x:v>
      </x:c>
      <x:c r="C1219" s="14" t="str">
        <x:v>SUDESTE / CENTRO - OESTE</x:v>
      </x:c>
      <x:c r="D1219" s="53" t="str">
        <x:v>Cativo</x:v>
      </x:c>
      <x:c r="E1219" s="49" t="n">
        <x:v>129866</x:v>
      </x:c>
      <x:c r="F1219" s="52" t="n">
        <x:v>516540</x:v>
      </x:c>
      <x:c r="G1219" s="54" t="n">
        <x:v>46220</x:v>
      </x:c>
      <x:c r="H1219" s="14" t="str">
        <x:f>IF(E1219&lt;0,"Componente negativo — manter e investigar","OK")</x:f>
        <x:v>OK</x:v>
      </x:c>
    </x:row>
    <x:row r="1220">
      <x:c r="A1220" s="51" t="n">
        <x:v>41883</x:v>
      </x:c>
      <x:c r="B1220" s="14" t="str">
        <x:v>Sudeste</x:v>
      </x:c>
      <x:c r="C1220" s="14" t="str">
        <x:v>SUDESTE / CENTRO - OESTE</x:v>
      </x:c>
      <x:c r="D1220" s="53" t="str">
        <x:v>Cativo</x:v>
      </x:c>
      <x:c r="E1220" s="49" t="n">
        <x:v>5194803</x:v>
      </x:c>
      <x:c r="F1220" s="52" t="n">
        <x:v>30050844</x:v>
      </x:c>
      <x:c r="G1220" s="54" t="n">
        <x:v>46220</x:v>
      </x:c>
      <x:c r="H1220" s="14" t="str">
        <x:f>IF(E1220&lt;0,"Componente negativo — manter e investigar","OK")</x:f>
        <x:v>OK</x:v>
      </x:c>
    </x:row>
    <x:row r="1221">
      <x:c r="A1221" s="51" t="n">
        <x:v>41883</x:v>
      </x:c>
      <x:c r="B1221" s="14" t="str">
        <x:v>Sul</x:v>
      </x:c>
      <x:c r="C1221" s="14" t="str">
        <x:v>SUL</x:v>
      </x:c>
      <x:c r="D1221" s="53" t="str">
        <x:v>Cativo</x:v>
      </x:c>
      <x:c r="E1221" s="49" t="n">
        <x:v>1650393</x:v>
      </x:c>
      <x:c r="F1221" s="52" t="n">
        <x:v>9251798</x:v>
      </x:c>
      <x:c r="G1221" s="54" t="n">
        <x:v>46220</x:v>
      </x:c>
      <x:c r="H1221" s="14" t="str">
        <x:f>IF(E1221&lt;0,"Componente negativo — manter e investigar","OK")</x:f>
        <x:v>OK</x:v>
      </x:c>
    </x:row>
    <x:row r="1222">
      <x:c r="A1222" s="51" t="n">
        <x:v>41913</x:v>
      </x:c>
      <x:c r="B1222" s="14" t="str">
        <x:v>Centro-Oeste</x:v>
      </x:c>
      <x:c r="C1222" s="14" t="str">
        <x:v>SISTEMAS ISOLADOS</x:v>
      </x:c>
      <x:c r="D1222" s="53" t="str">
        <x:v>Cativo</x:v>
      </x:c>
      <x:c r="E1222" s="49" t="n">
        <x:v>263</x:v>
      </x:c>
      <x:c r="F1222" s="52" t="n">
        <x:v>1278</x:v>
      </x:c>
      <x:c r="G1222" s="54" t="n">
        <x:v>46220</x:v>
      </x:c>
      <x:c r="H1222" s="14" t="str">
        <x:f>IF(E1222&lt;0,"Componente negativo — manter e investigar","OK")</x:f>
        <x:v>OK</x:v>
      </x:c>
    </x:row>
    <x:row r="1223">
      <x:c r="A1223" s="51" t="n">
        <x:v>41913</x:v>
      </x:c>
      <x:c r="B1223" s="14" t="str">
        <x:v>Centro-Oeste</x:v>
      </x:c>
      <x:c r="C1223" s="14" t="str">
        <x:v>SUDESTE / CENTRO - OESTE</x:v>
      </x:c>
      <x:c r="D1223" s="53" t="str">
        <x:v>Cativo</x:v>
      </x:c>
      <x:c r="E1223" s="49" t="n">
        <x:v>1006052</x:v>
      </x:c>
      <x:c r="F1223" s="52" t="n">
        <x:v>4916726</x:v>
      </x:c>
      <x:c r="G1223" s="54" t="n">
        <x:v>46220</x:v>
      </x:c>
      <x:c r="H1223" s="14" t="str">
        <x:f>IF(E1223&lt;0,"Componente negativo — manter e investigar","OK")</x:f>
        <x:v>OK</x:v>
      </x:c>
    </x:row>
    <x:row r="1224">
      <x:c r="A1224" s="51" t="n">
        <x:v>41913</x:v>
      </x:c>
      <x:c r="B1224" s="14" t="str">
        <x:v>Nordeste</x:v>
      </x:c>
      <x:c r="C1224" s="14" t="str">
        <x:v>NORDESTE</x:v>
      </x:c>
      <x:c r="D1224" s="53" t="str">
        <x:v>Cativo</x:v>
      </x:c>
      <x:c r="E1224" s="49" t="n">
        <x:v>1900236</x:v>
      </x:c>
      <x:c r="F1224" s="52" t="n">
        <x:v>15502360</x:v>
      </x:c>
      <x:c r="G1224" s="54" t="n">
        <x:v>46220</x:v>
      </x:c>
      <x:c r="H1224" s="14" t="str">
        <x:f>IF(E1224&lt;0,"Componente negativo — manter e investigar","OK")</x:f>
        <x:v>OK</x:v>
      </x:c>
    </x:row>
    <x:row r="1225">
      <x:c r="A1225" s="51" t="n">
        <x:v>41913</x:v>
      </x:c>
      <x:c r="B1225" s="14" t="str">
        <x:v>Nordeste</x:v>
      </x:c>
      <x:c r="C1225" s="14" t="str">
        <x:v>NORTE INTERLIGADO</x:v>
      </x:c>
      <x:c r="D1225" s="53" t="str">
        <x:v>Cativo</x:v>
      </x:c>
      <x:c r="E1225" s="49" t="n">
        <x:v>253439</x:v>
      </x:c>
      <x:c r="F1225" s="52" t="n">
        <x:v>1945230</x:v>
      </x:c>
      <x:c r="G1225" s="54" t="n">
        <x:v>46220</x:v>
      </x:c>
      <x:c r="H1225" s="14" t="str">
        <x:f>IF(E1225&lt;0,"Componente negativo — manter e investigar","OK")</x:f>
        <x:v>OK</x:v>
      </x:c>
    </x:row>
    <x:row r="1226">
      <x:c r="A1226" s="51" t="n">
        <x:v>41913</x:v>
      </x:c>
      <x:c r="B1226" s="14" t="str">
        <x:v>Nordeste</x:v>
      </x:c>
      <x:c r="C1226" s="14" t="str">
        <x:v>SISTEMAS ISOLADOS</x:v>
      </x:c>
      <x:c r="D1226" s="53" t="str">
        <x:v>Cativo</x:v>
      </x:c>
      <x:c r="E1226" s="49" t="n">
        <x:v>333</x:v>
      </x:c>
      <x:c r="F1226" s="52" t="n">
        <x:v>531</x:v>
      </x:c>
      <x:c r="G1226" s="54" t="n">
        <x:v>46220</x:v>
      </x:c>
      <x:c r="H1226" s="14" t="str">
        <x:f>IF(E1226&lt;0,"Componente negativo — manter e investigar","OK")</x:f>
        <x:v>OK</x:v>
      </x:c>
    </x:row>
    <x:row r="1227">
      <x:c r="A1227" s="51" t="n">
        <x:v>41913</x:v>
      </x:c>
      <x:c r="B1227" s="14" t="str">
        <x:v>Norte</x:v>
      </x:c>
      <x:c r="C1227" s="14" t="str">
        <x:v>NORTE INTERLIGADO</x:v>
      </x:c>
      <x:c r="D1227" s="53" t="str">
        <x:v>Cativo</x:v>
      </x:c>
      <x:c r="E1227" s="49" t="n">
        <x:v>455419</x:v>
      </x:c>
      <x:c r="F1227" s="52" t="n">
        <x:v>2621357</x:v>
      </x:c>
      <x:c r="G1227" s="54" t="n">
        <x:v>46220</x:v>
      </x:c>
      <x:c r="H1227" s="14" t="str">
        <x:f>IF(E1227&lt;0,"Componente negativo — manter e investigar","OK")</x:f>
        <x:v>OK</x:v>
      </x:c>
    </x:row>
    <x:row r="1228">
      <x:c r="A1228" s="51" t="n">
        <x:v>41913</x:v>
      </x:c>
      <x:c r="B1228" s="14" t="str">
        <x:v>Norte</x:v>
      </x:c>
      <x:c r="C1228" s="14" t="str">
        <x:v>SISTEMAS ISOLADOS</x:v>
      </x:c>
      <x:c r="D1228" s="53" t="str">
        <x:v>Cativo</x:v>
      </x:c>
      <x:c r="E1228" s="49" t="n">
        <x:v>170740</x:v>
      </x:c>
      <x:c r="F1228" s="52" t="n">
        <x:v>762769</x:v>
      </x:c>
      <x:c r="G1228" s="54" t="n">
        <x:v>46220</x:v>
      </x:c>
      <x:c r="H1228" s="14" t="str">
        <x:f>IF(E1228&lt;0,"Componente negativo — manter e investigar","OK")</x:f>
        <x:v>OK</x:v>
      </x:c>
    </x:row>
    <x:row r="1229">
      <x:c r="A1229" s="51" t="n">
        <x:v>41913</x:v>
      </x:c>
      <x:c r="B1229" s="14" t="str">
        <x:v>Norte</x:v>
      </x:c>
      <x:c r="C1229" s="14" t="str">
        <x:v>SUDESTE / CENTRO - OESTE</x:v>
      </x:c>
      <x:c r="D1229" s="53" t="str">
        <x:v>Cativo</x:v>
      </x:c>
      <x:c r="E1229" s="49" t="n">
        <x:v>130732</x:v>
      </x:c>
      <x:c r="F1229" s="52" t="n">
        <x:v>516184</x:v>
      </x:c>
      <x:c r="G1229" s="54" t="n">
        <x:v>46220</x:v>
      </x:c>
      <x:c r="H1229" s="14" t="str">
        <x:f>IF(E1229&lt;0,"Componente negativo — manter e investigar","OK")</x:f>
        <x:v>OK</x:v>
      </x:c>
    </x:row>
    <x:row r="1230">
      <x:c r="A1230" s="51" t="n">
        <x:v>41913</x:v>
      </x:c>
      <x:c r="B1230" s="14" t="str">
        <x:v>Sudeste</x:v>
      </x:c>
      <x:c r="C1230" s="14" t="str">
        <x:v>SUDESTE / CENTRO - OESTE</x:v>
      </x:c>
      <x:c r="D1230" s="53" t="str">
        <x:v>Cativo</x:v>
      </x:c>
      <x:c r="E1230" s="49" t="n">
        <x:v>5560649</x:v>
      </x:c>
      <x:c r="F1230" s="52" t="n">
        <x:v>30089407</x:v>
      </x:c>
      <x:c r="G1230" s="54" t="n">
        <x:v>46220</x:v>
      </x:c>
      <x:c r="H1230" s="14" t="str">
        <x:f>IF(E1230&lt;0,"Componente negativo — manter e investigar","OK")</x:f>
        <x:v>OK</x:v>
      </x:c>
    </x:row>
    <x:row r="1231">
      <x:c r="A1231" s="51" t="n">
        <x:v>41913</x:v>
      </x:c>
      <x:c r="B1231" s="14" t="str">
        <x:v>Sul</x:v>
      </x:c>
      <x:c r="C1231" s="14" t="str">
        <x:v>SUL</x:v>
      </x:c>
      <x:c r="D1231" s="53" t="str">
        <x:v>Cativo</x:v>
      </x:c>
      <x:c r="E1231" s="49" t="n">
        <x:v>1662746</x:v>
      </x:c>
      <x:c r="F1231" s="52" t="n">
        <x:v>9274193</x:v>
      </x:c>
      <x:c r="G1231" s="54" t="n">
        <x:v>46220</x:v>
      </x:c>
      <x:c r="H1231" s="14" t="str">
        <x:f>IF(E1231&lt;0,"Componente negativo — manter e investigar","OK")</x:f>
        <x:v>OK</x:v>
      </x:c>
    </x:row>
    <x:row r="1232">
      <x:c r="A1232" s="51" t="n">
        <x:v>41944</x:v>
      </x:c>
      <x:c r="B1232" s="14" t="str">
        <x:v>Centro-Oeste</x:v>
      </x:c>
      <x:c r="C1232" s="14" t="str">
        <x:v>SISTEMAS ISOLADOS</x:v>
      </x:c>
      <x:c r="D1232" s="53" t="str">
        <x:v>Cativo</x:v>
      </x:c>
      <x:c r="E1232" s="49" t="n">
        <x:v>201</x:v>
      </x:c>
      <x:c r="F1232" s="52" t="n">
        <x:v>1281</x:v>
      </x:c>
      <x:c r="G1232" s="54" t="n">
        <x:v>46220</x:v>
      </x:c>
      <x:c r="H1232" s="14" t="str">
        <x:f>IF(E1232&lt;0,"Componente negativo — manter e investigar","OK")</x:f>
        <x:v>OK</x:v>
      </x:c>
    </x:row>
    <x:row r="1233">
      <x:c r="A1233" s="51" t="n">
        <x:v>41944</x:v>
      </x:c>
      <x:c r="B1233" s="14" t="str">
        <x:v>Centro-Oeste</x:v>
      </x:c>
      <x:c r="C1233" s="14" t="str">
        <x:v>SUDESTE / CENTRO - OESTE</x:v>
      </x:c>
      <x:c r="D1233" s="53" t="str">
        <x:v>Cativo</x:v>
      </x:c>
      <x:c r="E1233" s="49" t="n">
        <x:v>969350</x:v>
      </x:c>
      <x:c r="F1233" s="52" t="n">
        <x:v>4929829</x:v>
      </x:c>
      <x:c r="G1233" s="54" t="n">
        <x:v>46220</x:v>
      </x:c>
      <x:c r="H1233" s="14" t="str">
        <x:f>IF(E1233&lt;0,"Componente negativo — manter e investigar","OK")</x:f>
        <x:v>OK</x:v>
      </x:c>
    </x:row>
    <x:row r="1234">
      <x:c r="A1234" s="51" t="n">
        <x:v>41944</x:v>
      </x:c>
      <x:c r="B1234" s="14" t="str">
        <x:v>Nordeste</x:v>
      </x:c>
      <x:c r="C1234" s="14" t="str">
        <x:v>NORDESTE</x:v>
      </x:c>
      <x:c r="D1234" s="53" t="str">
        <x:v>Cativo</x:v>
      </x:c>
      <x:c r="E1234" s="49" t="n">
        <x:v>1919115</x:v>
      </x:c>
      <x:c r="F1234" s="52" t="n">
        <x:v>15551421</x:v>
      </x:c>
      <x:c r="G1234" s="54" t="n">
        <x:v>46220</x:v>
      </x:c>
      <x:c r="H1234" s="14" t="str">
        <x:f>IF(E1234&lt;0,"Componente negativo — manter e investigar","OK")</x:f>
        <x:v>OK</x:v>
      </x:c>
    </x:row>
    <x:row r="1235">
      <x:c r="A1235" s="51" t="n">
        <x:v>41944</x:v>
      </x:c>
      <x:c r="B1235" s="14" t="str">
        <x:v>Nordeste</x:v>
      </x:c>
      <x:c r="C1235" s="14" t="str">
        <x:v>NORTE INTERLIGADO</x:v>
      </x:c>
      <x:c r="D1235" s="53" t="str">
        <x:v>Cativo</x:v>
      </x:c>
      <x:c r="E1235" s="49" t="n">
        <x:v>253543</x:v>
      </x:c>
      <x:c r="F1235" s="52" t="n">
        <x:v>1948093</x:v>
      </x:c>
      <x:c r="G1235" s="54" t="n">
        <x:v>46220</x:v>
      </x:c>
      <x:c r="H1235" s="14" t="str">
        <x:f>IF(E1235&lt;0,"Componente negativo — manter e investigar","OK")</x:f>
        <x:v>OK</x:v>
      </x:c>
    </x:row>
    <x:row r="1236">
      <x:c r="A1236" s="51" t="n">
        <x:v>41944</x:v>
      </x:c>
      <x:c r="B1236" s="14" t="str">
        <x:v>Nordeste</x:v>
      </x:c>
      <x:c r="C1236" s="14" t="str">
        <x:v>SISTEMAS ISOLADOS</x:v>
      </x:c>
      <x:c r="D1236" s="53" t="str">
        <x:v>Cativo</x:v>
      </x:c>
      <x:c r="E1236" s="49" t="n">
        <x:v>339</x:v>
      </x:c>
      <x:c r="F1236" s="52" t="n">
        <x:v>532</x:v>
      </x:c>
      <x:c r="G1236" s="54" t="n">
        <x:v>46220</x:v>
      </x:c>
      <x:c r="H1236" s="14" t="str">
        <x:f>IF(E1236&lt;0,"Componente negativo — manter e investigar","OK")</x:f>
        <x:v>OK</x:v>
      </x:c>
    </x:row>
    <x:row r="1237">
      <x:c r="A1237" s="51" t="n">
        <x:v>41944</x:v>
      </x:c>
      <x:c r="B1237" s="14" t="str">
        <x:v>Norte</x:v>
      </x:c>
      <x:c r="C1237" s="14" t="str">
        <x:v>NORTE INTERLIGADO</x:v>
      </x:c>
      <x:c r="D1237" s="53" t="str">
        <x:v>Cativo</x:v>
      </x:c>
      <x:c r="E1237" s="49" t="n">
        <x:v>459476</x:v>
      </x:c>
      <x:c r="F1237" s="52" t="n">
        <x:v>2628459</x:v>
      </x:c>
      <x:c r="G1237" s="54" t="n">
        <x:v>46220</x:v>
      </x:c>
      <x:c r="H1237" s="14" t="str">
        <x:f>IF(E1237&lt;0,"Componente negativo — manter e investigar","OK")</x:f>
        <x:v>OK</x:v>
      </x:c>
    </x:row>
    <x:row r="1238">
      <x:c r="A1238" s="51" t="n">
        <x:v>41944</x:v>
      </x:c>
      <x:c r="B1238" s="14" t="str">
        <x:v>Norte</x:v>
      </x:c>
      <x:c r="C1238" s="14" t="str">
        <x:v>SISTEMAS ISOLADOS</x:v>
      </x:c>
      <x:c r="D1238" s="53" t="str">
        <x:v>Cativo</x:v>
      </x:c>
      <x:c r="E1238" s="49" t="n">
        <x:v>165061</x:v>
      </x:c>
      <x:c r="F1238" s="52" t="n">
        <x:v>765821</x:v>
      </x:c>
      <x:c r="G1238" s="54" t="n">
        <x:v>46220</x:v>
      </x:c>
      <x:c r="H1238" s="14" t="str">
        <x:f>IF(E1238&lt;0,"Componente negativo — manter e investigar","OK")</x:f>
        <x:v>OK</x:v>
      </x:c>
    </x:row>
    <x:row r="1239">
      <x:c r="A1239" s="51" t="n">
        <x:v>41944</x:v>
      </x:c>
      <x:c r="B1239" s="14" t="str">
        <x:v>Norte</x:v>
      </x:c>
      <x:c r="C1239" s="14" t="str">
        <x:v>SUDESTE / CENTRO - OESTE</x:v>
      </x:c>
      <x:c r="D1239" s="53" t="str">
        <x:v>Cativo</x:v>
      </x:c>
      <x:c r="E1239" s="49" t="n">
        <x:v>120746</x:v>
      </x:c>
      <x:c r="F1239" s="52" t="n">
        <x:v>517124</x:v>
      </x:c>
      <x:c r="G1239" s="54" t="n">
        <x:v>46220</x:v>
      </x:c>
      <x:c r="H1239" s="14" t="str">
        <x:f>IF(E1239&lt;0,"Componente negativo — manter e investigar","OK")</x:f>
        <x:v>OK</x:v>
      </x:c>
    </x:row>
    <x:row r="1240">
      <x:c r="A1240" s="51" t="n">
        <x:v>41944</x:v>
      </x:c>
      <x:c r="B1240" s="14" t="str">
        <x:v>Sudeste</x:v>
      </x:c>
      <x:c r="C1240" s="14" t="str">
        <x:v>SUDESTE / CENTRO - OESTE</x:v>
      </x:c>
      <x:c r="D1240" s="53" t="str">
        <x:v>Cativo</x:v>
      </x:c>
      <x:c r="E1240" s="49" t="n">
        <x:v>5714131</x:v>
      </x:c>
      <x:c r="F1240" s="52" t="n">
        <x:v>30106424</x:v>
      </x:c>
      <x:c r="G1240" s="54" t="n">
        <x:v>46220</x:v>
      </x:c>
      <x:c r="H1240" s="14" t="str">
        <x:f>IF(E1240&lt;0,"Componente negativo — manter e investigar","OK")</x:f>
        <x:v>OK</x:v>
      </x:c>
    </x:row>
    <x:row r="1241">
      <x:c r="A1241" s="51" t="n">
        <x:v>41944</x:v>
      </x:c>
      <x:c r="B1241" s="14" t="str">
        <x:v>Sul</x:v>
      </x:c>
      <x:c r="C1241" s="14" t="str">
        <x:v>SUL</x:v>
      </x:c>
      <x:c r="D1241" s="53" t="str">
        <x:v>Cativo</x:v>
      </x:c>
      <x:c r="E1241" s="49" t="n">
        <x:v>1780429</x:v>
      </x:c>
      <x:c r="F1241" s="52" t="n">
        <x:v>9292545</x:v>
      </x:c>
      <x:c r="G1241" s="54" t="n">
        <x:v>46220</x:v>
      </x:c>
      <x:c r="H1241" s="14" t="str">
        <x:f>IF(E1241&lt;0,"Componente negativo — manter e investigar","OK")</x:f>
        <x:v>OK</x:v>
      </x:c>
    </x:row>
    <x:row r="1242">
      <x:c r="A1242" s="51" t="n">
        <x:v>41974</x:v>
      </x:c>
      <x:c r="B1242" s="14" t="str">
        <x:v>Centro-Oeste</x:v>
      </x:c>
      <x:c r="C1242" s="14" t="str">
        <x:v>SISTEMAS ISOLADOS</x:v>
      </x:c>
      <x:c r="D1242" s="53" t="str">
        <x:v>Cativo</x:v>
      </x:c>
      <x:c r="E1242" s="49" t="n">
        <x:v>198</x:v>
      </x:c>
      <x:c r="F1242" s="52" t="n">
        <x:v>1287</x:v>
      </x:c>
      <x:c r="G1242" s="54" t="n">
        <x:v>46220</x:v>
      </x:c>
      <x:c r="H1242" s="14" t="str">
        <x:f>IF(E1242&lt;0,"Componente negativo — manter e investigar","OK")</x:f>
        <x:v>OK</x:v>
      </x:c>
    </x:row>
    <x:row r="1243">
      <x:c r="A1243" s="51" t="n">
        <x:v>41974</x:v>
      </x:c>
      <x:c r="B1243" s="14" t="str">
        <x:v>Centro-Oeste</x:v>
      </x:c>
      <x:c r="C1243" s="14" t="str">
        <x:v>SUDESTE / CENTRO - OESTE</x:v>
      </x:c>
      <x:c r="D1243" s="53" t="str">
        <x:v>Cativo</x:v>
      </x:c>
      <x:c r="E1243" s="49" t="n">
        <x:v>897750</x:v>
      </x:c>
      <x:c r="F1243" s="52" t="n">
        <x:v>4949826</x:v>
      </x:c>
      <x:c r="G1243" s="54" t="n">
        <x:v>46220</x:v>
      </x:c>
      <x:c r="H1243" s="14" t="str">
        <x:f>IF(E1243&lt;0,"Componente negativo — manter e investigar","OK")</x:f>
        <x:v>OK</x:v>
      </x:c>
    </x:row>
    <x:row r="1244">
      <x:c r="A1244" s="51" t="n">
        <x:v>41974</x:v>
      </x:c>
      <x:c r="B1244" s="14" t="str">
        <x:v>Nordeste</x:v>
      </x:c>
      <x:c r="C1244" s="14" t="str">
        <x:v>NORDESTE</x:v>
      </x:c>
      <x:c r="D1244" s="53" t="str">
        <x:v>Cativo</x:v>
      </x:c>
      <x:c r="E1244" s="49" t="n">
        <x:v>1954691</x:v>
      </x:c>
      <x:c r="F1244" s="52" t="n">
        <x:v>15599911</x:v>
      </x:c>
      <x:c r="G1244" s="54" t="n">
        <x:v>46220</x:v>
      </x:c>
      <x:c r="H1244" s="14" t="str">
        <x:f>IF(E1244&lt;0,"Componente negativo — manter e investigar","OK")</x:f>
        <x:v>OK</x:v>
      </x:c>
    </x:row>
    <x:row r="1245">
      <x:c r="A1245" s="51" t="n">
        <x:v>41974</x:v>
      </x:c>
      <x:c r="B1245" s="14" t="str">
        <x:v>Nordeste</x:v>
      </x:c>
      <x:c r="C1245" s="14" t="str">
        <x:v>NORTE INTERLIGADO</x:v>
      </x:c>
      <x:c r="D1245" s="53" t="str">
        <x:v>Cativo</x:v>
      </x:c>
      <x:c r="E1245" s="49" t="n">
        <x:v>235904</x:v>
      </x:c>
      <x:c r="F1245" s="52" t="n">
        <x:v>1954135</x:v>
      </x:c>
      <x:c r="G1245" s="54" t="n">
        <x:v>46220</x:v>
      </x:c>
      <x:c r="H1245" s="14" t="str">
        <x:f>IF(E1245&lt;0,"Componente negativo — manter e investigar","OK")</x:f>
        <x:v>OK</x:v>
      </x:c>
    </x:row>
    <x:row r="1246">
      <x:c r="A1246" s="51" t="n">
        <x:v>41974</x:v>
      </x:c>
      <x:c r="B1246" s="14" t="str">
        <x:v>Nordeste</x:v>
      </x:c>
      <x:c r="C1246" s="14" t="str">
        <x:v>SISTEMAS ISOLADOS</x:v>
      </x:c>
      <x:c r="D1246" s="53" t="str">
        <x:v>Cativo</x:v>
      </x:c>
      <x:c r="E1246" s="49" t="n">
        <x:v>349</x:v>
      </x:c>
      <x:c r="F1246" s="52" t="n">
        <x:v>532</x:v>
      </x:c>
      <x:c r="G1246" s="54" t="n">
        <x:v>46220</x:v>
      </x:c>
      <x:c r="H1246" s="14" t="str">
        <x:f>IF(E1246&lt;0,"Componente negativo — manter e investigar","OK")</x:f>
        <x:v>OK</x:v>
      </x:c>
    </x:row>
    <x:row r="1247">
      <x:c r="A1247" s="51" t="n">
        <x:v>41974</x:v>
      </x:c>
      <x:c r="B1247" s="14" t="str">
        <x:v>Norte</x:v>
      </x:c>
      <x:c r="C1247" s="14" t="str">
        <x:v>NORTE INTERLIGADO</x:v>
      </x:c>
      <x:c r="D1247" s="53" t="str">
        <x:v>Cativo</x:v>
      </x:c>
      <x:c r="E1247" s="49" t="n">
        <x:v>474922</x:v>
      </x:c>
      <x:c r="F1247" s="52" t="n">
        <x:v>2648435</x:v>
      </x:c>
      <x:c r="G1247" s="54" t="n">
        <x:v>46220</x:v>
      </x:c>
      <x:c r="H1247" s="14" t="str">
        <x:f>IF(E1247&lt;0,"Componente negativo — manter e investigar","OK")</x:f>
        <x:v>OK</x:v>
      </x:c>
    </x:row>
    <x:row r="1248">
      <x:c r="A1248" s="51" t="n">
        <x:v>41974</x:v>
      </x:c>
      <x:c r="B1248" s="14" t="str">
        <x:v>Norte</x:v>
      </x:c>
      <x:c r="C1248" s="14" t="str">
        <x:v>SISTEMAS ISOLADOS</x:v>
      </x:c>
      <x:c r="D1248" s="53" t="str">
        <x:v>Cativo</x:v>
      </x:c>
      <x:c r="E1248" s="49" t="n">
        <x:v>165848</x:v>
      </x:c>
      <x:c r="F1248" s="52" t="n">
        <x:v>768883</x:v>
      </x:c>
      <x:c r="G1248" s="54" t="n">
        <x:v>46220</x:v>
      </x:c>
      <x:c r="H1248" s="14" t="str">
        <x:f>IF(E1248&lt;0,"Componente negativo — manter e investigar","OK")</x:f>
        <x:v>OK</x:v>
      </x:c>
    </x:row>
    <x:row r="1249">
      <x:c r="A1249" s="51" t="n">
        <x:v>41974</x:v>
      </x:c>
      <x:c r="B1249" s="14" t="str">
        <x:v>Norte</x:v>
      </x:c>
      <x:c r="C1249" s="14" t="str">
        <x:v>SUDESTE / CENTRO - OESTE</x:v>
      </x:c>
      <x:c r="D1249" s="53" t="str">
        <x:v>Cativo</x:v>
      </x:c>
      <x:c r="E1249" s="49" t="n">
        <x:v>120685</x:v>
      </x:c>
      <x:c r="F1249" s="52" t="n">
        <x:v>519547</x:v>
      </x:c>
      <x:c r="G1249" s="54" t="n">
        <x:v>46220</x:v>
      </x:c>
      <x:c r="H1249" s="14" t="str">
        <x:f>IF(E1249&lt;0,"Componente negativo — manter e investigar","OK")</x:f>
        <x:v>OK</x:v>
      </x:c>
    </x:row>
    <x:row r="1250">
      <x:c r="A1250" s="51" t="n">
        <x:v>41974</x:v>
      </x:c>
      <x:c r="B1250" s="14" t="str">
        <x:v>Sudeste</x:v>
      </x:c>
      <x:c r="C1250" s="14" t="str">
        <x:v>SUDESTE / CENTRO - OESTE</x:v>
      </x:c>
      <x:c r="D1250" s="53" t="str">
        <x:v>Cativo</x:v>
      </x:c>
      <x:c r="E1250" s="49" t="n">
        <x:v>5508771</x:v>
      </x:c>
      <x:c r="F1250" s="52" t="n">
        <x:v>30245091</x:v>
      </x:c>
      <x:c r="G1250" s="54" t="n">
        <x:v>46220</x:v>
      </x:c>
      <x:c r="H1250" s="14" t="str">
        <x:f>IF(E1250&lt;0,"Componente negativo — manter e investigar","OK")</x:f>
        <x:v>OK</x:v>
      </x:c>
    </x:row>
    <x:row r="1251">
      <x:c r="A1251" s="51" t="n">
        <x:v>41974</x:v>
      </x:c>
      <x:c r="B1251" s="14" t="str">
        <x:v>Sul</x:v>
      </x:c>
      <x:c r="C1251" s="14" t="str">
        <x:v>SUL</x:v>
      </x:c>
      <x:c r="D1251" s="53" t="str">
        <x:v>Cativo</x:v>
      </x:c>
      <x:c r="E1251" s="49" t="n">
        <x:v>1801652</x:v>
      </x:c>
      <x:c r="F1251" s="52" t="n">
        <x:v>9318898</x:v>
      </x:c>
      <x:c r="G1251" s="54" t="n">
        <x:v>46220</x:v>
      </x:c>
      <x:c r="H1251" s="14" t="str">
        <x:f>IF(E1251&lt;0,"Componente negativo — manter e investigar","OK")</x:f>
        <x:v>OK</x:v>
      </x:c>
    </x:row>
    <x:row r="1252">
      <x:c r="A1252" s="51" t="n">
        <x:v>42005</x:v>
      </x:c>
      <x:c r="B1252" s="14" t="str">
        <x:v>Centro-Oeste</x:v>
      </x:c>
      <x:c r="C1252" s="14" t="str">
        <x:v>SISTEMAS ISOLADOS</x:v>
      </x:c>
      <x:c r="D1252" s="53" t="str">
        <x:v>Cativo</x:v>
      </x:c>
      <x:c r="E1252" s="49" t="n">
        <x:v>218</x:v>
      </x:c>
      <x:c r="F1252" s="52" t="n">
        <x:v>1289</x:v>
      </x:c>
      <x:c r="G1252" s="54" t="n">
        <x:v>46220</x:v>
      </x:c>
      <x:c r="H1252" s="14" t="str">
        <x:f>IF(E1252&lt;0,"Componente negativo — manter e investigar","OK")</x:f>
        <x:v>OK</x:v>
      </x:c>
    </x:row>
    <x:row r="1253">
      <x:c r="A1253" s="51" t="n">
        <x:v>42005</x:v>
      </x:c>
      <x:c r="B1253" s="14" t="str">
        <x:v>Centro-Oeste</x:v>
      </x:c>
      <x:c r="C1253" s="14" t="str">
        <x:v>SUDESTE / CENTRO - OESTE</x:v>
      </x:c>
      <x:c r="D1253" s="53" t="str">
        <x:v>Cativo</x:v>
      </x:c>
      <x:c r="E1253" s="49" t="n">
        <x:v>989285</x:v>
      </x:c>
      <x:c r="F1253" s="52" t="n">
        <x:v>4965903</x:v>
      </x:c>
      <x:c r="G1253" s="54" t="n">
        <x:v>46220</x:v>
      </x:c>
      <x:c r="H1253" s="14" t="str">
        <x:f>IF(E1253&lt;0,"Componente negativo — manter e investigar","OK")</x:f>
        <x:v>OK</x:v>
      </x:c>
    </x:row>
    <x:row r="1254">
      <x:c r="A1254" s="51" t="n">
        <x:v>42005</x:v>
      </x:c>
      <x:c r="B1254" s="14" t="str">
        <x:v>Nordeste</x:v>
      </x:c>
      <x:c r="C1254" s="14" t="str">
        <x:v>NORDESTE</x:v>
      </x:c>
      <x:c r="D1254" s="53" t="str">
        <x:v>Cativo</x:v>
      </x:c>
      <x:c r="E1254" s="49" t="n">
        <x:v>2059745</x:v>
      </x:c>
      <x:c r="F1254" s="52" t="n">
        <x:v>15628809</x:v>
      </x:c>
      <x:c r="G1254" s="54" t="n">
        <x:v>46220</x:v>
      </x:c>
      <x:c r="H1254" s="14" t="str">
        <x:f>IF(E1254&lt;0,"Componente negativo — manter e investigar","OK")</x:f>
        <x:v>OK</x:v>
      </x:c>
    </x:row>
    <x:row r="1255">
      <x:c r="A1255" s="51" t="n">
        <x:v>42005</x:v>
      </x:c>
      <x:c r="B1255" s="14" t="str">
        <x:v>Nordeste</x:v>
      </x:c>
      <x:c r="C1255" s="14" t="str">
        <x:v>NORTE INTERLIGADO</x:v>
      </x:c>
      <x:c r="D1255" s="53" t="str">
        <x:v>Cativo</x:v>
      </x:c>
      <x:c r="E1255" s="49" t="n">
        <x:v>242538</x:v>
      </x:c>
      <x:c r="F1255" s="52" t="n">
        <x:v>1958949</x:v>
      </x:c>
      <x:c r="G1255" s="54" t="n">
        <x:v>46220</x:v>
      </x:c>
      <x:c r="H1255" s="14" t="str">
        <x:f>IF(E1255&lt;0,"Componente negativo — manter e investigar","OK")</x:f>
        <x:v>OK</x:v>
      </x:c>
    </x:row>
    <x:row r="1256">
      <x:c r="A1256" s="51" t="n">
        <x:v>42005</x:v>
      </x:c>
      <x:c r="B1256" s="14" t="str">
        <x:v>Nordeste</x:v>
      </x:c>
      <x:c r="C1256" s="14" t="str">
        <x:v>SISTEMAS ISOLADOS</x:v>
      </x:c>
      <x:c r="D1256" s="53" t="str">
        <x:v>Cativo</x:v>
      </x:c>
      <x:c r="E1256" s="49" t="n">
        <x:v>383</x:v>
      </x:c>
      <x:c r="F1256" s="52" t="n">
        <x:v>532</x:v>
      </x:c>
      <x:c r="G1256" s="54" t="n">
        <x:v>46220</x:v>
      </x:c>
      <x:c r="H1256" s="14" t="str">
        <x:f>IF(E1256&lt;0,"Componente negativo — manter e investigar","OK")</x:f>
        <x:v>OK</x:v>
      </x:c>
    </x:row>
    <x:row r="1257">
      <x:c r="A1257" s="51" t="n">
        <x:v>42005</x:v>
      </x:c>
      <x:c r="B1257" s="14" t="str">
        <x:v>Norte</x:v>
      </x:c>
      <x:c r="C1257" s="14" t="str">
        <x:v>NORTE INTERLIGADO</x:v>
      </x:c>
      <x:c r="D1257" s="53" t="str">
        <x:v>Cativo</x:v>
      </x:c>
      <x:c r="E1257" s="49" t="n">
        <x:v>442657</x:v>
      </x:c>
      <x:c r="F1257" s="52" t="n">
        <x:v>2669034</x:v>
      </x:c>
      <x:c r="G1257" s="54" t="n">
        <x:v>46220</x:v>
      </x:c>
      <x:c r="H1257" s="14" t="str">
        <x:f>IF(E1257&lt;0,"Componente negativo — manter e investigar","OK")</x:f>
        <x:v>OK</x:v>
      </x:c>
    </x:row>
    <x:row r="1258">
      <x:c r="A1258" s="51" t="n">
        <x:v>42005</x:v>
      </x:c>
      <x:c r="B1258" s="14" t="str">
        <x:v>Norte</x:v>
      </x:c>
      <x:c r="C1258" s="14" t="str">
        <x:v>SISTEMAS ISOLADOS</x:v>
      </x:c>
      <x:c r="D1258" s="53" t="str">
        <x:v>Cativo</x:v>
      </x:c>
      <x:c r="E1258" s="49" t="n">
        <x:v>166878.359</x:v>
      </x:c>
      <x:c r="F1258" s="52" t="n">
        <x:v>772463</x:v>
      </x:c>
      <x:c r="G1258" s="54" t="n">
        <x:v>46220</x:v>
      </x:c>
      <x:c r="H1258" s="14" t="str">
        <x:f>IF(E1258&lt;0,"Componente negativo — manter e investigar","OK")</x:f>
        <x:v>OK</x:v>
      </x:c>
    </x:row>
    <x:row r="1259">
      <x:c r="A1259" s="51" t="n">
        <x:v>42005</x:v>
      </x:c>
      <x:c r="B1259" s="14" t="str">
        <x:v>Norte</x:v>
      </x:c>
      <x:c r="C1259" s="14" t="str">
        <x:v>SUDESTE / CENTRO - OESTE</x:v>
      </x:c>
      <x:c r="D1259" s="53" t="str">
        <x:v>Cativo</x:v>
      </x:c>
      <x:c r="E1259" s="49" t="n">
        <x:v>117035</x:v>
      </x:c>
      <x:c r="F1259" s="52" t="n">
        <x:v>520334</x:v>
      </x:c>
      <x:c r="G1259" s="54" t="n">
        <x:v>46220</x:v>
      </x:c>
      <x:c r="H1259" s="14" t="str">
        <x:f>IF(E1259&lt;0,"Componente negativo — manter e investigar","OK")</x:f>
        <x:v>OK</x:v>
      </x:c>
    </x:row>
    <x:row r="1260">
      <x:c r="A1260" s="51" t="n">
        <x:v>42005</x:v>
      </x:c>
      <x:c r="B1260" s="14" t="str">
        <x:v>Sudeste</x:v>
      </x:c>
      <x:c r="C1260" s="14" t="str">
        <x:v>SUDESTE / CENTRO - OESTE</x:v>
      </x:c>
      <x:c r="D1260" s="53" t="str">
        <x:v>Cativo</x:v>
      </x:c>
      <x:c r="E1260" s="49" t="n">
        <x:v>6476567</x:v>
      </x:c>
      <x:c r="F1260" s="52" t="n">
        <x:v>30296256</x:v>
      </x:c>
      <x:c r="G1260" s="54" t="n">
        <x:v>46220</x:v>
      </x:c>
      <x:c r="H1260" s="14" t="str">
        <x:f>IF(E1260&lt;0,"Componente negativo — manter e investigar","OK")</x:f>
        <x:v>OK</x:v>
      </x:c>
    </x:row>
    <x:row r="1261">
      <x:c r="A1261" s="51" t="n">
        <x:v>42005</x:v>
      </x:c>
      <x:c r="B1261" s="14" t="str">
        <x:v>Sul</x:v>
      </x:c>
      <x:c r="C1261" s="14" t="str">
        <x:v>SUL</x:v>
      </x:c>
      <x:c r="D1261" s="53" t="str">
        <x:v>Cativo</x:v>
      </x:c>
      <x:c r="E1261" s="49" t="n">
        <x:v>2062995.711</x:v>
      </x:c>
      <x:c r="F1261" s="52" t="n">
        <x:v>9345016</x:v>
      </x:c>
      <x:c r="G1261" s="54" t="n">
        <x:v>46220</x:v>
      </x:c>
      <x:c r="H1261" s="14" t="str">
        <x:f>IF(E1261&lt;0,"Componente negativo — manter e investigar","OK")</x:f>
        <x:v>OK</x:v>
      </x:c>
    </x:row>
    <x:row r="1262">
      <x:c r="A1262" s="51" t="n">
        <x:v>42036</x:v>
      </x:c>
      <x:c r="B1262" s="14" t="str">
        <x:v>Centro-Oeste</x:v>
      </x:c>
      <x:c r="C1262" s="14" t="str">
        <x:v>SISTEMAS ISOLADOS</x:v>
      </x:c>
      <x:c r="D1262" s="53" t="str">
        <x:v>Cativo</x:v>
      </x:c>
      <x:c r="E1262" s="49" t="n">
        <x:v>192</x:v>
      </x:c>
      <x:c r="F1262" s="52" t="n">
        <x:v>1285</x:v>
      </x:c>
      <x:c r="G1262" s="54" t="n">
        <x:v>46220</x:v>
      </x:c>
      <x:c r="H1262" s="14" t="str">
        <x:f>IF(E1262&lt;0,"Componente negativo — manter e investigar","OK")</x:f>
        <x:v>OK</x:v>
      </x:c>
    </x:row>
    <x:row r="1263">
      <x:c r="A1263" s="51" t="n">
        <x:v>42036</x:v>
      </x:c>
      <x:c r="B1263" s="14" t="str">
        <x:v>Centro-Oeste</x:v>
      </x:c>
      <x:c r="C1263" s="14" t="str">
        <x:v>SUDESTE / CENTRO - OESTE</x:v>
      </x:c>
      <x:c r="D1263" s="53" t="str">
        <x:v>Cativo</x:v>
      </x:c>
      <x:c r="E1263" s="49" t="n">
        <x:v>936097</x:v>
      </x:c>
      <x:c r="F1263" s="52" t="n">
        <x:v>4982544</x:v>
      </x:c>
      <x:c r="G1263" s="54" t="n">
        <x:v>46220</x:v>
      </x:c>
      <x:c r="H1263" s="14" t="str">
        <x:f>IF(E1263&lt;0,"Componente negativo — manter e investigar","OK")</x:f>
        <x:v>OK</x:v>
      </x:c>
    </x:row>
    <x:row r="1264">
      <x:c r="A1264" s="51" t="n">
        <x:v>42036</x:v>
      </x:c>
      <x:c r="B1264" s="14" t="str">
        <x:v>Nordeste</x:v>
      </x:c>
      <x:c r="C1264" s="14" t="str">
        <x:v>NORDESTE</x:v>
      </x:c>
      <x:c r="D1264" s="53" t="str">
        <x:v>Cativo</x:v>
      </x:c>
      <x:c r="E1264" s="49" t="n">
        <x:v>2005749</x:v>
      </x:c>
      <x:c r="F1264" s="52" t="n">
        <x:v>15662668</x:v>
      </x:c>
      <x:c r="G1264" s="54" t="n">
        <x:v>46220</x:v>
      </x:c>
      <x:c r="H1264" s="14" t="str">
        <x:f>IF(E1264&lt;0,"Componente negativo — manter e investigar","OK")</x:f>
        <x:v>OK</x:v>
      </x:c>
    </x:row>
    <x:row r="1265">
      <x:c r="A1265" s="51" t="n">
        <x:v>42036</x:v>
      </x:c>
      <x:c r="B1265" s="14" t="str">
        <x:v>Nordeste</x:v>
      </x:c>
      <x:c r="C1265" s="14" t="str">
        <x:v>NORTE INTERLIGADO</x:v>
      </x:c>
      <x:c r="D1265" s="53" t="str">
        <x:v>Cativo</x:v>
      </x:c>
      <x:c r="E1265" s="49" t="n">
        <x:v>234652</x:v>
      </x:c>
      <x:c r="F1265" s="52" t="n">
        <x:v>1964099</x:v>
      </x:c>
      <x:c r="G1265" s="54" t="n">
        <x:v>46220</x:v>
      </x:c>
      <x:c r="H1265" s="14" t="str">
        <x:f>IF(E1265&lt;0,"Componente negativo — manter e investigar","OK")</x:f>
        <x:v>OK</x:v>
      </x:c>
    </x:row>
    <x:row r="1266">
      <x:c r="A1266" s="51" t="n">
        <x:v>42036</x:v>
      </x:c>
      <x:c r="B1266" s="14" t="str">
        <x:v>Nordeste</x:v>
      </x:c>
      <x:c r="C1266" s="14" t="str">
        <x:v>SISTEMAS ISOLADOS</x:v>
      </x:c>
      <x:c r="D1266" s="53" t="str">
        <x:v>Cativo</x:v>
      </x:c>
      <x:c r="E1266" s="49" t="n">
        <x:v>385</x:v>
      </x:c>
      <x:c r="F1266" s="52" t="n">
        <x:v>534</x:v>
      </x:c>
      <x:c r="G1266" s="54" t="n">
        <x:v>46220</x:v>
      </x:c>
      <x:c r="H1266" s="14" t="str">
        <x:f>IF(E1266&lt;0,"Componente negativo — manter e investigar","OK")</x:f>
        <x:v>OK</x:v>
      </x:c>
    </x:row>
    <x:row r="1267">
      <x:c r="A1267" s="51" t="n">
        <x:v>42036</x:v>
      </x:c>
      <x:c r="B1267" s="14" t="str">
        <x:v>Norte</x:v>
      </x:c>
      <x:c r="C1267" s="14" t="str">
        <x:v>NORTE INTERLIGADO</x:v>
      </x:c>
      <x:c r="D1267" s="53" t="str">
        <x:v>Cativo</x:v>
      </x:c>
      <x:c r="E1267" s="49" t="n">
        <x:v>420712</x:v>
      </x:c>
      <x:c r="F1267" s="52" t="n">
        <x:v>2675351</x:v>
      </x:c>
      <x:c r="G1267" s="54" t="n">
        <x:v>46220</x:v>
      </x:c>
      <x:c r="H1267" s="14" t="str">
        <x:f>IF(E1267&lt;0,"Componente negativo — manter e investigar","OK")</x:f>
        <x:v>OK</x:v>
      </x:c>
    </x:row>
    <x:row r="1268">
      <x:c r="A1268" s="51" t="n">
        <x:v>42036</x:v>
      </x:c>
      <x:c r="B1268" s="14" t="str">
        <x:v>Norte</x:v>
      </x:c>
      <x:c r="C1268" s="14" t="str">
        <x:v>SISTEMAS ISOLADOS</x:v>
      </x:c>
      <x:c r="D1268" s="53" t="str">
        <x:v>Cativo</x:v>
      </x:c>
      <x:c r="E1268" s="49" t="n">
        <x:v>150554</x:v>
      </x:c>
      <x:c r="F1268" s="52" t="n">
        <x:v>776188</x:v>
      </x:c>
      <x:c r="G1268" s="54" t="n">
        <x:v>46220</x:v>
      </x:c>
      <x:c r="H1268" s="14" t="str">
        <x:f>IF(E1268&lt;0,"Componente negativo — manter e investigar","OK")</x:f>
        <x:v>OK</x:v>
      </x:c>
    </x:row>
    <x:row r="1269">
      <x:c r="A1269" s="51" t="n">
        <x:v>42036</x:v>
      </x:c>
      <x:c r="B1269" s="14" t="str">
        <x:v>Norte</x:v>
      </x:c>
      <x:c r="C1269" s="14" t="str">
        <x:v>SUDESTE / CENTRO - OESTE</x:v>
      </x:c>
      <x:c r="D1269" s="53" t="str">
        <x:v>Cativo</x:v>
      </x:c>
      <x:c r="E1269" s="49" t="n">
        <x:v>106248</x:v>
      </x:c>
      <x:c r="F1269" s="52" t="n">
        <x:v>518390</x:v>
      </x:c>
      <x:c r="G1269" s="54" t="n">
        <x:v>46220</x:v>
      </x:c>
      <x:c r="H1269" s="14" t="str">
        <x:f>IF(E1269&lt;0,"Componente negativo — manter e investigar","OK")</x:f>
        <x:v>OK</x:v>
      </x:c>
    </x:row>
    <x:row r="1270">
      <x:c r="A1270" s="51" t="n">
        <x:v>42036</x:v>
      </x:c>
      <x:c r="B1270" s="14" t="str">
        <x:v>Sudeste</x:v>
      </x:c>
      <x:c r="C1270" s="14" t="str">
        <x:v>SUDESTE / CENTRO - OESTE</x:v>
      </x:c>
      <x:c r="D1270" s="53" t="str">
        <x:v>Cativo</x:v>
      </x:c>
      <x:c r="E1270" s="49" t="n">
        <x:v>5957795</x:v>
      </x:c>
      <x:c r="F1270" s="52" t="n">
        <x:v>30375541</x:v>
      </x:c>
      <x:c r="G1270" s="54" t="n">
        <x:v>46220</x:v>
      </x:c>
      <x:c r="H1270" s="14" t="str">
        <x:f>IF(E1270&lt;0,"Componente negativo — manter e investigar","OK")</x:f>
        <x:v>OK</x:v>
      </x:c>
    </x:row>
    <x:row r="1271">
      <x:c r="A1271" s="51" t="n">
        <x:v>42036</x:v>
      </x:c>
      <x:c r="B1271" s="14" t="str">
        <x:v>Sul</x:v>
      </x:c>
      <x:c r="C1271" s="14" t="str">
        <x:v>SUL</x:v>
      </x:c>
      <x:c r="D1271" s="53" t="str">
        <x:v>Cativo</x:v>
      </x:c>
      <x:c r="E1271" s="49" t="n">
        <x:v>1967877</x:v>
      </x:c>
      <x:c r="F1271" s="52" t="n">
        <x:v>9367429</x:v>
      </x:c>
      <x:c r="G1271" s="54" t="n">
        <x:v>46220</x:v>
      </x:c>
      <x:c r="H1271" s="14" t="str">
        <x:f>IF(E1271&lt;0,"Componente negativo — manter e investigar","OK")</x:f>
        <x:v>OK</x:v>
      </x:c>
    </x:row>
    <x:row r="1272">
      <x:c r="A1272" s="51" t="n">
        <x:v>42064</x:v>
      </x:c>
      <x:c r="B1272" s="14" t="str">
        <x:v>Centro-Oeste</x:v>
      </x:c>
      <x:c r="C1272" s="14" t="str">
        <x:v>SISTEMAS ISOLADOS</x:v>
      </x:c>
      <x:c r="D1272" s="53" t="str">
        <x:v>Cativo</x:v>
      </x:c>
      <x:c r="E1272" s="49" t="n">
        <x:v>194</x:v>
      </x:c>
      <x:c r="F1272" s="52" t="n">
        <x:v>1283</x:v>
      </x:c>
      <x:c r="G1272" s="54" t="n">
        <x:v>46220</x:v>
      </x:c>
      <x:c r="H1272" s="14" t="str">
        <x:f>IF(E1272&lt;0,"Componente negativo — manter e investigar","OK")</x:f>
        <x:v>OK</x:v>
      </x:c>
    </x:row>
    <x:row r="1273">
      <x:c r="A1273" s="51" t="n">
        <x:v>42064</x:v>
      </x:c>
      <x:c r="B1273" s="14" t="str">
        <x:v>Centro-Oeste</x:v>
      </x:c>
      <x:c r="C1273" s="14" t="str">
        <x:v>SUDESTE / CENTRO - OESTE</x:v>
      </x:c>
      <x:c r="D1273" s="53" t="str">
        <x:v>Cativo</x:v>
      </x:c>
      <x:c r="E1273" s="49" t="n">
        <x:v>828180</x:v>
      </x:c>
      <x:c r="F1273" s="52" t="n">
        <x:v>4479896</x:v>
      </x:c>
      <x:c r="G1273" s="54" t="n">
        <x:v>46220</x:v>
      </x:c>
      <x:c r="H1273" s="14" t="str">
        <x:f>IF(E1273&lt;0,"Componente negativo — manter e investigar","OK")</x:f>
        <x:v>OK</x:v>
      </x:c>
    </x:row>
    <x:row r="1274">
      <x:c r="A1274" s="51" t="n">
        <x:v>42064</x:v>
      </x:c>
      <x:c r="B1274" s="14" t="str">
        <x:v>Nordeste</x:v>
      </x:c>
      <x:c r="C1274" s="14" t="str">
        <x:v>NORDESTE</x:v>
      </x:c>
      <x:c r="D1274" s="53" t="str">
        <x:v>Cativo</x:v>
      </x:c>
      <x:c r="E1274" s="49" t="n">
        <x:v>1986393</x:v>
      </x:c>
      <x:c r="F1274" s="52" t="n">
        <x:v>15728635</x:v>
      </x:c>
      <x:c r="G1274" s="54" t="n">
        <x:v>46220</x:v>
      </x:c>
      <x:c r="H1274" s="14" t="str">
        <x:f>IF(E1274&lt;0,"Componente negativo — manter e investigar","OK")</x:f>
        <x:v>OK</x:v>
      </x:c>
    </x:row>
    <x:row r="1275">
      <x:c r="A1275" s="51" t="n">
        <x:v>42064</x:v>
      </x:c>
      <x:c r="B1275" s="14" t="str">
        <x:v>Nordeste</x:v>
      </x:c>
      <x:c r="C1275" s="14" t="str">
        <x:v>NORTE INTERLIGADO</x:v>
      </x:c>
      <x:c r="D1275" s="53" t="str">
        <x:v>Cativo</x:v>
      </x:c>
      <x:c r="E1275" s="49" t="n">
        <x:v>226778</x:v>
      </x:c>
      <x:c r="F1275" s="52" t="n">
        <x:v>1967834</x:v>
      </x:c>
      <x:c r="G1275" s="54" t="n">
        <x:v>46220</x:v>
      </x:c>
      <x:c r="H1275" s="14" t="str">
        <x:f>IF(E1275&lt;0,"Componente negativo — manter e investigar","OK")</x:f>
        <x:v>OK</x:v>
      </x:c>
    </x:row>
    <x:row r="1276">
      <x:c r="A1276" s="51" t="n">
        <x:v>42064</x:v>
      </x:c>
      <x:c r="B1276" s="14" t="str">
        <x:v>Nordeste</x:v>
      </x:c>
      <x:c r="C1276" s="14" t="str">
        <x:v>SISTEMAS ISOLADOS</x:v>
      </x:c>
      <x:c r="D1276" s="53" t="str">
        <x:v>Cativo</x:v>
      </x:c>
      <x:c r="E1276" s="49" t="n">
        <x:v>356</x:v>
      </x:c>
      <x:c r="F1276" s="52" t="n">
        <x:v>534</x:v>
      </x:c>
      <x:c r="G1276" s="54" t="n">
        <x:v>46220</x:v>
      </x:c>
      <x:c r="H1276" s="14" t="str">
        <x:f>IF(E1276&lt;0,"Componente negativo — manter e investigar","OK")</x:f>
        <x:v>OK</x:v>
      </x:c>
    </x:row>
    <x:row r="1277">
      <x:c r="A1277" s="51" t="n">
        <x:v>42064</x:v>
      </x:c>
      <x:c r="B1277" s="14" t="str">
        <x:v>Norte</x:v>
      </x:c>
      <x:c r="C1277" s="14" t="str">
        <x:v>NORTE INTERLIGADO</x:v>
      </x:c>
      <x:c r="D1277" s="53" t="str">
        <x:v>Cativo</x:v>
      </x:c>
      <x:c r="E1277" s="49" t="n">
        <x:v>413133</x:v>
      </x:c>
      <x:c r="F1277" s="52" t="n">
        <x:v>2689464</x:v>
      </x:c>
      <x:c r="G1277" s="54" t="n">
        <x:v>46220</x:v>
      </x:c>
      <x:c r="H1277" s="14" t="str">
        <x:f>IF(E1277&lt;0,"Componente negativo — manter e investigar","OK")</x:f>
        <x:v>OK</x:v>
      </x:c>
    </x:row>
    <x:row r="1278">
      <x:c r="A1278" s="51" t="n">
        <x:v>42064</x:v>
      </x:c>
      <x:c r="B1278" s="14" t="str">
        <x:v>Norte</x:v>
      </x:c>
      <x:c r="C1278" s="14" t="str">
        <x:v>SISTEMAS ISOLADOS</x:v>
      </x:c>
      <x:c r="D1278" s="53" t="str">
        <x:v>Cativo</x:v>
      </x:c>
      <x:c r="E1278" s="49" t="n">
        <x:v>155691</x:v>
      </x:c>
      <x:c r="F1278" s="52" t="n">
        <x:v>780018</x:v>
      </x:c>
      <x:c r="G1278" s="54" t="n">
        <x:v>46220</x:v>
      </x:c>
      <x:c r="H1278" s="14" t="str">
        <x:f>IF(E1278&lt;0,"Componente negativo — manter e investigar","OK")</x:f>
        <x:v>OK</x:v>
      </x:c>
    </x:row>
    <x:row r="1279">
      <x:c r="A1279" s="51" t="n">
        <x:v>42064</x:v>
      </x:c>
      <x:c r="B1279" s="14" t="str">
        <x:v>Norte</x:v>
      </x:c>
      <x:c r="C1279" s="14" t="str">
        <x:v>SUDESTE / CENTRO - OESTE</x:v>
      </x:c>
      <x:c r="D1279" s="53" t="str">
        <x:v>Cativo</x:v>
      </x:c>
      <x:c r="E1279" s="49" t="n">
        <x:v>111487</x:v>
      </x:c>
      <x:c r="F1279" s="52" t="n">
        <x:v>521964</x:v>
      </x:c>
      <x:c r="G1279" s="54" t="n">
        <x:v>46220</x:v>
      </x:c>
      <x:c r="H1279" s="14" t="str">
        <x:f>IF(E1279&lt;0,"Componente negativo — manter e investigar","OK")</x:f>
        <x:v>OK</x:v>
      </x:c>
    </x:row>
    <x:row r="1280">
      <x:c r="A1280" s="51" t="n">
        <x:v>42064</x:v>
      </x:c>
      <x:c r="B1280" s="14" t="str">
        <x:v>Sudeste</x:v>
      </x:c>
      <x:c r="C1280" s="14" t="str">
        <x:v>SUDESTE / CENTRO - OESTE</x:v>
      </x:c>
      <x:c r="D1280" s="53" t="str">
        <x:v>Cativo</x:v>
      </x:c>
      <x:c r="E1280" s="49" t="n">
        <x:v>5573471</x:v>
      </x:c>
      <x:c r="F1280" s="52" t="n">
        <x:v>30448479</x:v>
      </x:c>
      <x:c r="G1280" s="54" t="n">
        <x:v>46220</x:v>
      </x:c>
      <x:c r="H1280" s="14" t="str">
        <x:f>IF(E1280&lt;0,"Componente negativo — manter e investigar","OK")</x:f>
        <x:v>OK</x:v>
      </x:c>
    </x:row>
    <x:row r="1281">
      <x:c r="A1281" s="51" t="n">
        <x:v>42064</x:v>
      </x:c>
      <x:c r="B1281" s="14" t="str">
        <x:v>Sul</x:v>
      </x:c>
      <x:c r="C1281" s="14" t="str">
        <x:v>SUL</x:v>
      </x:c>
      <x:c r="D1281" s="53" t="str">
        <x:v>Cativo</x:v>
      </x:c>
      <x:c r="E1281" s="49" t="n">
        <x:v>1802427</x:v>
      </x:c>
      <x:c r="F1281" s="52" t="n">
        <x:v>9393549</x:v>
      </x:c>
      <x:c r="G1281" s="54" t="n">
        <x:v>46220</x:v>
      </x:c>
      <x:c r="H1281" s="14" t="str">
        <x:f>IF(E1281&lt;0,"Componente negativo — manter e investigar","OK")</x:f>
        <x:v>OK</x:v>
      </x:c>
    </x:row>
    <x:row r="1282">
      <x:c r="A1282" s="51" t="n">
        <x:v>42095</x:v>
      </x:c>
      <x:c r="B1282" s="14" t="str">
        <x:v>Centro-Oeste</x:v>
      </x:c>
      <x:c r="C1282" s="14" t="str">
        <x:v>SISTEMAS ISOLADOS</x:v>
      </x:c>
      <x:c r="D1282" s="53" t="str">
        <x:v>Cativo</x:v>
      </x:c>
      <x:c r="E1282" s="49" t="n">
        <x:v>81</x:v>
      </x:c>
      <x:c r="F1282" s="52" t="n">
        <x:v>1294</x:v>
      </x:c>
      <x:c r="G1282" s="54" t="n">
        <x:v>46220</x:v>
      </x:c>
      <x:c r="H1282" s="14" t="str">
        <x:f>IF(E1282&lt;0,"Componente negativo — manter e investigar","OK")</x:f>
        <x:v>OK</x:v>
      </x:c>
    </x:row>
    <x:row r="1283">
      <x:c r="A1283" s="51" t="n">
        <x:v>42095</x:v>
      </x:c>
      <x:c r="B1283" s="14" t="str">
        <x:v>Centro-Oeste</x:v>
      </x:c>
      <x:c r="C1283" s="14" t="str">
        <x:v>SUDESTE / CENTRO - OESTE</x:v>
      </x:c>
      <x:c r="D1283" s="53" t="str">
        <x:v>Cativo</x:v>
      </x:c>
      <x:c r="E1283" s="49" t="n">
        <x:v>841704</x:v>
      </x:c>
      <x:c r="F1283" s="52" t="n">
        <x:v>4435783</x:v>
      </x:c>
      <x:c r="G1283" s="54" t="n">
        <x:v>46220</x:v>
      </x:c>
      <x:c r="H1283" s="14" t="str">
        <x:f>IF(E1283&lt;0,"Componente negativo — manter e investigar","OK")</x:f>
        <x:v>OK</x:v>
      </x:c>
    </x:row>
    <x:row r="1284">
      <x:c r="A1284" s="51" t="n">
        <x:v>42095</x:v>
      </x:c>
      <x:c r="B1284" s="14" t="str">
        <x:v>Nordeste</x:v>
      </x:c>
      <x:c r="C1284" s="14" t="str">
        <x:v>NORDESTE</x:v>
      </x:c>
      <x:c r="D1284" s="53" t="str">
        <x:v>Cativo</x:v>
      </x:c>
      <x:c r="E1284" s="49" t="n">
        <x:v>2009014</x:v>
      </x:c>
      <x:c r="F1284" s="52" t="n">
        <x:v>15775780</x:v>
      </x:c>
      <x:c r="G1284" s="54" t="n">
        <x:v>46220</x:v>
      </x:c>
      <x:c r="H1284" s="14" t="str">
        <x:f>IF(E1284&lt;0,"Componente negativo — manter e investigar","OK")</x:f>
        <x:v>OK</x:v>
      </x:c>
    </x:row>
    <x:row r="1285">
      <x:c r="A1285" s="51" t="n">
        <x:v>42095</x:v>
      </x:c>
      <x:c r="B1285" s="14" t="str">
        <x:v>Nordeste</x:v>
      </x:c>
      <x:c r="C1285" s="14" t="str">
        <x:v>NORTE INTERLIGADO</x:v>
      </x:c>
      <x:c r="D1285" s="53" t="str">
        <x:v>Cativo</x:v>
      </x:c>
      <x:c r="E1285" s="49" t="n">
        <x:v>222998</x:v>
      </x:c>
      <x:c r="F1285" s="52" t="n">
        <x:v>1969445</x:v>
      </x:c>
      <x:c r="G1285" s="54" t="n">
        <x:v>46220</x:v>
      </x:c>
      <x:c r="H1285" s="14" t="str">
        <x:f>IF(E1285&lt;0,"Componente negativo — manter e investigar","OK")</x:f>
        <x:v>OK</x:v>
      </x:c>
    </x:row>
    <x:row r="1286">
      <x:c r="A1286" s="51" t="n">
        <x:v>42095</x:v>
      </x:c>
      <x:c r="B1286" s="14" t="str">
        <x:v>Nordeste</x:v>
      </x:c>
      <x:c r="C1286" s="14" t="str">
        <x:v>SISTEMAS ISOLADOS</x:v>
      </x:c>
      <x:c r="D1286" s="53" t="str">
        <x:v>Cativo</x:v>
      </x:c>
      <x:c r="E1286" s="49" t="n">
        <x:v>363</x:v>
      </x:c>
      <x:c r="F1286" s="52" t="n">
        <x:v>536</x:v>
      </x:c>
      <x:c r="G1286" s="54" t="n">
        <x:v>46220</x:v>
      </x:c>
      <x:c r="H1286" s="14" t="str">
        <x:f>IF(E1286&lt;0,"Componente negativo — manter e investigar","OK")</x:f>
        <x:v>OK</x:v>
      </x:c>
    </x:row>
    <x:row r="1287">
      <x:c r="A1287" s="51" t="n">
        <x:v>42095</x:v>
      </x:c>
      <x:c r="B1287" s="14" t="str">
        <x:v>Norte</x:v>
      </x:c>
      <x:c r="C1287" s="14" t="str">
        <x:v>NORTE INTERLIGADO</x:v>
      </x:c>
      <x:c r="D1287" s="53" t="str">
        <x:v>Cativo</x:v>
      </x:c>
      <x:c r="E1287" s="49" t="n">
        <x:v>402201</x:v>
      </x:c>
      <x:c r="F1287" s="52" t="n">
        <x:v>2702423</x:v>
      </x:c>
      <x:c r="G1287" s="54" t="n">
        <x:v>46220</x:v>
      </x:c>
      <x:c r="H1287" s="14" t="str">
        <x:f>IF(E1287&lt;0,"Componente negativo — manter e investigar","OK")</x:f>
        <x:v>OK</x:v>
      </x:c>
    </x:row>
    <x:row r="1288">
      <x:c r="A1288" s="51" t="n">
        <x:v>42095</x:v>
      </x:c>
      <x:c r="B1288" s="14" t="str">
        <x:v>Norte</x:v>
      </x:c>
      <x:c r="C1288" s="14" t="str">
        <x:v>SISTEMAS ISOLADOS</x:v>
      </x:c>
      <x:c r="D1288" s="53" t="str">
        <x:v>Cativo</x:v>
      </x:c>
      <x:c r="E1288" s="49" t="n">
        <x:v>156745</x:v>
      </x:c>
      <x:c r="F1288" s="52" t="n">
        <x:v>783357</x:v>
      </x:c>
      <x:c r="G1288" s="54" t="n">
        <x:v>46220</x:v>
      </x:c>
      <x:c r="H1288" s="14" t="str">
        <x:f>IF(E1288&lt;0,"Componente negativo — manter e investigar","OK")</x:f>
        <x:v>OK</x:v>
      </x:c>
    </x:row>
    <x:row r="1289">
      <x:c r="A1289" s="51" t="n">
        <x:v>42095</x:v>
      </x:c>
      <x:c r="B1289" s="14" t="str">
        <x:v>Norte</x:v>
      </x:c>
      <x:c r="C1289" s="14" t="str">
        <x:v>SUDESTE / CENTRO - OESTE</x:v>
      </x:c>
      <x:c r="D1289" s="53" t="str">
        <x:v>Cativo</x:v>
      </x:c>
      <x:c r="E1289" s="49" t="n">
        <x:v>116567</x:v>
      </x:c>
      <x:c r="F1289" s="52" t="n">
        <x:v>524155</x:v>
      </x:c>
      <x:c r="G1289" s="54" t="n">
        <x:v>46220</x:v>
      </x:c>
      <x:c r="H1289" s="14" t="str">
        <x:f>IF(E1289&lt;0,"Componente negativo — manter e investigar","OK")</x:f>
        <x:v>OK</x:v>
      </x:c>
    </x:row>
    <x:row r="1290">
      <x:c r="A1290" s="51" t="n">
        <x:v>42095</x:v>
      </x:c>
      <x:c r="B1290" s="14" t="str">
        <x:v>Sudeste</x:v>
      </x:c>
      <x:c r="C1290" s="14" t="str">
        <x:v>SUDESTE / CENTRO - OESTE</x:v>
      </x:c>
      <x:c r="D1290" s="53" t="str">
        <x:v>Cativo</x:v>
      </x:c>
      <x:c r="E1290" s="49" t="n">
        <x:v>5415655</x:v>
      </x:c>
      <x:c r="F1290" s="52" t="n">
        <x:v>30509749</x:v>
      </x:c>
      <x:c r="G1290" s="54" t="n">
        <x:v>46220</x:v>
      </x:c>
      <x:c r="H1290" s="14" t="str">
        <x:f>IF(E1290&lt;0,"Componente negativo — manter e investigar","OK")</x:f>
        <x:v>OK</x:v>
      </x:c>
    </x:row>
    <x:row r="1291">
      <x:c r="A1291" s="51" t="n">
        <x:v>42095</x:v>
      </x:c>
      <x:c r="B1291" s="14" t="str">
        <x:v>Sul</x:v>
      </x:c>
      <x:c r="C1291" s="14" t="str">
        <x:v>SUL</x:v>
      </x:c>
      <x:c r="D1291" s="53" t="str">
        <x:v>Cativo</x:v>
      </x:c>
      <x:c r="E1291" s="49" t="n">
        <x:v>1724335</x:v>
      </x:c>
      <x:c r="F1291" s="52" t="n">
        <x:v>9416997</x:v>
      </x:c>
      <x:c r="G1291" s="54" t="n">
        <x:v>46220</x:v>
      </x:c>
      <x:c r="H1291" s="14" t="str">
        <x:f>IF(E1291&lt;0,"Componente negativo — manter e investigar","OK")</x:f>
        <x:v>OK</x:v>
      </x:c>
    </x:row>
    <x:row r="1292">
      <x:c r="A1292" s="51" t="n">
        <x:v>42125</x:v>
      </x:c>
      <x:c r="B1292" s="14" t="str">
        <x:v>Centro-Oeste</x:v>
      </x:c>
      <x:c r="C1292" s="14" t="str">
        <x:v>SISTEMAS ISOLADOS</x:v>
      </x:c>
      <x:c r="D1292" s="53" t="str">
        <x:v>Cativo</x:v>
      </x:c>
      <x:c r="E1292" s="49" t="n">
        <x:v>82</x:v>
      </x:c>
      <x:c r="F1292" s="52" t="n">
        <x:v>1300</x:v>
      </x:c>
      <x:c r="G1292" s="54" t="n">
        <x:v>46220</x:v>
      </x:c>
      <x:c r="H1292" s="14" t="str">
        <x:f>IF(E1292&lt;0,"Componente negativo — manter e investigar","OK")</x:f>
        <x:v>OK</x:v>
      </x:c>
    </x:row>
    <x:row r="1293">
      <x:c r="A1293" s="51" t="n">
        <x:v>42125</x:v>
      </x:c>
      <x:c r="B1293" s="14" t="str">
        <x:v>Centro-Oeste</x:v>
      </x:c>
      <x:c r="C1293" s="14" t="str">
        <x:v>SUDESTE / CENTRO - OESTE</x:v>
      </x:c>
      <x:c r="D1293" s="53" t="str">
        <x:v>Cativo</x:v>
      </x:c>
      <x:c r="E1293" s="49" t="n">
        <x:v>878779</x:v>
      </x:c>
      <x:c r="F1293" s="52" t="n">
        <x:v>5030093</x:v>
      </x:c>
      <x:c r="G1293" s="54" t="n">
        <x:v>46220</x:v>
      </x:c>
      <x:c r="H1293" s="14" t="str">
        <x:f>IF(E1293&lt;0,"Componente negativo — manter e investigar","OK")</x:f>
        <x:v>OK</x:v>
      </x:c>
    </x:row>
    <x:row r="1294">
      <x:c r="A1294" s="51" t="n">
        <x:v>42125</x:v>
      </x:c>
      <x:c r="B1294" s="14" t="str">
        <x:v>Nordeste</x:v>
      </x:c>
      <x:c r="C1294" s="14" t="str">
        <x:v>NORDESTE</x:v>
      </x:c>
      <x:c r="D1294" s="53" t="str">
        <x:v>Cativo</x:v>
      </x:c>
      <x:c r="E1294" s="49" t="n">
        <x:v>1983699</x:v>
      </x:c>
      <x:c r="F1294" s="52" t="n">
        <x:v>15791852</x:v>
      </x:c>
      <x:c r="G1294" s="54" t="n">
        <x:v>46220</x:v>
      </x:c>
      <x:c r="H1294" s="14" t="str">
        <x:f>IF(E1294&lt;0,"Componente negativo — manter e investigar","OK")</x:f>
        <x:v>OK</x:v>
      </x:c>
    </x:row>
    <x:row r="1295">
      <x:c r="A1295" s="51" t="n">
        <x:v>42125</x:v>
      </x:c>
      <x:c r="B1295" s="14" t="str">
        <x:v>Nordeste</x:v>
      </x:c>
      <x:c r="C1295" s="14" t="str">
        <x:v>NORTE INTERLIGADO</x:v>
      </x:c>
      <x:c r="D1295" s="53" t="str">
        <x:v>Cativo</x:v>
      </x:c>
      <x:c r="E1295" s="49" t="n">
        <x:v>234079</x:v>
      </x:c>
      <x:c r="F1295" s="52" t="n">
        <x:v>1974263</x:v>
      </x:c>
      <x:c r="G1295" s="54" t="n">
        <x:v>46220</x:v>
      </x:c>
      <x:c r="H1295" s="14" t="str">
        <x:f>IF(E1295&lt;0,"Componente negativo — manter e investigar","OK")</x:f>
        <x:v>OK</x:v>
      </x:c>
    </x:row>
    <x:row r="1296">
      <x:c r="A1296" s="51" t="n">
        <x:v>42125</x:v>
      </x:c>
      <x:c r="B1296" s="14" t="str">
        <x:v>Nordeste</x:v>
      </x:c>
      <x:c r="C1296" s="14" t="str">
        <x:v>SISTEMAS ISOLADOS</x:v>
      </x:c>
      <x:c r="D1296" s="53" t="str">
        <x:v>Cativo</x:v>
      </x:c>
      <x:c r="E1296" s="49" t="n">
        <x:v>384</x:v>
      </x:c>
      <x:c r="F1296" s="52" t="n">
        <x:v>535</x:v>
      </x:c>
      <x:c r="G1296" s="54" t="n">
        <x:v>46220</x:v>
      </x:c>
      <x:c r="H1296" s="14" t="str">
        <x:f>IF(E1296&lt;0,"Componente negativo — manter e investigar","OK")</x:f>
        <x:v>OK</x:v>
      </x:c>
    </x:row>
    <x:row r="1297">
      <x:c r="A1297" s="51" t="n">
        <x:v>42125</x:v>
      </x:c>
      <x:c r="B1297" s="14" t="str">
        <x:v>Norte</x:v>
      </x:c>
      <x:c r="C1297" s="14" t="str">
        <x:v>NORTE INTERLIGADO</x:v>
      </x:c>
      <x:c r="D1297" s="53" t="str">
        <x:v>Cativo</x:v>
      </x:c>
      <x:c r="E1297" s="49" t="n">
        <x:v>412234</x:v>
      </x:c>
      <x:c r="F1297" s="52" t="n">
        <x:v>2723460</x:v>
      </x:c>
      <x:c r="G1297" s="54" t="n">
        <x:v>46220</x:v>
      </x:c>
      <x:c r="H1297" s="14" t="str">
        <x:f>IF(E1297&lt;0,"Componente negativo — manter e investigar","OK")</x:f>
        <x:v>OK</x:v>
      </x:c>
    </x:row>
    <x:row r="1298">
      <x:c r="A1298" s="51" t="n">
        <x:v>42125</x:v>
      </x:c>
      <x:c r="B1298" s="14" t="str">
        <x:v>Norte</x:v>
      </x:c>
      <x:c r="C1298" s="14" t="str">
        <x:v>SISTEMAS ISOLADOS</x:v>
      </x:c>
      <x:c r="D1298" s="53" t="str">
        <x:v>Cativo</x:v>
      </x:c>
      <x:c r="E1298" s="49" t="n">
        <x:v>154624</x:v>
      </x:c>
      <x:c r="F1298" s="52" t="n">
        <x:v>777528</x:v>
      </x:c>
      <x:c r="G1298" s="54" t="n">
        <x:v>46220</x:v>
      </x:c>
      <x:c r="H1298" s="14" t="str">
        <x:f>IF(E1298&lt;0,"Componente negativo — manter e investigar","OK")</x:f>
        <x:v>OK</x:v>
      </x:c>
    </x:row>
    <x:row r="1299">
      <x:c r="A1299" s="51" t="n">
        <x:v>42125</x:v>
      </x:c>
      <x:c r="B1299" s="14" t="str">
        <x:v>Norte</x:v>
      </x:c>
      <x:c r="C1299" s="14" t="str">
        <x:v>SUDESTE / CENTRO - OESTE</x:v>
      </x:c>
      <x:c r="D1299" s="53" t="str">
        <x:v>Cativo</x:v>
      </x:c>
      <x:c r="E1299" s="49" t="n">
        <x:v>112675</x:v>
      </x:c>
      <x:c r="F1299" s="52" t="n">
        <x:v>524662</x:v>
      </x:c>
      <x:c r="G1299" s="54" t="n">
        <x:v>46220</x:v>
      </x:c>
      <x:c r="H1299" s="14" t="str">
        <x:f>IF(E1299&lt;0,"Componente negativo — manter e investigar","OK")</x:f>
        <x:v>OK</x:v>
      </x:c>
    </x:row>
    <x:row r="1300">
      <x:c r="A1300" s="51" t="n">
        <x:v>42125</x:v>
      </x:c>
      <x:c r="B1300" s="14" t="str">
        <x:v>Sudeste</x:v>
      </x:c>
      <x:c r="C1300" s="14" t="str">
        <x:v>SUDESTE / CENTRO - OESTE</x:v>
      </x:c>
      <x:c r="D1300" s="53" t="str">
        <x:v>Cativo</x:v>
      </x:c>
      <x:c r="E1300" s="49" t="n">
        <x:v>5176493</x:v>
      </x:c>
      <x:c r="F1300" s="52" t="n">
        <x:v>30588548</x:v>
      </x:c>
      <x:c r="G1300" s="54" t="n">
        <x:v>46220</x:v>
      </x:c>
      <x:c r="H1300" s="14" t="str">
        <x:f>IF(E1300&lt;0,"Componente negativo — manter e investigar","OK")</x:f>
        <x:v>OK</x:v>
      </x:c>
    </x:row>
    <x:row r="1301">
      <x:c r="A1301" s="51" t="n">
        <x:v>42125</x:v>
      </x:c>
      <x:c r="B1301" s="14" t="str">
        <x:v>Sul</x:v>
      </x:c>
      <x:c r="C1301" s="14" t="str">
        <x:v>SUL</x:v>
      </x:c>
      <x:c r="D1301" s="53" t="str">
        <x:v>Cativo</x:v>
      </x:c>
      <x:c r="E1301" s="49" t="n">
        <x:v>1588736</x:v>
      </x:c>
      <x:c r="F1301" s="52" t="n">
        <x:v>9433933</x:v>
      </x:c>
      <x:c r="G1301" s="54" t="n">
        <x:v>46220</x:v>
      </x:c>
      <x:c r="H1301" s="14" t="str">
        <x:f>IF(E1301&lt;0,"Componente negativo — manter e investigar","OK")</x:f>
        <x:v>OK</x:v>
      </x:c>
    </x:row>
    <x:row r="1302">
      <x:c r="A1302" s="51" t="n">
        <x:v>42156</x:v>
      </x:c>
      <x:c r="B1302" s="14" t="str">
        <x:v>Centro-Oeste</x:v>
      </x:c>
      <x:c r="C1302" s="14" t="str">
        <x:v>SISTEMAS ISOLADOS</x:v>
      </x:c>
      <x:c r="D1302" s="53" t="str">
        <x:v>Cativo</x:v>
      </x:c>
      <x:c r="E1302" s="49" t="n">
        <x:v>215</x:v>
      </x:c>
      <x:c r="F1302" s="52" t="n">
        <x:v>1314</x:v>
      </x:c>
      <x:c r="G1302" s="54" t="n">
        <x:v>46220</x:v>
      </x:c>
      <x:c r="H1302" s="14" t="str">
        <x:f>IF(E1302&lt;0,"Componente negativo — manter e investigar","OK")</x:f>
        <x:v>OK</x:v>
      </x:c>
    </x:row>
    <x:row r="1303">
      <x:c r="A1303" s="51" t="n">
        <x:v>42156</x:v>
      </x:c>
      <x:c r="B1303" s="14" t="str">
        <x:v>Centro-Oeste</x:v>
      </x:c>
      <x:c r="C1303" s="14" t="str">
        <x:v>SUDESTE / CENTRO - OESTE</x:v>
      </x:c>
      <x:c r="D1303" s="53" t="str">
        <x:v>Cativo</x:v>
      </x:c>
      <x:c r="E1303" s="49" t="n">
        <x:v>850053</x:v>
      </x:c>
      <x:c r="F1303" s="52" t="n">
        <x:v>5049692</x:v>
      </x:c>
      <x:c r="G1303" s="54" t="n">
        <x:v>46220</x:v>
      </x:c>
      <x:c r="H1303" s="14" t="str">
        <x:f>IF(E1303&lt;0,"Componente negativo — manter e investigar","OK")</x:f>
        <x:v>OK</x:v>
      </x:c>
    </x:row>
    <x:row r="1304">
      <x:c r="A1304" s="51" t="n">
        <x:v>42156</x:v>
      </x:c>
      <x:c r="B1304" s="14" t="str">
        <x:v>Nordeste</x:v>
      </x:c>
      <x:c r="C1304" s="14" t="str">
        <x:v>NORDESTE</x:v>
      </x:c>
      <x:c r="D1304" s="53" t="str">
        <x:v>Cativo</x:v>
      </x:c>
      <x:c r="E1304" s="49" t="n">
        <x:v>1882747</x:v>
      </x:c>
      <x:c r="F1304" s="52" t="n">
        <x:v>15816370</x:v>
      </x:c>
      <x:c r="G1304" s="54" t="n">
        <x:v>46220</x:v>
      </x:c>
      <x:c r="H1304" s="14" t="str">
        <x:f>IF(E1304&lt;0,"Componente negativo — manter e investigar","OK")</x:f>
        <x:v>OK</x:v>
      </x:c>
    </x:row>
    <x:row r="1305">
      <x:c r="A1305" s="51" t="n">
        <x:v>42156</x:v>
      </x:c>
      <x:c r="B1305" s="14" t="str">
        <x:v>Nordeste</x:v>
      </x:c>
      <x:c r="C1305" s="14" t="str">
        <x:v>NORTE INTERLIGADO</x:v>
      </x:c>
      <x:c r="D1305" s="53" t="str">
        <x:v>Cativo</x:v>
      </x:c>
      <x:c r="E1305" s="49" t="n">
        <x:v>237707</x:v>
      </x:c>
      <x:c r="F1305" s="52" t="n">
        <x:v>1977151</x:v>
      </x:c>
      <x:c r="G1305" s="54" t="n">
        <x:v>46220</x:v>
      </x:c>
      <x:c r="H1305" s="14" t="str">
        <x:f>IF(E1305&lt;0,"Componente negativo — manter e investigar","OK")</x:f>
        <x:v>OK</x:v>
      </x:c>
    </x:row>
    <x:row r="1306">
      <x:c r="A1306" s="51" t="n">
        <x:v>42156</x:v>
      </x:c>
      <x:c r="B1306" s="14" t="str">
        <x:v>Nordeste</x:v>
      </x:c>
      <x:c r="C1306" s="14" t="str">
        <x:v>SISTEMAS ISOLADOS</x:v>
      </x:c>
      <x:c r="D1306" s="53" t="str">
        <x:v>Cativo</x:v>
      </x:c>
      <x:c r="E1306" s="49" t="n">
        <x:v>366</x:v>
      </x:c>
      <x:c r="F1306" s="52" t="n">
        <x:v>536</x:v>
      </x:c>
      <x:c r="G1306" s="54" t="n">
        <x:v>46220</x:v>
      </x:c>
      <x:c r="H1306" s="14" t="str">
        <x:f>IF(E1306&lt;0,"Componente negativo — manter e investigar","OK")</x:f>
        <x:v>OK</x:v>
      </x:c>
    </x:row>
    <x:row r="1307">
      <x:c r="A1307" s="51" t="n">
        <x:v>42156</x:v>
      </x:c>
      <x:c r="B1307" s="14" t="str">
        <x:v>Norte</x:v>
      </x:c>
      <x:c r="C1307" s="14" t="str">
        <x:v>NORTE INTERLIGADO</x:v>
      </x:c>
      <x:c r="D1307" s="53" t="str">
        <x:v>Cativo</x:v>
      </x:c>
      <x:c r="E1307" s="49" t="n">
        <x:v>468991</x:v>
      </x:c>
      <x:c r="F1307" s="52" t="n">
        <x:v>2910585</x:v>
      </x:c>
      <x:c r="G1307" s="54" t="n">
        <x:v>46220</x:v>
      </x:c>
      <x:c r="H1307" s="14" t="str">
        <x:f>IF(E1307&lt;0,"Componente negativo — manter e investigar","OK")</x:f>
        <x:v>OK</x:v>
      </x:c>
    </x:row>
    <x:row r="1308">
      <x:c r="A1308" s="51" t="n">
        <x:v>42156</x:v>
      </x:c>
      <x:c r="B1308" s="14" t="str">
        <x:v>Norte</x:v>
      </x:c>
      <x:c r="C1308" s="14" t="str">
        <x:v>SISTEMAS ISOLADOS</x:v>
      </x:c>
      <x:c r="D1308" s="53" t="str">
        <x:v>Cativo</x:v>
      </x:c>
      <x:c r="E1308" s="49" t="n">
        <x:v>108112</x:v>
      </x:c>
      <x:c r="F1308" s="52" t="n">
        <x:v>601057</x:v>
      </x:c>
      <x:c r="G1308" s="54" t="n">
        <x:v>46220</x:v>
      </x:c>
      <x:c r="H1308" s="14" t="str">
        <x:f>IF(E1308&lt;0,"Componente negativo — manter e investigar","OK")</x:f>
        <x:v>OK</x:v>
      </x:c>
    </x:row>
    <x:row r="1309">
      <x:c r="A1309" s="51" t="n">
        <x:v>42156</x:v>
      </x:c>
      <x:c r="B1309" s="14" t="str">
        <x:v>Norte</x:v>
      </x:c>
      <x:c r="C1309" s="14" t="str">
        <x:v>SUDESTE / CENTRO - OESTE</x:v>
      </x:c>
      <x:c r="D1309" s="53" t="str">
        <x:v>Cativo</x:v>
      </x:c>
      <x:c r="E1309" s="49" t="n">
        <x:v>118102</x:v>
      </x:c>
      <x:c r="F1309" s="52" t="n">
        <x:v>526255</x:v>
      </x:c>
      <x:c r="G1309" s="54" t="n">
        <x:v>46220</x:v>
      </x:c>
      <x:c r="H1309" s="14" t="str">
        <x:f>IF(E1309&lt;0,"Componente negativo — manter e investigar","OK")</x:f>
        <x:v>OK</x:v>
      </x:c>
    </x:row>
    <x:row r="1310">
      <x:c r="A1310" s="51" t="n">
        <x:v>42156</x:v>
      </x:c>
      <x:c r="B1310" s="14" t="str">
        <x:v>Sudeste</x:v>
      </x:c>
      <x:c r="C1310" s="14" t="str">
        <x:v>SUDESTE / CENTRO - OESTE</x:v>
      </x:c>
      <x:c r="D1310" s="53" t="str">
        <x:v>Cativo</x:v>
      </x:c>
      <x:c r="E1310" s="49" t="n">
        <x:v>4852845</x:v>
      </x:c>
      <x:c r="F1310" s="52" t="n">
        <x:v>30643312</x:v>
      </x:c>
      <x:c r="G1310" s="54" t="n">
        <x:v>46220</x:v>
      </x:c>
      <x:c r="H1310" s="14" t="str">
        <x:f>IF(E1310&lt;0,"Componente negativo — manter e investigar","OK")</x:f>
        <x:v>OK</x:v>
      </x:c>
    </x:row>
    <x:row r="1311">
      <x:c r="A1311" s="51" t="n">
        <x:v>42156</x:v>
      </x:c>
      <x:c r="B1311" s="14" t="str">
        <x:v>Sul</x:v>
      </x:c>
      <x:c r="C1311" s="14" t="str">
        <x:v>SUL</x:v>
      </x:c>
      <x:c r="D1311" s="53" t="str">
        <x:v>Cativo</x:v>
      </x:c>
      <x:c r="E1311" s="49" t="n">
        <x:v>1593710</x:v>
      </x:c>
      <x:c r="F1311" s="52" t="n">
        <x:v>9455529</x:v>
      </x:c>
      <x:c r="G1311" s="54" t="n">
        <x:v>46220</x:v>
      </x:c>
      <x:c r="H1311" s="14" t="str">
        <x:f>IF(E1311&lt;0,"Componente negativo — manter e investigar","OK")</x:f>
        <x:v>OK</x:v>
      </x:c>
    </x:row>
    <x:row r="1312">
      <x:c r="A1312" s="51" t="n">
        <x:v>42186</x:v>
      </x:c>
      <x:c r="B1312" s="14" t="str">
        <x:v>Centro-Oeste</x:v>
      </x:c>
      <x:c r="C1312" s="14" t="str">
        <x:v>SISTEMAS ISOLADOS</x:v>
      </x:c>
      <x:c r="D1312" s="53" t="str">
        <x:v>Cativo</x:v>
      </x:c>
      <x:c r="E1312" s="49" t="n">
        <x:v>193</x:v>
      </x:c>
      <x:c r="F1312" s="52" t="n">
        <x:v>1324</x:v>
      </x:c>
      <x:c r="G1312" s="54" t="n">
        <x:v>46220</x:v>
      </x:c>
      <x:c r="H1312" s="14" t="str">
        <x:f>IF(E1312&lt;0,"Componente negativo — manter e investigar","OK")</x:f>
        <x:v>OK</x:v>
      </x:c>
    </x:row>
    <x:row r="1313">
      <x:c r="A1313" s="51" t="n">
        <x:v>42186</x:v>
      </x:c>
      <x:c r="B1313" s="14" t="str">
        <x:v>Centro-Oeste</x:v>
      </x:c>
      <x:c r="C1313" s="14" t="str">
        <x:v>SUDESTE / CENTRO - OESTE</x:v>
      </x:c>
      <x:c r="D1313" s="53" t="str">
        <x:v>Cativo</x:v>
      </x:c>
      <x:c r="E1313" s="49" t="n">
        <x:v>819446</x:v>
      </x:c>
      <x:c r="F1313" s="52" t="n">
        <x:v>5062682</x:v>
      </x:c>
      <x:c r="G1313" s="54" t="n">
        <x:v>46220</x:v>
      </x:c>
      <x:c r="H1313" s="14" t="str">
        <x:f>IF(E1313&lt;0,"Componente negativo — manter e investigar","OK")</x:f>
        <x:v>OK</x:v>
      </x:c>
    </x:row>
    <x:row r="1314">
      <x:c r="A1314" s="51" t="n">
        <x:v>42186</x:v>
      </x:c>
      <x:c r="B1314" s="14" t="str">
        <x:v>Nordeste</x:v>
      </x:c>
      <x:c r="C1314" s="14" t="str">
        <x:v>NORDESTE</x:v>
      </x:c>
      <x:c r="D1314" s="53" t="str">
        <x:v>Cativo</x:v>
      </x:c>
      <x:c r="E1314" s="49" t="n">
        <x:v>1790099</x:v>
      </x:c>
      <x:c r="F1314" s="52" t="n">
        <x:v>15839120</x:v>
      </x:c>
      <x:c r="G1314" s="54" t="n">
        <x:v>46220</x:v>
      </x:c>
      <x:c r="H1314" s="14" t="str">
        <x:f>IF(E1314&lt;0,"Componente negativo — manter e investigar","OK")</x:f>
        <x:v>OK</x:v>
      </x:c>
    </x:row>
    <x:row r="1315">
      <x:c r="A1315" s="51" t="n">
        <x:v>42186</x:v>
      </x:c>
      <x:c r="B1315" s="14" t="str">
        <x:v>Nordeste</x:v>
      </x:c>
      <x:c r="C1315" s="14" t="str">
        <x:v>NORTE INTERLIGADO</x:v>
      </x:c>
      <x:c r="D1315" s="53" t="str">
        <x:v>Cativo</x:v>
      </x:c>
      <x:c r="E1315" s="49" t="n">
        <x:v>234777</x:v>
      </x:c>
      <x:c r="F1315" s="52" t="n">
        <x:v>1980385</x:v>
      </x:c>
      <x:c r="G1315" s="54" t="n">
        <x:v>46220</x:v>
      </x:c>
      <x:c r="H1315" s="14" t="str">
        <x:f>IF(E1315&lt;0,"Componente negativo — manter e investigar","OK")</x:f>
        <x:v>OK</x:v>
      </x:c>
    </x:row>
    <x:row r="1316">
      <x:c r="A1316" s="51" t="n">
        <x:v>42186</x:v>
      </x:c>
      <x:c r="B1316" s="14" t="str">
        <x:v>Nordeste</x:v>
      </x:c>
      <x:c r="C1316" s="14" t="str">
        <x:v>SISTEMAS ISOLADOS</x:v>
      </x:c>
      <x:c r="D1316" s="53" t="str">
        <x:v>Cativo</x:v>
      </x:c>
      <x:c r="E1316" s="49" t="n">
        <x:v>350</x:v>
      </x:c>
      <x:c r="F1316" s="52" t="n">
        <x:v>532</x:v>
      </x:c>
      <x:c r="G1316" s="54" t="n">
        <x:v>46220</x:v>
      </x:c>
      <x:c r="H1316" s="14" t="str">
        <x:f>IF(E1316&lt;0,"Componente negativo — manter e investigar","OK")</x:f>
        <x:v>OK</x:v>
      </x:c>
    </x:row>
    <x:row r="1317">
      <x:c r="A1317" s="51" t="n">
        <x:v>42186</x:v>
      </x:c>
      <x:c r="B1317" s="14" t="str">
        <x:v>Norte</x:v>
      </x:c>
      <x:c r="C1317" s="14" t="str">
        <x:v>NORTE INTERLIGADO</x:v>
      </x:c>
      <x:c r="D1317" s="53" t="str">
        <x:v>Cativo</x:v>
      </x:c>
      <x:c r="E1317" s="49" t="n">
        <x:v>520618</x:v>
      </x:c>
      <x:c r="F1317" s="52" t="n">
        <x:v>2923204</x:v>
      </x:c>
      <x:c r="G1317" s="54" t="n">
        <x:v>46220</x:v>
      </x:c>
      <x:c r="H1317" s="14" t="str">
        <x:f>IF(E1317&lt;0,"Componente negativo — manter e investigar","OK")</x:f>
        <x:v>OK</x:v>
      </x:c>
    </x:row>
    <x:row r="1318">
      <x:c r="A1318" s="51" t="n">
        <x:v>42186</x:v>
      </x:c>
      <x:c r="B1318" s="14" t="str">
        <x:v>Norte</x:v>
      </x:c>
      <x:c r="C1318" s="14" t="str">
        <x:v>SISTEMAS ISOLADOS</x:v>
      </x:c>
      <x:c r="D1318" s="53" t="str">
        <x:v>Cativo</x:v>
      </x:c>
      <x:c r="E1318" s="49" t="n">
        <x:v>111308</x:v>
      </x:c>
      <x:c r="F1318" s="52" t="n">
        <x:v>602502</x:v>
      </x:c>
      <x:c r="G1318" s="54" t="n">
        <x:v>46220</x:v>
      </x:c>
      <x:c r="H1318" s="14" t="str">
        <x:f>IF(E1318&lt;0,"Componente negativo — manter e investigar","OK")</x:f>
        <x:v>OK</x:v>
      </x:c>
    </x:row>
    <x:row r="1319">
      <x:c r="A1319" s="51" t="n">
        <x:v>42186</x:v>
      </x:c>
      <x:c r="B1319" s="14" t="str">
        <x:v>Norte</x:v>
      </x:c>
      <x:c r="C1319" s="14" t="str">
        <x:v>SUDESTE / CENTRO - OESTE</x:v>
      </x:c>
      <x:c r="D1319" s="53" t="str">
        <x:v>Cativo</x:v>
      </x:c>
      <x:c r="E1319" s="49" t="n">
        <x:v>114551</x:v>
      </x:c>
      <x:c r="F1319" s="52" t="n">
        <x:v>526413</x:v>
      </x:c>
      <x:c r="G1319" s="54" t="n">
        <x:v>46220</x:v>
      </x:c>
      <x:c r="H1319" s="14" t="str">
        <x:f>IF(E1319&lt;0,"Componente negativo — manter e investigar","OK")</x:f>
        <x:v>OK</x:v>
      </x:c>
    </x:row>
    <x:row r="1320">
      <x:c r="A1320" s="51" t="n">
        <x:v>42186</x:v>
      </x:c>
      <x:c r="B1320" s="14" t="str">
        <x:v>Sudeste</x:v>
      </x:c>
      <x:c r="C1320" s="14" t="str">
        <x:v>SUDESTE / CENTRO - OESTE</x:v>
      </x:c>
      <x:c r="D1320" s="53" t="str">
        <x:v>Cativo</x:v>
      </x:c>
      <x:c r="E1320" s="49" t="n">
        <x:v>4913722</x:v>
      </x:c>
      <x:c r="F1320" s="52" t="n">
        <x:v>30653743</x:v>
      </x:c>
      <x:c r="G1320" s="54" t="n">
        <x:v>46220</x:v>
      </x:c>
      <x:c r="H1320" s="14" t="str">
        <x:f>IF(E1320&lt;0,"Componente negativo — manter e investigar","OK")</x:f>
        <x:v>OK</x:v>
      </x:c>
    </x:row>
    <x:row r="1321">
      <x:c r="A1321" s="51" t="n">
        <x:v>42186</x:v>
      </x:c>
      <x:c r="B1321" s="14" t="str">
        <x:v>Sul</x:v>
      </x:c>
      <x:c r="C1321" s="14" t="str">
        <x:v>SUL</x:v>
      </x:c>
      <x:c r="D1321" s="53" t="str">
        <x:v>Cativo</x:v>
      </x:c>
      <x:c r="E1321" s="49" t="n">
        <x:v>1605688</x:v>
      </x:c>
      <x:c r="F1321" s="52" t="n">
        <x:v>9472058</x:v>
      </x:c>
      <x:c r="G1321" s="54" t="n">
        <x:v>46220</x:v>
      </x:c>
      <x:c r="H1321" s="14" t="str">
        <x:f>IF(E1321&lt;0,"Componente negativo — manter e investigar","OK")</x:f>
        <x:v>OK</x:v>
      </x:c>
    </x:row>
    <x:row r="1322">
      <x:c r="A1322" s="51" t="n">
        <x:v>42217</x:v>
      </x:c>
      <x:c r="B1322" s="14" t="str">
        <x:v>Centro-Oeste</x:v>
      </x:c>
      <x:c r="C1322" s="14" t="str">
        <x:v>SISTEMAS ISOLADOS</x:v>
      </x:c>
      <x:c r="D1322" s="53" t="str">
        <x:v>Cativo</x:v>
      </x:c>
      <x:c r="E1322" s="49" t="n">
        <x:v>182</x:v>
      </x:c>
      <x:c r="F1322" s="52" t="n">
        <x:v>1317</x:v>
      </x:c>
      <x:c r="G1322" s="54" t="n">
        <x:v>46220</x:v>
      </x:c>
      <x:c r="H1322" s="14" t="str">
        <x:f>IF(E1322&lt;0,"Componente negativo — manter e investigar","OK")</x:f>
        <x:v>OK</x:v>
      </x:c>
    </x:row>
    <x:row r="1323">
      <x:c r="A1323" s="51" t="n">
        <x:v>42217</x:v>
      </x:c>
      <x:c r="B1323" s="14" t="str">
        <x:v>Centro-Oeste</x:v>
      </x:c>
      <x:c r="C1323" s="14" t="str">
        <x:v>SUDESTE / CENTRO - OESTE</x:v>
      </x:c>
      <x:c r="D1323" s="53" t="str">
        <x:v>Cativo</x:v>
      </x:c>
      <x:c r="E1323" s="49" t="n">
        <x:v>846129</x:v>
      </x:c>
      <x:c r="F1323" s="52" t="n">
        <x:v>5073243</x:v>
      </x:c>
      <x:c r="G1323" s="54" t="n">
        <x:v>46220</x:v>
      </x:c>
      <x:c r="H1323" s="14" t="str">
        <x:f>IF(E1323&lt;0,"Componente negativo — manter e investigar","OK")</x:f>
        <x:v>OK</x:v>
      </x:c>
    </x:row>
    <x:row r="1324">
      <x:c r="A1324" s="51" t="n">
        <x:v>42217</x:v>
      </x:c>
      <x:c r="B1324" s="14" t="str">
        <x:v>Nordeste</x:v>
      </x:c>
      <x:c r="C1324" s="14" t="str">
        <x:v>NORDESTE</x:v>
      </x:c>
      <x:c r="D1324" s="53" t="str">
        <x:v>Cativo</x:v>
      </x:c>
      <x:c r="E1324" s="49" t="n">
        <x:v>1756771</x:v>
      </x:c>
      <x:c r="F1324" s="52" t="n">
        <x:v>15869779</x:v>
      </x:c>
      <x:c r="G1324" s="54" t="n">
        <x:v>46220</x:v>
      </x:c>
      <x:c r="H1324" s="14" t="str">
        <x:f>IF(E1324&lt;0,"Componente negativo — manter e investigar","OK")</x:f>
        <x:v>OK</x:v>
      </x:c>
    </x:row>
    <x:row r="1325">
      <x:c r="A1325" s="51" t="n">
        <x:v>42217</x:v>
      </x:c>
      <x:c r="B1325" s="14" t="str">
        <x:v>Nordeste</x:v>
      </x:c>
      <x:c r="C1325" s="14" t="str">
        <x:v>NORTE INTERLIGADO</x:v>
      </x:c>
      <x:c r="D1325" s="53" t="str">
        <x:v>Cativo</x:v>
      </x:c>
      <x:c r="E1325" s="49" t="n">
        <x:v>243396</x:v>
      </x:c>
      <x:c r="F1325" s="52" t="n">
        <x:v>1981462</x:v>
      </x:c>
      <x:c r="G1325" s="54" t="n">
        <x:v>46220</x:v>
      </x:c>
      <x:c r="H1325" s="14" t="str">
        <x:f>IF(E1325&lt;0,"Componente negativo — manter e investigar","OK")</x:f>
        <x:v>OK</x:v>
      </x:c>
    </x:row>
    <x:row r="1326">
      <x:c r="A1326" s="51" t="n">
        <x:v>42217</x:v>
      </x:c>
      <x:c r="B1326" s="14" t="str">
        <x:v>Nordeste</x:v>
      </x:c>
      <x:c r="C1326" s="14" t="str">
        <x:v>SISTEMAS ISOLADOS</x:v>
      </x:c>
      <x:c r="D1326" s="53" t="str">
        <x:v>Cativo</x:v>
      </x:c>
      <x:c r="E1326" s="49" t="n">
        <x:v>346</x:v>
      </x:c>
      <x:c r="F1326" s="52" t="n">
        <x:v>531</x:v>
      </x:c>
      <x:c r="G1326" s="54" t="n">
        <x:v>46220</x:v>
      </x:c>
      <x:c r="H1326" s="14" t="str">
        <x:f>IF(E1326&lt;0,"Componente negativo — manter e investigar","OK")</x:f>
        <x:v>OK</x:v>
      </x:c>
    </x:row>
    <x:row r="1327">
      <x:c r="A1327" s="51" t="n">
        <x:v>42217</x:v>
      </x:c>
      <x:c r="B1327" s="14" t="str">
        <x:v>Norte</x:v>
      </x:c>
      <x:c r="C1327" s="14" t="str">
        <x:v>NORTE INTERLIGADO</x:v>
      </x:c>
      <x:c r="D1327" s="53" t="str">
        <x:v>Cativo</x:v>
      </x:c>
      <x:c r="E1327" s="49" t="n">
        <x:v>525889</x:v>
      </x:c>
      <x:c r="F1327" s="52" t="n">
        <x:v>2939148</x:v>
      </x:c>
      <x:c r="G1327" s="54" t="n">
        <x:v>46220</x:v>
      </x:c>
      <x:c r="H1327" s="14" t="str">
        <x:f>IF(E1327&lt;0,"Componente negativo — manter e investigar","OK")</x:f>
        <x:v>OK</x:v>
      </x:c>
    </x:row>
    <x:row r="1328">
      <x:c r="A1328" s="51" t="n">
        <x:v>42217</x:v>
      </x:c>
      <x:c r="B1328" s="14" t="str">
        <x:v>Norte</x:v>
      </x:c>
      <x:c r="C1328" s="14" t="str">
        <x:v>SISTEMAS ISOLADOS</x:v>
      </x:c>
      <x:c r="D1328" s="53" t="str">
        <x:v>Cativo</x:v>
      </x:c>
      <x:c r="E1328" s="49" t="n">
        <x:v>115647</x:v>
      </x:c>
      <x:c r="F1328" s="52" t="n">
        <x:v>607707</x:v>
      </x:c>
      <x:c r="G1328" s="54" t="n">
        <x:v>46220</x:v>
      </x:c>
      <x:c r="H1328" s="14" t="str">
        <x:f>IF(E1328&lt;0,"Componente negativo — manter e investigar","OK")</x:f>
        <x:v>OK</x:v>
      </x:c>
    </x:row>
    <x:row r="1329">
      <x:c r="A1329" s="51" t="n">
        <x:v>42217</x:v>
      </x:c>
      <x:c r="B1329" s="14" t="str">
        <x:v>Norte</x:v>
      </x:c>
      <x:c r="C1329" s="14" t="str">
        <x:v>SUDESTE / CENTRO - OESTE</x:v>
      </x:c>
      <x:c r="D1329" s="53" t="str">
        <x:v>Cativo</x:v>
      </x:c>
      <x:c r="E1329" s="49" t="n">
        <x:v>122412</x:v>
      </x:c>
      <x:c r="F1329" s="52" t="n">
        <x:v>528340</x:v>
      </x:c>
      <x:c r="G1329" s="54" t="n">
        <x:v>46220</x:v>
      </x:c>
      <x:c r="H1329" s="14" t="str">
        <x:f>IF(E1329&lt;0,"Componente negativo — manter e investigar","OK")</x:f>
        <x:v>OK</x:v>
      </x:c>
    </x:row>
    <x:row r="1330">
      <x:c r="A1330" s="51" t="n">
        <x:v>42217</x:v>
      </x:c>
      <x:c r="B1330" s="14" t="str">
        <x:v>Sudeste</x:v>
      </x:c>
      <x:c r="C1330" s="14" t="str">
        <x:v>SUDESTE / CENTRO - OESTE</x:v>
      </x:c>
      <x:c r="D1330" s="53" t="str">
        <x:v>Cativo</x:v>
      </x:c>
      <x:c r="E1330" s="49" t="n">
        <x:v>5080894</x:v>
      </x:c>
      <x:c r="F1330" s="52" t="n">
        <x:v>30706800</x:v>
      </x:c>
      <x:c r="G1330" s="54" t="n">
        <x:v>46220</x:v>
      </x:c>
      <x:c r="H1330" s="14" t="str">
        <x:f>IF(E1330&lt;0,"Componente negativo — manter e investigar","OK")</x:f>
        <x:v>OK</x:v>
      </x:c>
    </x:row>
    <x:row r="1331">
      <x:c r="A1331" s="51" t="n">
        <x:v>42217</x:v>
      </x:c>
      <x:c r="B1331" s="14" t="str">
        <x:v>Sul</x:v>
      </x:c>
      <x:c r="C1331" s="14" t="str">
        <x:v>SUL</x:v>
      </x:c>
      <x:c r="D1331" s="53" t="str">
        <x:v>Cativo</x:v>
      </x:c>
      <x:c r="E1331" s="49" t="n">
        <x:v>1621249</x:v>
      </x:c>
      <x:c r="F1331" s="52" t="n">
        <x:v>9355115</x:v>
      </x:c>
      <x:c r="G1331" s="54" t="n">
        <x:v>46220</x:v>
      </x:c>
      <x:c r="H1331" s="14" t="str">
        <x:f>IF(E1331&lt;0,"Componente negativo — manter e investigar","OK")</x:f>
        <x:v>OK</x:v>
      </x:c>
    </x:row>
    <x:row r="1332">
      <x:c r="A1332" s="51" t="n">
        <x:v>42248</x:v>
      </x:c>
      <x:c r="B1332" s="14" t="str">
        <x:v>Centro-Oeste</x:v>
      </x:c>
      <x:c r="C1332" s="14" t="str">
        <x:v>SISTEMAS ISOLADOS</x:v>
      </x:c>
      <x:c r="D1332" s="53" t="str">
        <x:v>Cativo</x:v>
      </x:c>
      <x:c r="E1332" s="49" t="n">
        <x:v>191</x:v>
      </x:c>
      <x:c r="F1332" s="52" t="n">
        <x:v>1309</x:v>
      </x:c>
      <x:c r="G1332" s="54" t="n">
        <x:v>46220</x:v>
      </x:c>
      <x:c r="H1332" s="14" t="str">
        <x:f>IF(E1332&lt;0,"Componente negativo — manter e investigar","OK")</x:f>
        <x:v>OK</x:v>
      </x:c>
    </x:row>
    <x:row r="1333">
      <x:c r="A1333" s="51" t="n">
        <x:v>42248</x:v>
      </x:c>
      <x:c r="B1333" s="14" t="str">
        <x:v>Centro-Oeste</x:v>
      </x:c>
      <x:c r="C1333" s="14" t="str">
        <x:v>SUDESTE / CENTRO - OESTE</x:v>
      </x:c>
      <x:c r="D1333" s="53" t="str">
        <x:v>Cativo</x:v>
      </x:c>
      <x:c r="E1333" s="49" t="n">
        <x:v>940971</x:v>
      </x:c>
      <x:c r="F1333" s="52" t="n">
        <x:v>5089664</x:v>
      </x:c>
      <x:c r="G1333" s="54" t="n">
        <x:v>46220</x:v>
      </x:c>
      <x:c r="H1333" s="14" t="str">
        <x:f>IF(E1333&lt;0,"Componente negativo — manter e investigar","OK")</x:f>
        <x:v>OK</x:v>
      </x:c>
    </x:row>
    <x:row r="1334">
      <x:c r="A1334" s="51" t="n">
        <x:v>42248</x:v>
      </x:c>
      <x:c r="B1334" s="14" t="str">
        <x:v>Nordeste</x:v>
      </x:c>
      <x:c r="C1334" s="14" t="str">
        <x:v>NORDESTE</x:v>
      </x:c>
      <x:c r="D1334" s="53" t="str">
        <x:v>Cativo</x:v>
      </x:c>
      <x:c r="E1334" s="49" t="n">
        <x:v>1831633</x:v>
      </x:c>
      <x:c r="F1334" s="52" t="n">
        <x:v>15891218</x:v>
      </x:c>
      <x:c r="G1334" s="54" t="n">
        <x:v>46220</x:v>
      </x:c>
      <x:c r="H1334" s="14" t="str">
        <x:f>IF(E1334&lt;0,"Componente negativo — manter e investigar","OK")</x:f>
        <x:v>OK</x:v>
      </x:c>
    </x:row>
    <x:row r="1335">
      <x:c r="A1335" s="51" t="n">
        <x:v>42248</x:v>
      </x:c>
      <x:c r="B1335" s="14" t="str">
        <x:v>Nordeste</x:v>
      </x:c>
      <x:c r="C1335" s="14" t="str">
        <x:v>NORTE INTERLIGADO</x:v>
      </x:c>
      <x:c r="D1335" s="53" t="str">
        <x:v>Cativo</x:v>
      </x:c>
      <x:c r="E1335" s="49" t="n">
        <x:v>254578</x:v>
      </x:c>
      <x:c r="F1335" s="52" t="n">
        <x:v>1989966</x:v>
      </x:c>
      <x:c r="G1335" s="54" t="n">
        <x:v>46220</x:v>
      </x:c>
      <x:c r="H1335" s="14" t="str">
        <x:f>IF(E1335&lt;0,"Componente negativo — manter e investigar","OK")</x:f>
        <x:v>OK</x:v>
      </x:c>
    </x:row>
    <x:row r="1336">
      <x:c r="A1336" s="51" t="n">
        <x:v>42248</x:v>
      </x:c>
      <x:c r="B1336" s="14" t="str">
        <x:v>Nordeste</x:v>
      </x:c>
      <x:c r="C1336" s="14" t="str">
        <x:v>SISTEMAS ISOLADOS</x:v>
      </x:c>
      <x:c r="D1336" s="53" t="str">
        <x:v>Cativo</x:v>
      </x:c>
      <x:c r="E1336" s="49" t="n">
        <x:v>346</x:v>
      </x:c>
      <x:c r="F1336" s="52" t="n">
        <x:v>534</x:v>
      </x:c>
      <x:c r="G1336" s="54" t="n">
        <x:v>46220</x:v>
      </x:c>
      <x:c r="H1336" s="14" t="str">
        <x:f>IF(E1336&lt;0,"Componente negativo — manter e investigar","OK")</x:f>
        <x:v>OK</x:v>
      </x:c>
    </x:row>
    <x:row r="1337">
      <x:c r="A1337" s="51" t="n">
        <x:v>42248</x:v>
      </x:c>
      <x:c r="B1337" s="14" t="str">
        <x:v>Norte</x:v>
      </x:c>
      <x:c r="C1337" s="14" t="str">
        <x:v>NORTE INTERLIGADO</x:v>
      </x:c>
      <x:c r="D1337" s="53" t="str">
        <x:v>Cativo</x:v>
      </x:c>
      <x:c r="E1337" s="49" t="n">
        <x:v>563102</x:v>
      </x:c>
      <x:c r="F1337" s="52" t="n">
        <x:v>2951502</x:v>
      </x:c>
      <x:c r="G1337" s="54" t="n">
        <x:v>46220</x:v>
      </x:c>
      <x:c r="H1337" s="14" t="str">
        <x:f>IF(E1337&lt;0,"Componente negativo — manter e investigar","OK")</x:f>
        <x:v>OK</x:v>
      </x:c>
    </x:row>
    <x:row r="1338">
      <x:c r="A1338" s="51" t="n">
        <x:v>42248</x:v>
      </x:c>
      <x:c r="B1338" s="14" t="str">
        <x:v>Norte</x:v>
      </x:c>
      <x:c r="C1338" s="14" t="str">
        <x:v>SISTEMAS ISOLADOS</x:v>
      </x:c>
      <x:c r="D1338" s="53" t="str">
        <x:v>Cativo</x:v>
      </x:c>
      <x:c r="E1338" s="49" t="n">
        <x:v>125387</x:v>
      </x:c>
      <x:c r="F1338" s="52" t="n">
        <x:v>611250</x:v>
      </x:c>
      <x:c r="G1338" s="54" t="n">
        <x:v>46220</x:v>
      </x:c>
      <x:c r="H1338" s="14" t="str">
        <x:f>IF(E1338&lt;0,"Componente negativo — manter e investigar","OK")</x:f>
        <x:v>OK</x:v>
      </x:c>
    </x:row>
    <x:row r="1339">
      <x:c r="A1339" s="51" t="n">
        <x:v>42248</x:v>
      </x:c>
      <x:c r="B1339" s="14" t="str">
        <x:v>Norte</x:v>
      </x:c>
      <x:c r="C1339" s="14" t="str">
        <x:v>SUDESTE / CENTRO - OESTE</x:v>
      </x:c>
      <x:c r="D1339" s="53" t="str">
        <x:v>Cativo</x:v>
      </x:c>
      <x:c r="E1339" s="49" t="n">
        <x:v>132027</x:v>
      </x:c>
      <x:c r="F1339" s="52" t="n">
        <x:v>529422</x:v>
      </x:c>
      <x:c r="G1339" s="54" t="n">
        <x:v>46220</x:v>
      </x:c>
      <x:c r="H1339" s="14" t="str">
        <x:f>IF(E1339&lt;0,"Componente negativo — manter e investigar","OK")</x:f>
        <x:v>OK</x:v>
      </x:c>
    </x:row>
    <x:row r="1340">
      <x:c r="A1340" s="51" t="n">
        <x:v>42248</x:v>
      </x:c>
      <x:c r="B1340" s="14" t="str">
        <x:v>Sudeste</x:v>
      </x:c>
      <x:c r="C1340" s="14" t="str">
        <x:v>SUDESTE / CENTRO - OESTE</x:v>
      </x:c>
      <x:c r="D1340" s="53" t="str">
        <x:v>Cativo</x:v>
      </x:c>
      <x:c r="E1340" s="49" t="n">
        <x:v>5030736</x:v>
      </x:c>
      <x:c r="F1340" s="52" t="n">
        <x:v>30785176</x:v>
      </x:c>
      <x:c r="G1340" s="54" t="n">
        <x:v>46220</x:v>
      </x:c>
      <x:c r="H1340" s="14" t="str">
        <x:f>IF(E1340&lt;0,"Componente negativo — manter e investigar","OK")</x:f>
        <x:v>OK</x:v>
      </x:c>
    </x:row>
    <x:row r="1341">
      <x:c r="A1341" s="51" t="n">
        <x:v>42248</x:v>
      </x:c>
      <x:c r="B1341" s="14" t="str">
        <x:v>Sul</x:v>
      </x:c>
      <x:c r="C1341" s="14" t="str">
        <x:v>SUL</x:v>
      </x:c>
      <x:c r="D1341" s="53" t="str">
        <x:v>Cativo</x:v>
      </x:c>
      <x:c r="E1341" s="49" t="n">
        <x:v>1557532</x:v>
      </x:c>
      <x:c r="F1341" s="52" t="n">
        <x:v>9472566</x:v>
      </x:c>
      <x:c r="G1341" s="54" t="n">
        <x:v>46220</x:v>
      </x:c>
      <x:c r="H1341" s="14" t="str">
        <x:f>IF(E1341&lt;0,"Componente negativo — manter e investigar","OK")</x:f>
        <x:v>OK</x:v>
      </x:c>
    </x:row>
    <x:row r="1342">
      <x:c r="A1342" s="51" t="n">
        <x:v>42278</x:v>
      </x:c>
      <x:c r="B1342" s="14" t="str">
        <x:v>Centro-Oeste</x:v>
      </x:c>
      <x:c r="C1342" s="14" t="str">
        <x:v>SISTEMAS ISOLADOS</x:v>
      </x:c>
      <x:c r="D1342" s="53" t="str">
        <x:v>Cativo</x:v>
      </x:c>
      <x:c r="E1342" s="49" t="n">
        <x:v>309</x:v>
      </x:c>
      <x:c r="F1342" s="52" t="n">
        <x:v>1322</x:v>
      </x:c>
      <x:c r="G1342" s="54" t="n">
        <x:v>46220</x:v>
      </x:c>
      <x:c r="H1342" s="14" t="str">
        <x:f>IF(E1342&lt;0,"Componente negativo — manter e investigar","OK")</x:f>
        <x:v>OK</x:v>
      </x:c>
    </x:row>
    <x:row r="1343">
      <x:c r="A1343" s="51" t="n">
        <x:v>42278</x:v>
      </x:c>
      <x:c r="B1343" s="14" t="str">
        <x:v>Centro-Oeste</x:v>
      </x:c>
      <x:c r="C1343" s="14" t="str">
        <x:v>SUDESTE / CENTRO - OESTE</x:v>
      </x:c>
      <x:c r="D1343" s="53" t="str">
        <x:v>Cativo</x:v>
      </x:c>
      <x:c r="E1343" s="49" t="n">
        <x:v>1008071</x:v>
      </x:c>
      <x:c r="F1343" s="52" t="n">
        <x:v>5101116</x:v>
      </x:c>
      <x:c r="G1343" s="54" t="n">
        <x:v>46220</x:v>
      </x:c>
      <x:c r="H1343" s="14" t="str">
        <x:f>IF(E1343&lt;0,"Componente negativo — manter e investigar","OK")</x:f>
        <x:v>OK</x:v>
      </x:c>
    </x:row>
    <x:row r="1344">
      <x:c r="A1344" s="51" t="n">
        <x:v>42278</x:v>
      </x:c>
      <x:c r="B1344" s="14" t="str">
        <x:v>Nordeste</x:v>
      </x:c>
      <x:c r="C1344" s="14" t="str">
        <x:v>NORDESTE</x:v>
      </x:c>
      <x:c r="D1344" s="53" t="str">
        <x:v>Cativo</x:v>
      </x:c>
      <x:c r="E1344" s="49" t="n">
        <x:v>1899509</x:v>
      </x:c>
      <x:c r="F1344" s="52" t="n">
        <x:v>15928015</x:v>
      </x:c>
      <x:c r="G1344" s="54" t="n">
        <x:v>46220</x:v>
      </x:c>
      <x:c r="H1344" s="14" t="str">
        <x:f>IF(E1344&lt;0,"Componente negativo — manter e investigar","OK")</x:f>
        <x:v>OK</x:v>
      </x:c>
    </x:row>
    <x:row r="1345">
      <x:c r="A1345" s="51" t="n">
        <x:v>42278</x:v>
      </x:c>
      <x:c r="B1345" s="14" t="str">
        <x:v>Nordeste</x:v>
      </x:c>
      <x:c r="C1345" s="14" t="str">
        <x:v>NORTE INTERLIGADO</x:v>
      </x:c>
      <x:c r="D1345" s="53" t="str">
        <x:v>Cativo</x:v>
      </x:c>
      <x:c r="E1345" s="49" t="n">
        <x:v>262848</x:v>
      </x:c>
      <x:c r="F1345" s="52" t="n">
        <x:v>1998566</x:v>
      </x:c>
      <x:c r="G1345" s="54" t="n">
        <x:v>46220</x:v>
      </x:c>
      <x:c r="H1345" s="14" t="str">
        <x:f>IF(E1345&lt;0,"Componente negativo — manter e investigar","OK")</x:f>
        <x:v>OK</x:v>
      </x:c>
    </x:row>
    <x:row r="1346">
      <x:c r="A1346" s="51" t="n">
        <x:v>42278</x:v>
      </x:c>
      <x:c r="B1346" s="14" t="str">
        <x:v>Nordeste</x:v>
      </x:c>
      <x:c r="C1346" s="14" t="str">
        <x:v>SISTEMAS ISOLADOS</x:v>
      </x:c>
      <x:c r="D1346" s="53" t="str">
        <x:v>Cativo</x:v>
      </x:c>
      <x:c r="E1346" s="49" t="n">
        <x:v>361</x:v>
      </x:c>
      <x:c r="F1346" s="52" t="n">
        <x:v>526</x:v>
      </x:c>
      <x:c r="G1346" s="54" t="n">
        <x:v>46220</x:v>
      </x:c>
      <x:c r="H1346" s="14" t="str">
        <x:f>IF(E1346&lt;0,"Componente negativo — manter e investigar","OK")</x:f>
        <x:v>OK</x:v>
      </x:c>
    </x:row>
    <x:row r="1347">
      <x:c r="A1347" s="51" t="n">
        <x:v>42278</x:v>
      </x:c>
      <x:c r="B1347" s="14" t="str">
        <x:v>Norte</x:v>
      </x:c>
      <x:c r="C1347" s="14" t="str">
        <x:v>NORTE INTERLIGADO</x:v>
      </x:c>
      <x:c r="D1347" s="53" t="str">
        <x:v>Cativo</x:v>
      </x:c>
      <x:c r="E1347" s="49" t="n">
        <x:v>610268</x:v>
      </x:c>
      <x:c r="F1347" s="52" t="n">
        <x:v>2963187</x:v>
      </x:c>
      <x:c r="G1347" s="54" t="n">
        <x:v>46220</x:v>
      </x:c>
      <x:c r="H1347" s="14" t="str">
        <x:f>IF(E1347&lt;0,"Componente negativo — manter e investigar","OK")</x:f>
        <x:v>OK</x:v>
      </x:c>
    </x:row>
    <x:row r="1348">
      <x:c r="A1348" s="51" t="n">
        <x:v>42278</x:v>
      </x:c>
      <x:c r="B1348" s="14" t="str">
        <x:v>Norte</x:v>
      </x:c>
      <x:c r="C1348" s="14" t="str">
        <x:v>SISTEMAS ISOLADOS</x:v>
      </x:c>
      <x:c r="D1348" s="53" t="str">
        <x:v>Cativo</x:v>
      </x:c>
      <x:c r="E1348" s="49" t="n">
        <x:v>139276</x:v>
      </x:c>
      <x:c r="F1348" s="52" t="n">
        <x:v>617220</x:v>
      </x:c>
      <x:c r="G1348" s="54" t="n">
        <x:v>46220</x:v>
      </x:c>
      <x:c r="H1348" s="14" t="str">
        <x:f>IF(E1348&lt;0,"Componente negativo — manter e investigar","OK")</x:f>
        <x:v>OK</x:v>
      </x:c>
    </x:row>
    <x:row r="1349">
      <x:c r="A1349" s="51" t="n">
        <x:v>42278</x:v>
      </x:c>
      <x:c r="B1349" s="14" t="str">
        <x:v>Norte</x:v>
      </x:c>
      <x:c r="C1349" s="14" t="str">
        <x:v>SUDESTE / CENTRO - OESTE</x:v>
      </x:c>
      <x:c r="D1349" s="53" t="str">
        <x:v>Cativo</x:v>
      </x:c>
      <x:c r="E1349" s="49" t="n">
        <x:v>135109</x:v>
      </x:c>
      <x:c r="F1349" s="52" t="n">
        <x:v>529033</x:v>
      </x:c>
      <x:c r="G1349" s="54" t="n">
        <x:v>46220</x:v>
      </x:c>
      <x:c r="H1349" s="14" t="str">
        <x:f>IF(E1349&lt;0,"Componente negativo — manter e investigar","OK")</x:f>
        <x:v>OK</x:v>
      </x:c>
    </x:row>
    <x:row r="1350">
      <x:c r="A1350" s="51" t="n">
        <x:v>42278</x:v>
      </x:c>
      <x:c r="B1350" s="14" t="str">
        <x:v>Sudeste</x:v>
      </x:c>
      <x:c r="C1350" s="14" t="str">
        <x:v>SUDESTE / CENTRO - OESTE</x:v>
      </x:c>
      <x:c r="D1350" s="53" t="str">
        <x:v>Cativo</x:v>
      </x:c>
      <x:c r="E1350" s="49" t="n">
        <x:v>5465728</x:v>
      </x:c>
      <x:c r="F1350" s="52" t="n">
        <x:v>30863447</x:v>
      </x:c>
      <x:c r="G1350" s="54" t="n">
        <x:v>46220</x:v>
      </x:c>
      <x:c r="H1350" s="14" t="str">
        <x:f>IF(E1350&lt;0,"Componente negativo — manter e investigar","OK")</x:f>
        <x:v>OK</x:v>
      </x:c>
    </x:row>
    <x:row r="1351">
      <x:c r="A1351" s="51" t="n">
        <x:v>42278</x:v>
      </x:c>
      <x:c r="B1351" s="14" t="str">
        <x:v>Sul</x:v>
      </x:c>
      <x:c r="C1351" s="14" t="str">
        <x:v>SUL</x:v>
      </x:c>
      <x:c r="D1351" s="53" t="str">
        <x:v>Cativo</x:v>
      </x:c>
      <x:c r="E1351" s="49" t="n">
        <x:v>1611874</x:v>
      </x:c>
      <x:c r="F1351" s="52" t="n">
        <x:v>9526530</x:v>
      </x:c>
      <x:c r="G1351" s="54" t="n">
        <x:v>46220</x:v>
      </x:c>
      <x:c r="H1351" s="14" t="str">
        <x:f>IF(E1351&lt;0,"Componente negativo — manter e investigar","OK")</x:f>
        <x:v>OK</x:v>
      </x:c>
    </x:row>
    <x:row r="1352">
      <x:c r="A1352" s="51" t="n">
        <x:v>42309</x:v>
      </x:c>
      <x:c r="B1352" s="14" t="str">
        <x:v>Centro-Oeste</x:v>
      </x:c>
      <x:c r="C1352" s="14" t="str">
        <x:v>SISTEMAS ISOLADOS</x:v>
      </x:c>
      <x:c r="D1352" s="53" t="str">
        <x:v>Cativo</x:v>
      </x:c>
      <x:c r="E1352" s="49" t="n">
        <x:v>198</x:v>
      </x:c>
      <x:c r="F1352" s="52" t="n">
        <x:v>1323</x:v>
      </x:c>
      <x:c r="G1352" s="54" t="n">
        <x:v>46220</x:v>
      </x:c>
      <x:c r="H1352" s="14" t="str">
        <x:f>IF(E1352&lt;0,"Componente negativo — manter e investigar","OK")</x:f>
        <x:v>OK</x:v>
      </x:c>
    </x:row>
    <x:row r="1353">
      <x:c r="A1353" s="51" t="n">
        <x:v>42309</x:v>
      </x:c>
      <x:c r="B1353" s="14" t="str">
        <x:v>Centro-Oeste</x:v>
      </x:c>
      <x:c r="C1353" s="14" t="str">
        <x:v>SUDESTE / CENTRO - OESTE</x:v>
      </x:c>
      <x:c r="D1353" s="53" t="str">
        <x:v>Cativo</x:v>
      </x:c>
      <x:c r="E1353" s="49" t="n">
        <x:v>995538</x:v>
      </x:c>
      <x:c r="F1353" s="52" t="n">
        <x:v>5111331</x:v>
      </x:c>
      <x:c r="G1353" s="54" t="n">
        <x:v>46220</x:v>
      </x:c>
      <x:c r="H1353" s="14" t="str">
        <x:f>IF(E1353&lt;0,"Componente negativo — manter e investigar","OK")</x:f>
        <x:v>OK</x:v>
      </x:c>
    </x:row>
    <x:row r="1354">
      <x:c r="A1354" s="51" t="n">
        <x:v>42309</x:v>
      </x:c>
      <x:c r="B1354" s="14" t="str">
        <x:v>Nordeste</x:v>
      </x:c>
      <x:c r="C1354" s="14" t="str">
        <x:v>NORDESTE</x:v>
      </x:c>
      <x:c r="D1354" s="53" t="str">
        <x:v>Cativo</x:v>
      </x:c>
      <x:c r="E1354" s="49" t="n">
        <x:v>1929917</x:v>
      </x:c>
      <x:c r="F1354" s="52" t="n">
        <x:v>15939111</x:v>
      </x:c>
      <x:c r="G1354" s="54" t="n">
        <x:v>46220</x:v>
      </x:c>
      <x:c r="H1354" s="14" t="str">
        <x:f>IF(E1354&lt;0,"Componente negativo — manter e investigar","OK")</x:f>
        <x:v>OK</x:v>
      </x:c>
    </x:row>
    <x:row r="1355">
      <x:c r="A1355" s="51" t="n">
        <x:v>42309</x:v>
      </x:c>
      <x:c r="B1355" s="14" t="str">
        <x:v>Nordeste</x:v>
      </x:c>
      <x:c r="C1355" s="14" t="str">
        <x:v>NORTE INTERLIGADO</x:v>
      </x:c>
      <x:c r="D1355" s="53" t="str">
        <x:v>Cativo</x:v>
      </x:c>
      <x:c r="E1355" s="49" t="n">
        <x:v>262870</x:v>
      </x:c>
      <x:c r="F1355" s="52" t="n">
        <x:v>1998815</x:v>
      </x:c>
      <x:c r="G1355" s="54" t="n">
        <x:v>46220</x:v>
      </x:c>
      <x:c r="H1355" s="14" t="str">
        <x:f>IF(E1355&lt;0,"Componente negativo — manter e investigar","OK")</x:f>
        <x:v>OK</x:v>
      </x:c>
    </x:row>
    <x:row r="1356">
      <x:c r="A1356" s="51" t="n">
        <x:v>42309</x:v>
      </x:c>
      <x:c r="B1356" s="14" t="str">
        <x:v>Nordeste</x:v>
      </x:c>
      <x:c r="C1356" s="14" t="str">
        <x:v>SISTEMAS ISOLADOS</x:v>
      </x:c>
      <x:c r="D1356" s="53" t="str">
        <x:v>Cativo</x:v>
      </x:c>
      <x:c r="E1356" s="49" t="n">
        <x:v>348</x:v>
      </x:c>
      <x:c r="F1356" s="52" t="n">
        <x:v>528</x:v>
      </x:c>
      <x:c r="G1356" s="54" t="n">
        <x:v>46220</x:v>
      </x:c>
      <x:c r="H1356" s="14" t="str">
        <x:f>IF(E1356&lt;0,"Componente negativo — manter e investigar","OK")</x:f>
        <x:v>OK</x:v>
      </x:c>
    </x:row>
    <x:row r="1357">
      <x:c r="A1357" s="51" t="n">
        <x:v>42309</x:v>
      </x:c>
      <x:c r="B1357" s="14" t="str">
        <x:v>Norte</x:v>
      </x:c>
      <x:c r="C1357" s="14" t="str">
        <x:v>NORTE INTERLIGADO</x:v>
      </x:c>
      <x:c r="D1357" s="53" t="str">
        <x:v>Cativo</x:v>
      </x:c>
      <x:c r="E1357" s="49" t="n">
        <x:v>614902</x:v>
      </x:c>
      <x:c r="F1357" s="52" t="n">
        <x:v>2965582</x:v>
      </x:c>
      <x:c r="G1357" s="54" t="n">
        <x:v>46220</x:v>
      </x:c>
      <x:c r="H1357" s="14" t="str">
        <x:f>IF(E1357&lt;0,"Componente negativo — manter e investigar","OK")</x:f>
        <x:v>OK</x:v>
      </x:c>
    </x:row>
    <x:row r="1358">
      <x:c r="A1358" s="51" t="n">
        <x:v>42309</x:v>
      </x:c>
      <x:c r="B1358" s="14" t="str">
        <x:v>Norte</x:v>
      </x:c>
      <x:c r="C1358" s="14" t="str">
        <x:v>SISTEMAS ISOLADOS</x:v>
      </x:c>
      <x:c r="D1358" s="53" t="str">
        <x:v>Cativo</x:v>
      </x:c>
      <x:c r="E1358" s="49" t="n">
        <x:v>129274</x:v>
      </x:c>
      <x:c r="F1358" s="52" t="n">
        <x:v>616964</x:v>
      </x:c>
      <x:c r="G1358" s="54" t="n">
        <x:v>46220</x:v>
      </x:c>
      <x:c r="H1358" s="14" t="str">
        <x:f>IF(E1358&lt;0,"Componente negativo — manter e investigar","OK")</x:f>
        <x:v>OK</x:v>
      </x:c>
    </x:row>
    <x:row r="1359">
      <x:c r="A1359" s="51" t="n">
        <x:v>42309</x:v>
      </x:c>
      <x:c r="B1359" s="14" t="str">
        <x:v>Norte</x:v>
      </x:c>
      <x:c r="C1359" s="14" t="str">
        <x:v>SUDESTE / CENTRO - OESTE</x:v>
      </x:c>
      <x:c r="D1359" s="53" t="str">
        <x:v>Cativo</x:v>
      </x:c>
      <x:c r="E1359" s="49" t="n">
        <x:v>127960</x:v>
      </x:c>
      <x:c r="F1359" s="52" t="n">
        <x:v>529525</x:v>
      </x:c>
      <x:c r="G1359" s="54" t="n">
        <x:v>46220</x:v>
      </x:c>
      <x:c r="H1359" s="14" t="str">
        <x:f>IF(E1359&lt;0,"Componente negativo — manter e investigar","OK")</x:f>
        <x:v>OK</x:v>
      </x:c>
    </x:row>
    <x:row r="1360">
      <x:c r="A1360" s="51" t="n">
        <x:v>42309</x:v>
      </x:c>
      <x:c r="B1360" s="14" t="str">
        <x:v>Sudeste</x:v>
      </x:c>
      <x:c r="C1360" s="14" t="str">
        <x:v>SUDESTE / CENTRO - OESTE</x:v>
      </x:c>
      <x:c r="D1360" s="53" t="str">
        <x:v>Cativo</x:v>
      </x:c>
      <x:c r="E1360" s="49" t="n">
        <x:v>5457842</x:v>
      </x:c>
      <x:c r="F1360" s="52" t="n">
        <x:v>30919670</x:v>
      </x:c>
      <x:c r="G1360" s="54" t="n">
        <x:v>46220</x:v>
      </x:c>
      <x:c r="H1360" s="14" t="str">
        <x:f>IF(E1360&lt;0,"Componente negativo — manter e investigar","OK")</x:f>
        <x:v>OK</x:v>
      </x:c>
    </x:row>
    <x:row r="1361">
      <x:c r="A1361" s="51" t="n">
        <x:v>42309</x:v>
      </x:c>
      <x:c r="B1361" s="14" t="str">
        <x:v>Sul</x:v>
      </x:c>
      <x:c r="C1361" s="14" t="str">
        <x:v>SUL</x:v>
      </x:c>
      <x:c r="D1361" s="53" t="str">
        <x:v>Cativo</x:v>
      </x:c>
      <x:c r="E1361" s="49" t="n">
        <x:v>1612892</x:v>
      </x:c>
      <x:c r="F1361" s="52" t="n">
        <x:v>9541695</x:v>
      </x:c>
      <x:c r="G1361" s="54" t="n">
        <x:v>46220</x:v>
      </x:c>
      <x:c r="H1361" s="14" t="str">
        <x:f>IF(E1361&lt;0,"Componente negativo — manter e investigar","OK")</x:f>
        <x:v>OK</x:v>
      </x:c>
    </x:row>
    <x:row r="1362">
      <x:c r="A1362" s="51" t="n">
        <x:v>42339</x:v>
      </x:c>
      <x:c r="B1362" s="14" t="str">
        <x:v>Centro-Oeste</x:v>
      </x:c>
      <x:c r="C1362" s="14" t="str">
        <x:v>SISTEMAS ISOLADOS</x:v>
      </x:c>
      <x:c r="D1362" s="53" t="str">
        <x:v>Cativo</x:v>
      </x:c>
      <x:c r="E1362" s="49" t="n">
        <x:v>207</x:v>
      </x:c>
      <x:c r="F1362" s="52" t="n">
        <x:v>1313</x:v>
      </x:c>
      <x:c r="G1362" s="54" t="n">
        <x:v>46220</x:v>
      </x:c>
      <x:c r="H1362" s="14" t="str">
        <x:f>IF(E1362&lt;0,"Componente negativo — manter e investigar","OK")</x:f>
        <x:v>OK</x:v>
      </x:c>
    </x:row>
    <x:row r="1363">
      <x:c r="A1363" s="51" t="n">
        <x:v>42339</x:v>
      </x:c>
      <x:c r="B1363" s="14" t="str">
        <x:v>Centro-Oeste</x:v>
      </x:c>
      <x:c r="C1363" s="14" t="str">
        <x:v>SUDESTE / CENTRO - OESTE</x:v>
      </x:c>
      <x:c r="D1363" s="53" t="str">
        <x:v>Cativo</x:v>
      </x:c>
      <x:c r="E1363" s="49" t="n">
        <x:v>928478</x:v>
      </x:c>
      <x:c r="F1363" s="52" t="n">
        <x:v>5117888</x:v>
      </x:c>
      <x:c r="G1363" s="54" t="n">
        <x:v>46220</x:v>
      </x:c>
      <x:c r="H1363" s="14" t="str">
        <x:f>IF(E1363&lt;0,"Componente negativo — manter e investigar","OK")</x:f>
        <x:v>OK</x:v>
      </x:c>
    </x:row>
    <x:row r="1364">
      <x:c r="A1364" s="51" t="n">
        <x:v>42339</x:v>
      </x:c>
      <x:c r="B1364" s="14" t="str">
        <x:v>Nordeste</x:v>
      </x:c>
      <x:c r="C1364" s="14" t="str">
        <x:v>NORDESTE</x:v>
      </x:c>
      <x:c r="D1364" s="53" t="str">
        <x:v>Cativo</x:v>
      </x:c>
      <x:c r="E1364" s="49" t="n">
        <x:v>2057220</x:v>
      </x:c>
      <x:c r="F1364" s="52" t="n">
        <x:v>15999695</x:v>
      </x:c>
      <x:c r="G1364" s="54" t="n">
        <x:v>46220</x:v>
      </x:c>
      <x:c r="H1364" s="14" t="str">
        <x:f>IF(E1364&lt;0,"Componente negativo — manter e investigar","OK")</x:f>
        <x:v>OK</x:v>
      </x:c>
    </x:row>
    <x:row r="1365">
      <x:c r="A1365" s="51" t="n">
        <x:v>42339</x:v>
      </x:c>
      <x:c r="B1365" s="14" t="str">
        <x:v>Nordeste</x:v>
      </x:c>
      <x:c r="C1365" s="14" t="str">
        <x:v>NORTE INTERLIGADO</x:v>
      </x:c>
      <x:c r="D1365" s="53" t="str">
        <x:v>Cativo</x:v>
      </x:c>
      <x:c r="E1365" s="49" t="n">
        <x:v>259417</x:v>
      </x:c>
      <x:c r="F1365" s="52" t="n">
        <x:v>2012172</x:v>
      </x:c>
      <x:c r="G1365" s="54" t="n">
        <x:v>46220</x:v>
      </x:c>
      <x:c r="H1365" s="14" t="str">
        <x:f>IF(E1365&lt;0,"Componente negativo — manter e investigar","OK")</x:f>
        <x:v>OK</x:v>
      </x:c>
    </x:row>
    <x:row r="1366">
      <x:c r="A1366" s="51" t="n">
        <x:v>42339</x:v>
      </x:c>
      <x:c r="B1366" s="14" t="str">
        <x:v>Nordeste</x:v>
      </x:c>
      <x:c r="C1366" s="14" t="str">
        <x:v>SISTEMAS ISOLADOS</x:v>
      </x:c>
      <x:c r="D1366" s="53" t="str">
        <x:v>Cativo</x:v>
      </x:c>
      <x:c r="E1366" s="49" t="n">
        <x:v>406</x:v>
      </x:c>
      <x:c r="F1366" s="52" t="n">
        <x:v>530</x:v>
      </x:c>
      <x:c r="G1366" s="54" t="n">
        <x:v>46220</x:v>
      </x:c>
      <x:c r="H1366" s="14" t="str">
        <x:f>IF(E1366&lt;0,"Componente negativo — manter e investigar","OK")</x:f>
        <x:v>OK</x:v>
      </x:c>
    </x:row>
    <x:row r="1367">
      <x:c r="A1367" s="51" t="n">
        <x:v>42339</x:v>
      </x:c>
      <x:c r="B1367" s="14" t="str">
        <x:v>Norte</x:v>
      </x:c>
      <x:c r="C1367" s="14" t="str">
        <x:v>NORTE INTERLIGADO</x:v>
      </x:c>
      <x:c r="D1367" s="53" t="str">
        <x:v>Cativo</x:v>
      </x:c>
      <x:c r="E1367" s="49" t="n">
        <x:v>596023</x:v>
      </x:c>
      <x:c r="F1367" s="52" t="n">
        <x:v>2971443</x:v>
      </x:c>
      <x:c r="G1367" s="54" t="n">
        <x:v>46220</x:v>
      </x:c>
      <x:c r="H1367" s="14" t="str">
        <x:f>IF(E1367&lt;0,"Componente negativo — manter e investigar","OK")</x:f>
        <x:v>OK</x:v>
      </x:c>
    </x:row>
    <x:row r="1368">
      <x:c r="A1368" s="51" t="n">
        <x:v>42339</x:v>
      </x:c>
      <x:c r="B1368" s="14" t="str">
        <x:v>Norte</x:v>
      </x:c>
      <x:c r="C1368" s="14" t="str">
        <x:v>SISTEMAS ISOLADOS</x:v>
      </x:c>
      <x:c r="D1368" s="53" t="str">
        <x:v>Cativo</x:v>
      </x:c>
      <x:c r="E1368" s="49" t="n">
        <x:v>124441</x:v>
      </x:c>
      <x:c r="F1368" s="52" t="n">
        <x:v>618822</x:v>
      </x:c>
      <x:c r="G1368" s="54" t="n">
        <x:v>46220</x:v>
      </x:c>
      <x:c r="H1368" s="14" t="str">
        <x:f>IF(E1368&lt;0,"Componente negativo — manter e investigar","OK")</x:f>
        <x:v>OK</x:v>
      </x:c>
    </x:row>
    <x:row r="1369">
      <x:c r="A1369" s="51" t="n">
        <x:v>42339</x:v>
      </x:c>
      <x:c r="B1369" s="14" t="str">
        <x:v>Norte</x:v>
      </x:c>
      <x:c r="C1369" s="14" t="str">
        <x:v>SUDESTE / CENTRO - OESTE</x:v>
      </x:c>
      <x:c r="D1369" s="53" t="str">
        <x:v>Cativo</x:v>
      </x:c>
      <x:c r="E1369" s="49" t="n">
        <x:v>130831</x:v>
      </x:c>
      <x:c r="F1369" s="52" t="n">
        <x:v>530068</x:v>
      </x:c>
      <x:c r="G1369" s="54" t="n">
        <x:v>46220</x:v>
      </x:c>
      <x:c r="H1369" s="14" t="str">
        <x:f>IF(E1369&lt;0,"Componente negativo — manter e investigar","OK")</x:f>
        <x:v>OK</x:v>
      </x:c>
    </x:row>
    <x:row r="1370">
      <x:c r="A1370" s="51" t="n">
        <x:v>42339</x:v>
      </x:c>
      <x:c r="B1370" s="14" t="str">
        <x:v>Sudeste</x:v>
      </x:c>
      <x:c r="C1370" s="14" t="str">
        <x:v>SUDESTE / CENTRO - OESTE</x:v>
      </x:c>
      <x:c r="D1370" s="53" t="str">
        <x:v>Cativo</x:v>
      </x:c>
      <x:c r="E1370" s="49" t="n">
        <x:v>5383171</x:v>
      </x:c>
      <x:c r="F1370" s="52" t="n">
        <x:v>30932783</x:v>
      </x:c>
      <x:c r="G1370" s="54" t="n">
        <x:v>46220</x:v>
      </x:c>
      <x:c r="H1370" s="14" t="str">
        <x:f>IF(E1370&lt;0,"Componente negativo — manter e investigar","OK")</x:f>
        <x:v>OK</x:v>
      </x:c>
    </x:row>
    <x:row r="1371">
      <x:c r="A1371" s="51" t="n">
        <x:v>42339</x:v>
      </x:c>
      <x:c r="B1371" s="14" t="str">
        <x:v>Sul</x:v>
      </x:c>
      <x:c r="C1371" s="14" t="str">
        <x:v>SUL</x:v>
      </x:c>
      <x:c r="D1371" s="53" t="str">
        <x:v>Cativo</x:v>
      </x:c>
      <x:c r="E1371" s="49" t="n">
        <x:v>1603341</x:v>
      </x:c>
      <x:c r="F1371" s="52" t="n">
        <x:v>9561766</x:v>
      </x:c>
      <x:c r="G1371" s="54" t="n">
        <x:v>46220</x:v>
      </x:c>
      <x:c r="H1371" s="14" t="str">
        <x:f>IF(E1371&lt;0,"Componente negativo — manter e investigar","OK")</x:f>
        <x:v>OK</x:v>
      </x:c>
    </x:row>
    <x:row r="1372">
      <x:c r="A1372" s="51" t="n">
        <x:v>42370</x:v>
      </x:c>
      <x:c r="B1372" s="14" t="str">
        <x:v>Centro-Oeste</x:v>
      </x:c>
      <x:c r="C1372" s="14" t="str">
        <x:v>SISTEMAS ISOLADOS</x:v>
      </x:c>
      <x:c r="D1372" s="53" t="str">
        <x:v>Cativo</x:v>
      </x:c>
      <x:c r="E1372" s="49" t="n">
        <x:v>274</x:v>
      </x:c>
      <x:c r="F1372" s="52" t="n">
        <x:v>1325</x:v>
      </x:c>
      <x:c r="G1372" s="54" t="n">
        <x:v>46220</x:v>
      </x:c>
      <x:c r="H1372" s="14" t="str">
        <x:f>IF(E1372&lt;0,"Componente negativo — manter e investigar","OK")</x:f>
        <x:v>OK</x:v>
      </x:c>
    </x:row>
    <x:row r="1373">
      <x:c r="A1373" s="51" t="n">
        <x:v>42370</x:v>
      </x:c>
      <x:c r="B1373" s="14" t="str">
        <x:v>Centro-Oeste</x:v>
      </x:c>
      <x:c r="C1373" s="14" t="str">
        <x:v>SUDESTE / CENTRO - OESTE</x:v>
      </x:c>
      <x:c r="D1373" s="53" t="str">
        <x:v>Cativo</x:v>
      </x:c>
      <x:c r="E1373" s="49" t="n">
        <x:v>958374</x:v>
      </x:c>
      <x:c r="F1373" s="52" t="n">
        <x:v>5117879</x:v>
      </x:c>
      <x:c r="G1373" s="54" t="n">
        <x:v>46220</x:v>
      </x:c>
      <x:c r="H1373" s="14" t="str">
        <x:f>IF(E1373&lt;0,"Componente negativo — manter e investigar","OK")</x:f>
        <x:v>OK</x:v>
      </x:c>
    </x:row>
    <x:row r="1374">
      <x:c r="A1374" s="51" t="n">
        <x:v>42370</x:v>
      </x:c>
      <x:c r="B1374" s="14" t="str">
        <x:v>Nordeste</x:v>
      </x:c>
      <x:c r="C1374" s="14" t="str">
        <x:v>NORDESTE</x:v>
      </x:c>
      <x:c r="D1374" s="53" t="str">
        <x:v>Cativo</x:v>
      </x:c>
      <x:c r="E1374" s="49" t="n">
        <x:v>2051983</x:v>
      </x:c>
      <x:c r="F1374" s="52" t="n">
        <x:v>16019973</x:v>
      </x:c>
      <x:c r="G1374" s="54" t="n">
        <x:v>46220</x:v>
      </x:c>
      <x:c r="H1374" s="14" t="str">
        <x:f>IF(E1374&lt;0,"Componente negativo — manter e investigar","OK")</x:f>
        <x:v>OK</x:v>
      </x:c>
    </x:row>
    <x:row r="1375">
      <x:c r="A1375" s="51" t="n">
        <x:v>42370</x:v>
      </x:c>
      <x:c r="B1375" s="14" t="str">
        <x:v>Nordeste</x:v>
      </x:c>
      <x:c r="C1375" s="14" t="str">
        <x:v>NORTE INTERLIGADO</x:v>
      </x:c>
      <x:c r="D1375" s="53" t="str">
        <x:v>Cativo</x:v>
      </x:c>
      <x:c r="E1375" s="49" t="n">
        <x:v>243069</x:v>
      </x:c>
      <x:c r="F1375" s="52" t="n">
        <x:v>2008881</x:v>
      </x:c>
      <x:c r="G1375" s="54" t="n">
        <x:v>46220</x:v>
      </x:c>
      <x:c r="H1375" s="14" t="str">
        <x:f>IF(E1375&lt;0,"Componente negativo — manter e investigar","OK")</x:f>
        <x:v>OK</x:v>
      </x:c>
    </x:row>
    <x:row r="1376">
      <x:c r="A1376" s="51" t="n">
        <x:v>42370</x:v>
      </x:c>
      <x:c r="B1376" s="14" t="str">
        <x:v>Nordeste</x:v>
      </x:c>
      <x:c r="C1376" s="14" t="str">
        <x:v>SISTEMAS ISOLADOS</x:v>
      </x:c>
      <x:c r="D1376" s="53" t="str">
        <x:v>Cativo</x:v>
      </x:c>
      <x:c r="E1376" s="49" t="n">
        <x:v>438</x:v>
      </x:c>
      <x:c r="F1376" s="52" t="n">
        <x:v>537</x:v>
      </x:c>
      <x:c r="G1376" s="54" t="n">
        <x:v>46220</x:v>
      </x:c>
      <x:c r="H1376" s="14" t="str">
        <x:f>IF(E1376&lt;0,"Componente negativo — manter e investigar","OK")</x:f>
        <x:v>OK</x:v>
      </x:c>
    </x:row>
    <x:row r="1377">
      <x:c r="A1377" s="51" t="n">
        <x:v>42370</x:v>
      </x:c>
      <x:c r="B1377" s="14" t="str">
        <x:v>Norte</x:v>
      </x:c>
      <x:c r="C1377" s="14" t="str">
        <x:v>NORTE INTERLIGADO</x:v>
      </x:c>
      <x:c r="D1377" s="53" t="str">
        <x:v>Cativo</x:v>
      </x:c>
      <x:c r="E1377" s="49" t="n">
        <x:v>519594</x:v>
      </x:c>
      <x:c r="F1377" s="52" t="n">
        <x:v>2971721</x:v>
      </x:c>
      <x:c r="G1377" s="54" t="n">
        <x:v>46220</x:v>
      </x:c>
      <x:c r="H1377" s="14" t="str">
        <x:f>IF(E1377&lt;0,"Componente negativo — manter e investigar","OK")</x:f>
        <x:v>OK</x:v>
      </x:c>
    </x:row>
    <x:row r="1378">
      <x:c r="A1378" s="51" t="n">
        <x:v>42370</x:v>
      </x:c>
      <x:c r="B1378" s="14" t="str">
        <x:v>Norte</x:v>
      </x:c>
      <x:c r="C1378" s="14" t="str">
        <x:v>SISTEMAS ISOLADOS</x:v>
      </x:c>
      <x:c r="D1378" s="53" t="str">
        <x:v>Cativo</x:v>
      </x:c>
      <x:c r="E1378" s="49" t="n">
        <x:v>121760</x:v>
      </x:c>
      <x:c r="F1378" s="52" t="n">
        <x:v>625101</x:v>
      </x:c>
      <x:c r="G1378" s="54" t="n">
        <x:v>46220</x:v>
      </x:c>
      <x:c r="H1378" s="14" t="str">
        <x:f>IF(E1378&lt;0,"Componente negativo — manter e investigar","OK")</x:f>
        <x:v>OK</x:v>
      </x:c>
    </x:row>
    <x:row r="1379">
      <x:c r="A1379" s="51" t="n">
        <x:v>42370</x:v>
      </x:c>
      <x:c r="B1379" s="14" t="str">
        <x:v>Norte</x:v>
      </x:c>
      <x:c r="C1379" s="14" t="str">
        <x:v>SUDESTE / CENTRO - OESTE</x:v>
      </x:c>
      <x:c r="D1379" s="53" t="str">
        <x:v>Cativo</x:v>
      </x:c>
      <x:c r="E1379" s="49" t="n">
        <x:v>118489</x:v>
      </x:c>
      <x:c r="F1379" s="52" t="n">
        <x:v>532230</x:v>
      </x:c>
      <x:c r="G1379" s="54" t="n">
        <x:v>46220</x:v>
      </x:c>
      <x:c r="H1379" s="14" t="str">
        <x:f>IF(E1379&lt;0,"Componente negativo — manter e investigar","OK")</x:f>
        <x:v>OK</x:v>
      </x:c>
    </x:row>
    <x:row r="1380">
      <x:c r="A1380" s="51" t="n">
        <x:v>42370</x:v>
      </x:c>
      <x:c r="B1380" s="14" t="str">
        <x:v>Sudeste</x:v>
      </x:c>
      <x:c r="C1380" s="14" t="str">
        <x:v>SUDESTE / CENTRO - OESTE</x:v>
      </x:c>
      <x:c r="D1380" s="53" t="str">
        <x:v>Cativo</x:v>
      </x:c>
      <x:c r="E1380" s="49" t="n">
        <x:v>5864497</x:v>
      </x:c>
      <x:c r="F1380" s="52" t="n">
        <x:v>31025063</x:v>
      </x:c>
      <x:c r="G1380" s="54" t="n">
        <x:v>46220</x:v>
      </x:c>
      <x:c r="H1380" s="14" t="str">
        <x:f>IF(E1380&lt;0,"Componente negativo — manter e investigar","OK")</x:f>
        <x:v>OK</x:v>
      </x:c>
    </x:row>
    <x:row r="1381">
      <x:c r="A1381" s="51" t="n">
        <x:v>42370</x:v>
      </x:c>
      <x:c r="B1381" s="14" t="str">
        <x:v>Sul</x:v>
      </x:c>
      <x:c r="C1381" s="14" t="str">
        <x:v>SUL</x:v>
      </x:c>
      <x:c r="D1381" s="53" t="str">
        <x:v>Cativo</x:v>
      </x:c>
      <x:c r="E1381" s="49" t="n">
        <x:v>1951618</x:v>
      </x:c>
      <x:c r="F1381" s="52" t="n">
        <x:v>9582479</x:v>
      </x:c>
      <x:c r="G1381" s="54" t="n">
        <x:v>46220</x:v>
      </x:c>
      <x:c r="H1381" s="14" t="str">
        <x:f>IF(E1381&lt;0,"Componente negativo — manter e investigar","OK")</x:f>
        <x:v>OK</x:v>
      </x:c>
    </x:row>
    <x:row r="1382">
      <x:c r="A1382" s="51" t="n">
        <x:v>42401</x:v>
      </x:c>
      <x:c r="B1382" s="14" t="str">
        <x:v>Centro-Oeste</x:v>
      </x:c>
      <x:c r="C1382" s="14" t="str">
        <x:v>SISTEMAS ISOLADOS</x:v>
      </x:c>
      <x:c r="D1382" s="53" t="str">
        <x:v>Cativo</x:v>
      </x:c>
      <x:c r="E1382" s="49" t="n">
        <x:v>211</x:v>
      </x:c>
      <x:c r="F1382" s="52" t="n">
        <x:v>1327</x:v>
      </x:c>
      <x:c r="G1382" s="54" t="n">
        <x:v>46220</x:v>
      </x:c>
      <x:c r="H1382" s="14" t="str">
        <x:f>IF(E1382&lt;0,"Componente negativo — manter e investigar","OK")</x:f>
        <x:v>OK</x:v>
      </x:c>
    </x:row>
    <x:row r="1383">
      <x:c r="A1383" s="51" t="n">
        <x:v>42401</x:v>
      </x:c>
      <x:c r="B1383" s="14" t="str">
        <x:v>Centro-Oeste</x:v>
      </x:c>
      <x:c r="C1383" s="14" t="str">
        <x:v>SUDESTE / CENTRO - OESTE</x:v>
      </x:c>
      <x:c r="D1383" s="53" t="str">
        <x:v>Cativo</x:v>
      </x:c>
      <x:c r="E1383" s="49" t="n">
        <x:v>915819</x:v>
      </x:c>
      <x:c r="F1383" s="52" t="n">
        <x:v>5127214</x:v>
      </x:c>
      <x:c r="G1383" s="54" t="n">
        <x:v>46220</x:v>
      </x:c>
      <x:c r="H1383" s="14" t="str">
        <x:f>IF(E1383&lt;0,"Componente negativo — manter e investigar","OK")</x:f>
        <x:v>OK</x:v>
      </x:c>
    </x:row>
    <x:row r="1384">
      <x:c r="A1384" s="51" t="n">
        <x:v>42401</x:v>
      </x:c>
      <x:c r="B1384" s="14" t="str">
        <x:v>Nordeste</x:v>
      </x:c>
      <x:c r="C1384" s="14" t="str">
        <x:v>NORDESTE</x:v>
      </x:c>
      <x:c r="D1384" s="53" t="str">
        <x:v>Cativo</x:v>
      </x:c>
      <x:c r="E1384" s="49" t="n">
        <x:v>1931000</x:v>
      </x:c>
      <x:c r="F1384" s="52" t="n">
        <x:v>16069083</x:v>
      </x:c>
      <x:c r="G1384" s="54" t="n">
        <x:v>46220</x:v>
      </x:c>
      <x:c r="H1384" s="14" t="str">
        <x:f>IF(E1384&lt;0,"Componente negativo — manter e investigar","OK")</x:f>
        <x:v>OK</x:v>
      </x:c>
    </x:row>
    <x:row r="1385">
      <x:c r="A1385" s="51" t="n">
        <x:v>42401</x:v>
      </x:c>
      <x:c r="B1385" s="14" t="str">
        <x:v>Nordeste</x:v>
      </x:c>
      <x:c r="C1385" s="14" t="str">
        <x:v>NORTE INTERLIGADO</x:v>
      </x:c>
      <x:c r="D1385" s="53" t="str">
        <x:v>Cativo</x:v>
      </x:c>
      <x:c r="E1385" s="49" t="n">
        <x:v>259943</x:v>
      </x:c>
      <x:c r="F1385" s="52" t="n">
        <x:v>2022118</x:v>
      </x:c>
      <x:c r="G1385" s="54" t="n">
        <x:v>46220</x:v>
      </x:c>
      <x:c r="H1385" s="14" t="str">
        <x:f>IF(E1385&lt;0,"Componente negativo — manter e investigar","OK")</x:f>
        <x:v>OK</x:v>
      </x:c>
    </x:row>
    <x:row r="1386">
      <x:c r="A1386" s="51" t="n">
        <x:v>42401</x:v>
      </x:c>
      <x:c r="B1386" s="14" t="str">
        <x:v>Nordeste</x:v>
      </x:c>
      <x:c r="C1386" s="14" t="str">
        <x:v>SISTEMAS ISOLADOS</x:v>
      </x:c>
      <x:c r="D1386" s="53" t="str">
        <x:v>Cativo</x:v>
      </x:c>
      <x:c r="E1386" s="49" t="n">
        <x:v>403</x:v>
      </x:c>
      <x:c r="F1386" s="52" t="n">
        <x:v>536</x:v>
      </x:c>
      <x:c r="G1386" s="54" t="n">
        <x:v>46220</x:v>
      </x:c>
      <x:c r="H1386" s="14" t="str">
        <x:f>IF(E1386&lt;0,"Componente negativo — manter e investigar","OK")</x:f>
        <x:v>OK</x:v>
      </x:c>
    </x:row>
    <x:row r="1387">
      <x:c r="A1387" s="51" t="n">
        <x:v>42401</x:v>
      </x:c>
      <x:c r="B1387" s="14" t="str">
        <x:v>Norte</x:v>
      </x:c>
      <x:c r="C1387" s="14" t="str">
        <x:v>NORTE INTERLIGADO</x:v>
      </x:c>
      <x:c r="D1387" s="53" t="str">
        <x:v>Cativo</x:v>
      </x:c>
      <x:c r="E1387" s="49" t="n">
        <x:v>502782</x:v>
      </x:c>
      <x:c r="F1387" s="52" t="n">
        <x:v>2979886</x:v>
      </x:c>
      <x:c r="G1387" s="54" t="n">
        <x:v>46220</x:v>
      </x:c>
      <x:c r="H1387" s="14" t="str">
        <x:f>IF(E1387&lt;0,"Componente negativo — manter e investigar","OK")</x:f>
        <x:v>OK</x:v>
      </x:c>
    </x:row>
    <x:row r="1388">
      <x:c r="A1388" s="51" t="n">
        <x:v>42401</x:v>
      </x:c>
      <x:c r="B1388" s="14" t="str">
        <x:v>Norte</x:v>
      </x:c>
      <x:c r="C1388" s="14" t="str">
        <x:v>SISTEMAS ISOLADOS</x:v>
      </x:c>
      <x:c r="D1388" s="53" t="str">
        <x:v>Cativo</x:v>
      </x:c>
      <x:c r="E1388" s="49" t="n">
        <x:v>121506</x:v>
      </x:c>
      <x:c r="F1388" s="52" t="n">
        <x:v>628709</x:v>
      </x:c>
      <x:c r="G1388" s="54" t="n">
        <x:v>46220</x:v>
      </x:c>
      <x:c r="H1388" s="14" t="str">
        <x:f>IF(E1388&lt;0,"Componente negativo — manter e investigar","OK")</x:f>
        <x:v>OK</x:v>
      </x:c>
    </x:row>
    <x:row r="1389">
      <x:c r="A1389" s="51" t="n">
        <x:v>42401</x:v>
      </x:c>
      <x:c r="B1389" s="14" t="str">
        <x:v>Norte</x:v>
      </x:c>
      <x:c r="C1389" s="14" t="str">
        <x:v>SUDESTE / CENTRO - OESTE</x:v>
      </x:c>
      <x:c r="D1389" s="53" t="str">
        <x:v>Cativo</x:v>
      </x:c>
      <x:c r="E1389" s="49" t="n">
        <x:v>116448</x:v>
      </x:c>
      <x:c r="F1389" s="52" t="n">
        <x:v>533030</x:v>
      </x:c>
      <x:c r="G1389" s="54" t="n">
        <x:v>46220</x:v>
      </x:c>
      <x:c r="H1389" s="14" t="str">
        <x:f>IF(E1389&lt;0,"Componente negativo — manter e investigar","OK")</x:f>
        <x:v>OK</x:v>
      </x:c>
    </x:row>
    <x:row r="1390">
      <x:c r="A1390" s="51" t="n">
        <x:v>42401</x:v>
      </x:c>
      <x:c r="B1390" s="14" t="str">
        <x:v>Sudeste</x:v>
      </x:c>
      <x:c r="C1390" s="14" t="str">
        <x:v>SUDESTE / CENTRO - OESTE</x:v>
      </x:c>
      <x:c r="D1390" s="53" t="str">
        <x:v>Cativo</x:v>
      </x:c>
      <x:c r="E1390" s="49" t="n">
        <x:v>5615379</x:v>
      </x:c>
      <x:c r="F1390" s="52" t="n">
        <x:v>31104688</x:v>
      </x:c>
      <x:c r="G1390" s="54" t="n">
        <x:v>46220</x:v>
      </x:c>
      <x:c r="H1390" s="14" t="str">
        <x:f>IF(E1390&lt;0,"Componente negativo — manter e investigar","OK")</x:f>
        <x:v>OK</x:v>
      </x:c>
    </x:row>
    <x:row r="1391">
      <x:c r="A1391" s="51" t="n">
        <x:v>42401</x:v>
      </x:c>
      <x:c r="B1391" s="14" t="str">
        <x:v>Sul</x:v>
      </x:c>
      <x:c r="C1391" s="14" t="str">
        <x:v>SUL</x:v>
      </x:c>
      <x:c r="D1391" s="53" t="str">
        <x:v>Cativo</x:v>
      </x:c>
      <x:c r="E1391" s="49" t="n">
        <x:v>1888454</x:v>
      </x:c>
      <x:c r="F1391" s="52" t="n">
        <x:v>9596085</x:v>
      </x:c>
      <x:c r="G1391" s="54" t="n">
        <x:v>46220</x:v>
      </x:c>
      <x:c r="H1391" s="14" t="str">
        <x:f>IF(E1391&lt;0,"Componente negativo — manter e investigar","OK")</x:f>
        <x:v>OK</x:v>
      </x:c>
    </x:row>
    <x:row r="1392">
      <x:c r="A1392" s="51" t="n">
        <x:v>42430</x:v>
      </x:c>
      <x:c r="B1392" s="14" t="str">
        <x:v>Centro-Oeste</x:v>
      </x:c>
      <x:c r="C1392" s="14" t="str">
        <x:v>SISTEMAS ISOLADOS</x:v>
      </x:c>
      <x:c r="D1392" s="53" t="str">
        <x:v>Cativo</x:v>
      </x:c>
      <x:c r="E1392" s="49" t="n">
        <x:v>212</x:v>
      </x:c>
      <x:c r="F1392" s="52" t="n">
        <x:v>1339</x:v>
      </x:c>
      <x:c r="G1392" s="54" t="n">
        <x:v>46220</x:v>
      </x:c>
      <x:c r="H1392" s="14" t="str">
        <x:f>IF(E1392&lt;0,"Componente negativo — manter e investigar","OK")</x:f>
        <x:v>OK</x:v>
      </x:c>
    </x:row>
    <x:row r="1393">
      <x:c r="A1393" s="51" t="n">
        <x:v>42430</x:v>
      </x:c>
      <x:c r="B1393" s="14" t="str">
        <x:v>Centro-Oeste</x:v>
      </x:c>
      <x:c r="C1393" s="14" t="str">
        <x:v>SUDESTE / CENTRO - OESTE</x:v>
      </x:c>
      <x:c r="D1393" s="53" t="str">
        <x:v>Cativo</x:v>
      </x:c>
      <x:c r="E1393" s="49" t="n">
        <x:v>934148</x:v>
      </x:c>
      <x:c r="F1393" s="52" t="n">
        <x:v>5140313</x:v>
      </x:c>
      <x:c r="G1393" s="54" t="n">
        <x:v>46220</x:v>
      </x:c>
      <x:c r="H1393" s="14" t="str">
        <x:f>IF(E1393&lt;0,"Componente negativo — manter e investigar","OK")</x:f>
        <x:v>OK</x:v>
      </x:c>
    </x:row>
    <x:row r="1394">
      <x:c r="A1394" s="51" t="n">
        <x:v>42430</x:v>
      </x:c>
      <x:c r="B1394" s="14" t="str">
        <x:v>Nordeste</x:v>
      </x:c>
      <x:c r="C1394" s="14" t="str">
        <x:v>NORDESTE</x:v>
      </x:c>
      <x:c r="D1394" s="53" t="str">
        <x:v>Cativo</x:v>
      </x:c>
      <x:c r="E1394" s="49" t="n">
        <x:v>2070916</x:v>
      </x:c>
      <x:c r="F1394" s="52" t="n">
        <x:v>16103648</x:v>
      </x:c>
      <x:c r="G1394" s="54" t="n">
        <x:v>46220</x:v>
      </x:c>
      <x:c r="H1394" s="14" t="str">
        <x:f>IF(E1394&lt;0,"Componente negativo — manter e investigar","OK")</x:f>
        <x:v>OK</x:v>
      </x:c>
    </x:row>
    <x:row r="1395">
      <x:c r="A1395" s="51" t="n">
        <x:v>42430</x:v>
      </x:c>
      <x:c r="B1395" s="14" t="str">
        <x:v>Nordeste</x:v>
      </x:c>
      <x:c r="C1395" s="14" t="str">
        <x:v>NORTE INTERLIGADO</x:v>
      </x:c>
      <x:c r="D1395" s="53" t="str">
        <x:v>Cativo</x:v>
      </x:c>
      <x:c r="E1395" s="49" t="n">
        <x:v>243817</x:v>
      </x:c>
      <x:c r="F1395" s="52" t="n">
        <x:v>2021517</x:v>
      </x:c>
      <x:c r="G1395" s="54" t="n">
        <x:v>46220</x:v>
      </x:c>
      <x:c r="H1395" s="14" t="str">
        <x:f>IF(E1395&lt;0,"Componente negativo — manter e investigar","OK")</x:f>
        <x:v>OK</x:v>
      </x:c>
    </x:row>
    <x:row r="1396">
      <x:c r="A1396" s="51" t="n">
        <x:v>42430</x:v>
      </x:c>
      <x:c r="B1396" s="14" t="str">
        <x:v>Nordeste</x:v>
      </x:c>
      <x:c r="C1396" s="14" t="str">
        <x:v>SISTEMAS ISOLADOS</x:v>
      </x:c>
      <x:c r="D1396" s="53" t="str">
        <x:v>Cativo</x:v>
      </x:c>
      <x:c r="E1396" s="49" t="n">
        <x:v>396</x:v>
      </x:c>
      <x:c r="F1396" s="52" t="n">
        <x:v>534</x:v>
      </x:c>
      <x:c r="G1396" s="54" t="n">
        <x:v>46220</x:v>
      </x:c>
      <x:c r="H1396" s="14" t="str">
        <x:f>IF(E1396&lt;0,"Componente negativo — manter e investigar","OK")</x:f>
        <x:v>OK</x:v>
      </x:c>
    </x:row>
    <x:row r="1397">
      <x:c r="A1397" s="51" t="n">
        <x:v>42430</x:v>
      </x:c>
      <x:c r="B1397" s="14" t="str">
        <x:v>Norte</x:v>
      </x:c>
      <x:c r="C1397" s="14" t="str">
        <x:v>NORTE INTERLIGADO</x:v>
      </x:c>
      <x:c r="D1397" s="53" t="str">
        <x:v>Cativo</x:v>
      </x:c>
      <x:c r="E1397" s="49" t="n">
        <x:v>501666</x:v>
      </x:c>
      <x:c r="F1397" s="52" t="n">
        <x:v>2915171</x:v>
      </x:c>
      <x:c r="G1397" s="54" t="n">
        <x:v>46220</x:v>
      </x:c>
      <x:c r="H1397" s="14" t="str">
        <x:f>IF(E1397&lt;0,"Componente negativo — manter e investigar","OK")</x:f>
        <x:v>OK</x:v>
      </x:c>
    </x:row>
    <x:row r="1398">
      <x:c r="A1398" s="51" t="n">
        <x:v>42430</x:v>
      </x:c>
      <x:c r="B1398" s="14" t="str">
        <x:v>Norte</x:v>
      </x:c>
      <x:c r="C1398" s="14" t="str">
        <x:v>SISTEMAS ISOLADOS</x:v>
      </x:c>
      <x:c r="D1398" s="53" t="str">
        <x:v>Cativo</x:v>
      </x:c>
      <x:c r="E1398" s="49" t="n">
        <x:v>127458</x:v>
      </x:c>
      <x:c r="F1398" s="52" t="n">
        <x:v>662981</x:v>
      </x:c>
      <x:c r="G1398" s="54" t="n">
        <x:v>46220</x:v>
      </x:c>
      <x:c r="H1398" s="14" t="str">
        <x:f>IF(E1398&lt;0,"Componente negativo — manter e investigar","OK")</x:f>
        <x:v>OK</x:v>
      </x:c>
    </x:row>
    <x:row r="1399">
      <x:c r="A1399" s="51" t="n">
        <x:v>42430</x:v>
      </x:c>
      <x:c r="B1399" s="14" t="str">
        <x:v>Norte</x:v>
      </x:c>
      <x:c r="C1399" s="14" t="str">
        <x:v>SUDESTE / CENTRO - OESTE</x:v>
      </x:c>
      <x:c r="D1399" s="53" t="str">
        <x:v>Cativo</x:v>
      </x:c>
      <x:c r="E1399" s="49" t="n">
        <x:v>122070</x:v>
      </x:c>
      <x:c r="F1399" s="52" t="n">
        <x:v>535100</x:v>
      </x:c>
      <x:c r="G1399" s="54" t="n">
        <x:v>46220</x:v>
      </x:c>
      <x:c r="H1399" s="14" t="str">
        <x:f>IF(E1399&lt;0,"Componente negativo — manter e investigar","OK")</x:f>
        <x:v>OK</x:v>
      </x:c>
    </x:row>
    <x:row r="1400">
      <x:c r="A1400" s="51" t="n">
        <x:v>42430</x:v>
      </x:c>
      <x:c r="B1400" s="14" t="str">
        <x:v>Sudeste</x:v>
      </x:c>
      <x:c r="C1400" s="14" t="str">
        <x:v>SUDESTE / CENTRO - OESTE</x:v>
      </x:c>
      <x:c r="D1400" s="53" t="str">
        <x:v>Cativo</x:v>
      </x:c>
      <x:c r="E1400" s="49" t="n">
        <x:v>5532807</x:v>
      </x:c>
      <x:c r="F1400" s="52" t="n">
        <x:v>31064469</x:v>
      </x:c>
      <x:c r="G1400" s="54" t="n">
        <x:v>46220</x:v>
      </x:c>
      <x:c r="H1400" s="14" t="str">
        <x:f>IF(E1400&lt;0,"Componente negativo — manter e investigar","OK")</x:f>
        <x:v>OK</x:v>
      </x:c>
    </x:row>
    <x:row r="1401">
      <x:c r="A1401" s="51" t="n">
        <x:v>42430</x:v>
      </x:c>
      <x:c r="B1401" s="14" t="str">
        <x:v>Sul</x:v>
      </x:c>
      <x:c r="C1401" s="14" t="str">
        <x:v>SUL</x:v>
      </x:c>
      <x:c r="D1401" s="53" t="str">
        <x:v>Cativo</x:v>
      </x:c>
      <x:c r="E1401" s="49" t="n">
        <x:v>1782753</x:v>
      </x:c>
      <x:c r="F1401" s="52" t="n">
        <x:v>9617635</x:v>
      </x:c>
      <x:c r="G1401" s="54" t="n">
        <x:v>46220</x:v>
      </x:c>
      <x:c r="H1401" s="14" t="str">
        <x:f>IF(E1401&lt;0,"Componente negativo — manter e investigar","OK")</x:f>
        <x:v>OK</x:v>
      </x:c>
    </x:row>
    <x:row r="1402">
      <x:c r="A1402" s="51" t="n">
        <x:v>42461</x:v>
      </x:c>
      <x:c r="B1402" s="14" t="str">
        <x:v>Centro-Oeste</x:v>
      </x:c>
      <x:c r="C1402" s="14" t="str">
        <x:v>SISTEMAS ISOLADOS</x:v>
      </x:c>
      <x:c r="D1402" s="53" t="str">
        <x:v>Cativo</x:v>
      </x:c>
      <x:c r="E1402" s="49" t="n">
        <x:v>257</x:v>
      </x:c>
      <x:c r="F1402" s="52" t="n">
        <x:v>1326</x:v>
      </x:c>
      <x:c r="G1402" s="54" t="n">
        <x:v>46220</x:v>
      </x:c>
      <x:c r="H1402" s="14" t="str">
        <x:f>IF(E1402&lt;0,"Componente negativo — manter e investigar","OK")</x:f>
        <x:v>OK</x:v>
      </x:c>
    </x:row>
    <x:row r="1403">
      <x:c r="A1403" s="51" t="n">
        <x:v>42461</x:v>
      </x:c>
      <x:c r="B1403" s="14" t="str">
        <x:v>Centro-Oeste</x:v>
      </x:c>
      <x:c r="C1403" s="14" t="str">
        <x:v>SUDESTE / CENTRO - OESTE</x:v>
      </x:c>
      <x:c r="D1403" s="53" t="str">
        <x:v>Cativo</x:v>
      </x:c>
      <x:c r="E1403" s="49" t="n">
        <x:v>1001635</x:v>
      </x:c>
      <x:c r="F1403" s="52" t="n">
        <x:v>5144988</x:v>
      </x:c>
      <x:c r="G1403" s="54" t="n">
        <x:v>46220</x:v>
      </x:c>
      <x:c r="H1403" s="14" t="str">
        <x:f>IF(E1403&lt;0,"Componente negativo — manter e investigar","OK")</x:f>
        <x:v>OK</x:v>
      </x:c>
    </x:row>
    <x:row r="1404">
      <x:c r="A1404" s="51" t="n">
        <x:v>42461</x:v>
      </x:c>
      <x:c r="B1404" s="14" t="str">
        <x:v>Nordeste</x:v>
      </x:c>
      <x:c r="C1404" s="14" t="str">
        <x:v>NORDESTE</x:v>
      </x:c>
      <x:c r="D1404" s="53" t="str">
        <x:v>Cativo</x:v>
      </x:c>
      <x:c r="E1404" s="49" t="n">
        <x:v>2060520</x:v>
      </x:c>
      <x:c r="F1404" s="52" t="n">
        <x:v>16134607</x:v>
      </x:c>
      <x:c r="G1404" s="54" t="n">
        <x:v>46220</x:v>
      </x:c>
      <x:c r="H1404" s="14" t="str">
        <x:f>IF(E1404&lt;0,"Componente negativo — manter e investigar","OK")</x:f>
        <x:v>OK</x:v>
      </x:c>
    </x:row>
    <x:row r="1405">
      <x:c r="A1405" s="51" t="n">
        <x:v>42461</x:v>
      </x:c>
      <x:c r="B1405" s="14" t="str">
        <x:v>Nordeste</x:v>
      </x:c>
      <x:c r="C1405" s="14" t="str">
        <x:v>NORTE INTERLIGADO</x:v>
      </x:c>
      <x:c r="D1405" s="53" t="str">
        <x:v>Cativo</x:v>
      </x:c>
      <x:c r="E1405" s="49" t="n">
        <x:v>246943</x:v>
      </x:c>
      <x:c r="F1405" s="52" t="n">
        <x:v>2043202</x:v>
      </x:c>
      <x:c r="G1405" s="54" t="n">
        <x:v>46220</x:v>
      </x:c>
      <x:c r="H1405" s="14" t="str">
        <x:f>IF(E1405&lt;0,"Componente negativo — manter e investigar","OK")</x:f>
        <x:v>OK</x:v>
      </x:c>
    </x:row>
    <x:row r="1406">
      <x:c r="A1406" s="51" t="n">
        <x:v>42461</x:v>
      </x:c>
      <x:c r="B1406" s="14" t="str">
        <x:v>Nordeste</x:v>
      </x:c>
      <x:c r="C1406" s="14" t="str">
        <x:v>SISTEMAS ISOLADOS</x:v>
      </x:c>
      <x:c r="D1406" s="53" t="str">
        <x:v>Cativo</x:v>
      </x:c>
      <x:c r="E1406" s="49" t="n">
        <x:v>406</x:v>
      </x:c>
      <x:c r="F1406" s="52" t="n">
        <x:v>534</x:v>
      </x:c>
      <x:c r="G1406" s="54" t="n">
        <x:v>46220</x:v>
      </x:c>
      <x:c r="H1406" s="14" t="str">
        <x:f>IF(E1406&lt;0,"Componente negativo — manter e investigar","OK")</x:f>
        <x:v>OK</x:v>
      </x:c>
    </x:row>
    <x:row r="1407">
      <x:c r="A1407" s="51" t="n">
        <x:v>42461</x:v>
      </x:c>
      <x:c r="B1407" s="14" t="str">
        <x:v>Norte</x:v>
      </x:c>
      <x:c r="C1407" s="14" t="str">
        <x:v>NORTE INTERLIGADO</x:v>
      </x:c>
      <x:c r="D1407" s="53" t="str">
        <x:v>Cativo</x:v>
      </x:c>
      <x:c r="E1407" s="49" t="n">
        <x:v>504110</x:v>
      </x:c>
      <x:c r="F1407" s="52" t="n">
        <x:v>2947935</x:v>
      </x:c>
      <x:c r="G1407" s="54" t="n">
        <x:v>46220</x:v>
      </x:c>
      <x:c r="H1407" s="14" t="str">
        <x:f>IF(E1407&lt;0,"Componente negativo — manter e investigar","OK")</x:f>
        <x:v>OK</x:v>
      </x:c>
    </x:row>
    <x:row r="1408">
      <x:c r="A1408" s="51" t="n">
        <x:v>42461</x:v>
      </x:c>
      <x:c r="B1408" s="14" t="str">
        <x:v>Norte</x:v>
      </x:c>
      <x:c r="C1408" s="14" t="str">
        <x:v>SISTEMAS ISOLADOS</x:v>
      </x:c>
      <x:c r="D1408" s="53" t="str">
        <x:v>Cativo</x:v>
      </x:c>
      <x:c r="E1408" s="49" t="n">
        <x:v>124850</x:v>
      </x:c>
      <x:c r="F1408" s="52" t="n">
        <x:v>666724</x:v>
      </x:c>
      <x:c r="G1408" s="54" t="n">
        <x:v>46220</x:v>
      </x:c>
      <x:c r="H1408" s="14" t="str">
        <x:f>IF(E1408&lt;0,"Componente negativo — manter e investigar","OK")</x:f>
        <x:v>OK</x:v>
      </x:c>
    </x:row>
    <x:row r="1409">
      <x:c r="A1409" s="51" t="n">
        <x:v>42461</x:v>
      </x:c>
      <x:c r="B1409" s="14" t="str">
        <x:v>Norte</x:v>
      </x:c>
      <x:c r="C1409" s="14" t="str">
        <x:v>SUDESTE / CENTRO - OESTE</x:v>
      </x:c>
      <x:c r="D1409" s="53" t="str">
        <x:v>Cativo</x:v>
      </x:c>
      <x:c r="E1409" s="49" t="n">
        <x:v>118981</x:v>
      </x:c>
      <x:c r="F1409" s="52" t="n">
        <x:v>535329</x:v>
      </x:c>
      <x:c r="G1409" s="54" t="n">
        <x:v>46220</x:v>
      </x:c>
      <x:c r="H1409" s="14" t="str">
        <x:f>IF(E1409&lt;0,"Componente negativo — manter e investigar","OK")</x:f>
        <x:v>OK</x:v>
      </x:c>
    </x:row>
    <x:row r="1410">
      <x:c r="A1410" s="51" t="n">
        <x:v>42461</x:v>
      </x:c>
      <x:c r="B1410" s="14" t="str">
        <x:v>Sudeste</x:v>
      </x:c>
      <x:c r="C1410" s="14" t="str">
        <x:v>SUDESTE / CENTRO - OESTE</x:v>
      </x:c>
      <x:c r="D1410" s="53" t="str">
        <x:v>Cativo</x:v>
      </x:c>
      <x:c r="E1410" s="49" t="n">
        <x:v>5907371</x:v>
      </x:c>
      <x:c r="F1410" s="52" t="n">
        <x:v>31125563</x:v>
      </x:c>
      <x:c r="G1410" s="54" t="n">
        <x:v>46220</x:v>
      </x:c>
      <x:c r="H1410" s="14" t="str">
        <x:f>IF(E1410&lt;0,"Componente negativo — manter e investigar","OK")</x:f>
        <x:v>OK</x:v>
      </x:c>
    </x:row>
    <x:row r="1411">
      <x:c r="A1411" s="51" t="n">
        <x:v>42461</x:v>
      </x:c>
      <x:c r="B1411" s="14" t="str">
        <x:v>Sul</x:v>
      </x:c>
      <x:c r="C1411" s="14" t="str">
        <x:v>SUL</x:v>
      </x:c>
      <x:c r="D1411" s="53" t="str">
        <x:v>Cativo</x:v>
      </x:c>
      <x:c r="E1411" s="49" t="n">
        <x:v>1817400</x:v>
      </x:c>
      <x:c r="F1411" s="52" t="n">
        <x:v>9637065</x:v>
      </x:c>
      <x:c r="G1411" s="54" t="n">
        <x:v>46220</x:v>
      </x:c>
      <x:c r="H1411" s="14" t="str">
        <x:f>IF(E1411&lt;0,"Componente negativo — manter e investigar","OK")</x:f>
        <x:v>OK</x:v>
      </x:c>
    </x:row>
    <x:row r="1412">
      <x:c r="A1412" s="51" t="n">
        <x:v>42491</x:v>
      </x:c>
      <x:c r="B1412" s="14" t="str">
        <x:v>Centro-Oeste</x:v>
      </x:c>
      <x:c r="C1412" s="14" t="str">
        <x:v>SISTEMAS ISOLADOS</x:v>
      </x:c>
      <x:c r="D1412" s="53" t="str">
        <x:v>Cativo</x:v>
      </x:c>
      <x:c r="E1412" s="49" t="n">
        <x:v>208</x:v>
      </x:c>
      <x:c r="F1412" s="52" t="n">
        <x:v>1320</x:v>
      </x:c>
      <x:c r="G1412" s="54" t="n">
        <x:v>46220</x:v>
      </x:c>
      <x:c r="H1412" s="14" t="str">
        <x:f>IF(E1412&lt;0,"Componente negativo — manter e investigar","OK")</x:f>
        <x:v>OK</x:v>
      </x:c>
    </x:row>
    <x:row r="1413">
      <x:c r="A1413" s="51" t="n">
        <x:v>42491</x:v>
      </x:c>
      <x:c r="B1413" s="14" t="str">
        <x:v>Centro-Oeste</x:v>
      </x:c>
      <x:c r="C1413" s="14" t="str">
        <x:v>SUDESTE / CENTRO - OESTE</x:v>
      </x:c>
      <x:c r="D1413" s="53" t="str">
        <x:v>Cativo</x:v>
      </x:c>
      <x:c r="E1413" s="49" t="n">
        <x:v>884655</x:v>
      </x:c>
      <x:c r="F1413" s="52" t="n">
        <x:v>5151801</x:v>
      </x:c>
      <x:c r="G1413" s="54" t="n">
        <x:v>46220</x:v>
      </x:c>
      <x:c r="H1413" s="14" t="str">
        <x:f>IF(E1413&lt;0,"Componente negativo — manter e investigar","OK")</x:f>
        <x:v>OK</x:v>
      </x:c>
    </x:row>
    <x:row r="1414">
      <x:c r="A1414" s="51" t="n">
        <x:v>42491</x:v>
      </x:c>
      <x:c r="B1414" s="14" t="str">
        <x:v>Nordeste</x:v>
      </x:c>
      <x:c r="C1414" s="14" t="str">
        <x:v>NORDESTE</x:v>
      </x:c>
      <x:c r="D1414" s="53" t="str">
        <x:v>Cativo</x:v>
      </x:c>
      <x:c r="E1414" s="49" t="n">
        <x:v>1992071</x:v>
      </x:c>
      <x:c r="F1414" s="52" t="n">
        <x:v>16168699</x:v>
      </x:c>
      <x:c r="G1414" s="54" t="n">
        <x:v>46220</x:v>
      </x:c>
      <x:c r="H1414" s="14" t="str">
        <x:f>IF(E1414&lt;0,"Componente negativo — manter e investigar","OK")</x:f>
        <x:v>OK</x:v>
      </x:c>
    </x:row>
    <x:row r="1415">
      <x:c r="A1415" s="51" t="n">
        <x:v>42491</x:v>
      </x:c>
      <x:c r="B1415" s="14" t="str">
        <x:v>Nordeste</x:v>
      </x:c>
      <x:c r="C1415" s="14" t="str">
        <x:v>NORTE INTERLIGADO</x:v>
      </x:c>
      <x:c r="D1415" s="53" t="str">
        <x:v>Cativo</x:v>
      </x:c>
      <x:c r="E1415" s="49" t="n">
        <x:v>262755</x:v>
      </x:c>
      <x:c r="F1415" s="52" t="n">
        <x:v>2081205</x:v>
      </x:c>
      <x:c r="G1415" s="54" t="n">
        <x:v>46220</x:v>
      </x:c>
      <x:c r="H1415" s="14" t="str">
        <x:f>IF(E1415&lt;0,"Componente negativo — manter e investigar","OK")</x:f>
        <x:v>OK</x:v>
      </x:c>
    </x:row>
    <x:row r="1416">
      <x:c r="A1416" s="51" t="n">
        <x:v>42491</x:v>
      </x:c>
      <x:c r="B1416" s="14" t="str">
        <x:v>Nordeste</x:v>
      </x:c>
      <x:c r="C1416" s="14" t="str">
        <x:v>SISTEMAS ISOLADOS</x:v>
      </x:c>
      <x:c r="D1416" s="53" t="str">
        <x:v>Cativo</x:v>
      </x:c>
      <x:c r="E1416" s="49" t="n">
        <x:v>423</x:v>
      </x:c>
      <x:c r="F1416" s="52" t="n">
        <x:v>538</x:v>
      </x:c>
      <x:c r="G1416" s="54" t="n">
        <x:v>46220</x:v>
      </x:c>
      <x:c r="H1416" s="14" t="str">
        <x:f>IF(E1416&lt;0,"Componente negativo — manter e investigar","OK")</x:f>
        <x:v>OK</x:v>
      </x:c>
    </x:row>
    <x:row r="1417">
      <x:c r="A1417" s="51" t="n">
        <x:v>42491</x:v>
      </x:c>
      <x:c r="B1417" s="14" t="str">
        <x:v>Norte</x:v>
      </x:c>
      <x:c r="C1417" s="14" t="str">
        <x:v>NORTE INTERLIGADO</x:v>
      </x:c>
      <x:c r="D1417" s="53" t="str">
        <x:v>Cativo</x:v>
      </x:c>
      <x:c r="E1417" s="49" t="n">
        <x:v>527951</x:v>
      </x:c>
      <x:c r="F1417" s="52" t="n">
        <x:v>3025189</x:v>
      </x:c>
      <x:c r="G1417" s="54" t="n">
        <x:v>46220</x:v>
      </x:c>
      <x:c r="H1417" s="14" t="str">
        <x:f>IF(E1417&lt;0,"Componente negativo — manter e investigar","OK")</x:f>
        <x:v>OK</x:v>
      </x:c>
    </x:row>
    <x:row r="1418">
      <x:c r="A1418" s="51" t="n">
        <x:v>42491</x:v>
      </x:c>
      <x:c r="B1418" s="14" t="str">
        <x:v>Norte</x:v>
      </x:c>
      <x:c r="C1418" s="14" t="str">
        <x:v>SISTEMAS ISOLADOS</x:v>
      </x:c>
      <x:c r="D1418" s="53" t="str">
        <x:v>Cativo</x:v>
      </x:c>
      <x:c r="E1418" s="49" t="n">
        <x:v>112961</x:v>
      </x:c>
      <x:c r="F1418" s="52" t="n">
        <x:v>632828</x:v>
      </x:c>
      <x:c r="G1418" s="54" t="n">
        <x:v>46220</x:v>
      </x:c>
      <x:c r="H1418" s="14" t="str">
        <x:f>IF(E1418&lt;0,"Componente negativo — manter e investigar","OK")</x:f>
        <x:v>OK</x:v>
      </x:c>
    </x:row>
    <x:row r="1419">
      <x:c r="A1419" s="51" t="n">
        <x:v>42491</x:v>
      </x:c>
      <x:c r="B1419" s="14" t="str">
        <x:v>Norte</x:v>
      </x:c>
      <x:c r="C1419" s="14" t="str">
        <x:v>SUDESTE / CENTRO - OESTE</x:v>
      </x:c>
      <x:c r="D1419" s="53" t="str">
        <x:v>Cativo</x:v>
      </x:c>
      <x:c r="E1419" s="49" t="n">
        <x:v>113783</x:v>
      </x:c>
      <x:c r="F1419" s="52" t="n">
        <x:v>539359</x:v>
      </x:c>
      <x:c r="G1419" s="54" t="n">
        <x:v>46220</x:v>
      </x:c>
      <x:c r="H1419" s="14" t="str">
        <x:f>IF(E1419&lt;0,"Componente negativo — manter e investigar","OK")</x:f>
        <x:v>OK</x:v>
      </x:c>
    </x:row>
    <x:row r="1420">
      <x:c r="A1420" s="51" t="n">
        <x:v>42491</x:v>
      </x:c>
      <x:c r="B1420" s="14" t="str">
        <x:v>Sudeste</x:v>
      </x:c>
      <x:c r="C1420" s="14" t="str">
        <x:v>SUDESTE / CENTRO - OESTE</x:v>
      </x:c>
      <x:c r="D1420" s="53" t="str">
        <x:v>Cativo</x:v>
      </x:c>
      <x:c r="E1420" s="49" t="n">
        <x:v>5330941</x:v>
      </x:c>
      <x:c r="F1420" s="52" t="n">
        <x:v>31184605</x:v>
      </x:c>
      <x:c r="G1420" s="54" t="n">
        <x:v>46220</x:v>
      </x:c>
      <x:c r="H1420" s="14" t="str">
        <x:f>IF(E1420&lt;0,"Componente negativo — manter e investigar","OK")</x:f>
        <x:v>OK</x:v>
      </x:c>
    </x:row>
    <x:row r="1421">
      <x:c r="A1421" s="51" t="n">
        <x:v>42491</x:v>
      </x:c>
      <x:c r="B1421" s="14" t="str">
        <x:v>Sul</x:v>
      </x:c>
      <x:c r="C1421" s="14" t="str">
        <x:v>SUL</x:v>
      </x:c>
      <x:c r="D1421" s="53" t="str">
        <x:v>Cativo</x:v>
      </x:c>
      <x:c r="E1421" s="49" t="n">
        <x:v>1706584</x:v>
      </x:c>
      <x:c r="F1421" s="52" t="n">
        <x:v>9650765</x:v>
      </x:c>
      <x:c r="G1421" s="54" t="n">
        <x:v>46220</x:v>
      </x:c>
      <x:c r="H1421" s="14" t="str">
        <x:f>IF(E1421&lt;0,"Componente negativo — manter e investigar","OK")</x:f>
        <x:v>OK</x:v>
      </x:c>
    </x:row>
    <x:row r="1422">
      <x:c r="A1422" s="51" t="n">
        <x:v>42522</x:v>
      </x:c>
      <x:c r="B1422" s="14" t="str">
        <x:v>Centro-Oeste</x:v>
      </x:c>
      <x:c r="C1422" s="14" t="str">
        <x:v>SISTEMAS ISOLADOS</x:v>
      </x:c>
      <x:c r="D1422" s="53" t="str">
        <x:v>Cativo</x:v>
      </x:c>
      <x:c r="E1422" s="49" t="n">
        <x:v>228</x:v>
      </x:c>
      <x:c r="F1422" s="52" t="n">
        <x:v>1308</x:v>
      </x:c>
      <x:c r="G1422" s="54" t="n">
        <x:v>46220</x:v>
      </x:c>
      <x:c r="H1422" s="14" t="str">
        <x:f>IF(E1422&lt;0,"Componente negativo — manter e investigar","OK")</x:f>
        <x:v>OK</x:v>
      </x:c>
    </x:row>
    <x:row r="1423">
      <x:c r="A1423" s="51" t="n">
        <x:v>42522</x:v>
      </x:c>
      <x:c r="B1423" s="14" t="str">
        <x:v>Centro-Oeste</x:v>
      </x:c>
      <x:c r="C1423" s="14" t="str">
        <x:v>SUDESTE / CENTRO - OESTE</x:v>
      </x:c>
      <x:c r="D1423" s="53" t="str">
        <x:v>Cativo</x:v>
      </x:c>
      <x:c r="E1423" s="49" t="n">
        <x:v>850638</x:v>
      </x:c>
      <x:c r="F1423" s="52" t="n">
        <x:v>5163020</x:v>
      </x:c>
      <x:c r="G1423" s="54" t="n">
        <x:v>46220</x:v>
      </x:c>
      <x:c r="H1423" s="14" t="str">
        <x:f>IF(E1423&lt;0,"Componente negativo — manter e investigar","OK")</x:f>
        <x:v>OK</x:v>
      </x:c>
    </x:row>
    <x:row r="1424">
      <x:c r="A1424" s="51" t="n">
        <x:v>42522</x:v>
      </x:c>
      <x:c r="B1424" s="14" t="str">
        <x:v>Nordeste</x:v>
      </x:c>
      <x:c r="C1424" s="14" t="str">
        <x:v>NORDESTE</x:v>
      </x:c>
      <x:c r="D1424" s="53" t="str">
        <x:v>Cativo</x:v>
      </x:c>
      <x:c r="E1424" s="49" t="n">
        <x:v>1956629</x:v>
      </x:c>
      <x:c r="F1424" s="52" t="n">
        <x:v>16221206</x:v>
      </x:c>
      <x:c r="G1424" s="54" t="n">
        <x:v>46220</x:v>
      </x:c>
      <x:c r="H1424" s="14" t="str">
        <x:f>IF(E1424&lt;0,"Componente negativo — manter e investigar","OK")</x:f>
        <x:v>OK</x:v>
      </x:c>
    </x:row>
    <x:row r="1425">
      <x:c r="A1425" s="51" t="n">
        <x:v>42522</x:v>
      </x:c>
      <x:c r="B1425" s="14" t="str">
        <x:v>Nordeste</x:v>
      </x:c>
      <x:c r="C1425" s="14" t="str">
        <x:v>NORTE INTERLIGADO</x:v>
      </x:c>
      <x:c r="D1425" s="53" t="str">
        <x:v>Cativo</x:v>
      </x:c>
      <x:c r="E1425" s="49" t="n">
        <x:v>262336</x:v>
      </x:c>
      <x:c r="F1425" s="52" t="n">
        <x:v>2070025</x:v>
      </x:c>
      <x:c r="G1425" s="54" t="n">
        <x:v>46220</x:v>
      </x:c>
      <x:c r="H1425" s="14" t="str">
        <x:f>IF(E1425&lt;0,"Componente negativo — manter e investigar","OK")</x:f>
        <x:v>OK</x:v>
      </x:c>
    </x:row>
    <x:row r="1426">
      <x:c r="A1426" s="51" t="n">
        <x:v>42522</x:v>
      </x:c>
      <x:c r="B1426" s="14" t="str">
        <x:v>Nordeste</x:v>
      </x:c>
      <x:c r="C1426" s="14" t="str">
        <x:v>SISTEMAS ISOLADOS</x:v>
      </x:c>
      <x:c r="D1426" s="53" t="str">
        <x:v>Cativo</x:v>
      </x:c>
      <x:c r="E1426" s="49" t="n">
        <x:v>412</x:v>
      </x:c>
      <x:c r="F1426" s="52" t="n">
        <x:v>539</x:v>
      </x:c>
      <x:c r="G1426" s="54" t="n">
        <x:v>46220</x:v>
      </x:c>
      <x:c r="H1426" s="14" t="str">
        <x:f>IF(E1426&lt;0,"Componente negativo — manter e investigar","OK")</x:f>
        <x:v>OK</x:v>
      </x:c>
    </x:row>
    <x:row r="1427">
      <x:c r="A1427" s="51" t="n">
        <x:v>42522</x:v>
      </x:c>
      <x:c r="B1427" s="14" t="str">
        <x:v>Norte</x:v>
      </x:c>
      <x:c r="C1427" s="14" t="str">
        <x:v>NORTE INTERLIGADO</x:v>
      </x:c>
      <x:c r="D1427" s="53" t="str">
        <x:v>Cativo</x:v>
      </x:c>
      <x:c r="E1427" s="49" t="n">
        <x:v>557024</x:v>
      </x:c>
      <x:c r="F1427" s="52" t="n">
        <x:v>3028736</x:v>
      </x:c>
      <x:c r="G1427" s="54" t="n">
        <x:v>46220</x:v>
      </x:c>
      <x:c r="H1427" s="14" t="str">
        <x:f>IF(E1427&lt;0,"Componente negativo — manter e investigar","OK")</x:f>
        <x:v>OK</x:v>
      </x:c>
    </x:row>
    <x:row r="1428">
      <x:c r="A1428" s="51" t="n">
        <x:v>42522</x:v>
      </x:c>
      <x:c r="B1428" s="14" t="str">
        <x:v>Norte</x:v>
      </x:c>
      <x:c r="C1428" s="14" t="str">
        <x:v>SISTEMAS ISOLADOS</x:v>
      </x:c>
      <x:c r="D1428" s="53" t="str">
        <x:v>Cativo</x:v>
      </x:c>
      <x:c r="E1428" s="49" t="n">
        <x:v>115178</x:v>
      </x:c>
      <x:c r="F1428" s="52" t="n">
        <x:v>634781</x:v>
      </x:c>
      <x:c r="G1428" s="54" t="n">
        <x:v>46220</x:v>
      </x:c>
      <x:c r="H1428" s="14" t="str">
        <x:f>IF(E1428&lt;0,"Componente negativo — manter e investigar","OK")</x:f>
        <x:v>OK</x:v>
      </x:c>
    </x:row>
    <x:row r="1429">
      <x:c r="A1429" s="51" t="n">
        <x:v>42522</x:v>
      </x:c>
      <x:c r="B1429" s="14" t="str">
        <x:v>Norte</x:v>
      </x:c>
      <x:c r="C1429" s="14" t="str">
        <x:v>SUDESTE / CENTRO - OESTE</x:v>
      </x:c>
      <x:c r="D1429" s="53" t="str">
        <x:v>Cativo</x:v>
      </x:c>
      <x:c r="E1429" s="49" t="n">
        <x:v>111129</x:v>
      </x:c>
      <x:c r="F1429" s="52" t="n">
        <x:v>540987</x:v>
      </x:c>
      <x:c r="G1429" s="54" t="n">
        <x:v>46220</x:v>
      </x:c>
      <x:c r="H1429" s="14" t="str">
        <x:f>IF(E1429&lt;0,"Componente negativo — manter e investigar","OK")</x:f>
        <x:v>OK</x:v>
      </x:c>
    </x:row>
    <x:row r="1430">
      <x:c r="A1430" s="51" t="n">
        <x:v>42522</x:v>
      </x:c>
      <x:c r="B1430" s="14" t="str">
        <x:v>Sudeste</x:v>
      </x:c>
      <x:c r="C1430" s="14" t="str">
        <x:v>SUDESTE / CENTRO - OESTE</x:v>
      </x:c>
      <x:c r="D1430" s="53" t="str">
        <x:v>Cativo</x:v>
      </x:c>
      <x:c r="E1430" s="49" t="n">
        <x:v>5076992</x:v>
      </x:c>
      <x:c r="F1430" s="52" t="n">
        <x:v>31228239</x:v>
      </x:c>
      <x:c r="G1430" s="54" t="n">
        <x:v>46220</x:v>
      </x:c>
      <x:c r="H1430" s="14" t="str">
        <x:f>IF(E1430&lt;0,"Componente negativo — manter e investigar","OK")</x:f>
        <x:v>OK</x:v>
      </x:c>
    </x:row>
    <x:row r="1431">
      <x:c r="A1431" s="51" t="n">
        <x:v>42522</x:v>
      </x:c>
      <x:c r="B1431" s="14" t="str">
        <x:v>Sul</x:v>
      </x:c>
      <x:c r="C1431" s="14" t="str">
        <x:v>SUL</x:v>
      </x:c>
      <x:c r="D1431" s="53" t="str">
        <x:v>Cativo</x:v>
      </x:c>
      <x:c r="E1431" s="49" t="n">
        <x:v>1683387</x:v>
      </x:c>
      <x:c r="F1431" s="52" t="n">
        <x:v>9661758</x:v>
      </x:c>
      <x:c r="G1431" s="54" t="n">
        <x:v>46220</x:v>
      </x:c>
      <x:c r="H1431" s="14" t="str">
        <x:f>IF(E1431&lt;0,"Componente negativo — manter e investigar","OK")</x:f>
        <x:v>OK</x:v>
      </x:c>
    </x:row>
    <x:row r="1432">
      <x:c r="A1432" s="51" t="n">
        <x:v>42552</x:v>
      </x:c>
      <x:c r="B1432" s="14" t="str">
        <x:v>Centro-Oeste</x:v>
      </x:c>
      <x:c r="C1432" s="14" t="str">
        <x:v>SISTEMAS ISOLADOS</x:v>
      </x:c>
      <x:c r="D1432" s="53" t="str">
        <x:v>Cativo</x:v>
      </x:c>
      <x:c r="E1432" s="49" t="n">
        <x:v>234</x:v>
      </x:c>
      <x:c r="F1432" s="52" t="n">
        <x:v>1318</x:v>
      </x:c>
      <x:c r="G1432" s="54" t="n">
        <x:v>46220</x:v>
      </x:c>
      <x:c r="H1432" s="14" t="str">
        <x:f>IF(E1432&lt;0,"Componente negativo — manter e investigar","OK")</x:f>
        <x:v>OK</x:v>
      </x:c>
    </x:row>
    <x:row r="1433">
      <x:c r="A1433" s="51" t="n">
        <x:v>42552</x:v>
      </x:c>
      <x:c r="B1433" s="14" t="str">
        <x:v>Centro-Oeste</x:v>
      </x:c>
      <x:c r="C1433" s="14" t="str">
        <x:v>SUDESTE / CENTRO - OESTE</x:v>
      </x:c>
      <x:c r="D1433" s="53" t="str">
        <x:v>Cativo</x:v>
      </x:c>
      <x:c r="E1433" s="49" t="n">
        <x:v>840112</x:v>
      </x:c>
      <x:c r="F1433" s="52" t="n">
        <x:v>5177677</x:v>
      </x:c>
      <x:c r="G1433" s="54" t="n">
        <x:v>46220</x:v>
      </x:c>
      <x:c r="H1433" s="14" t="str">
        <x:f>IF(E1433&lt;0,"Componente negativo — manter e investigar","OK")</x:f>
        <x:v>OK</x:v>
      </x:c>
    </x:row>
    <x:row r="1434">
      <x:c r="A1434" s="51" t="n">
        <x:v>42552</x:v>
      </x:c>
      <x:c r="B1434" s="14" t="str">
        <x:v>Nordeste</x:v>
      </x:c>
      <x:c r="C1434" s="14" t="str">
        <x:v>NORDESTE</x:v>
      </x:c>
      <x:c r="D1434" s="53" t="str">
        <x:v>Cativo</x:v>
      </x:c>
      <x:c r="E1434" s="49" t="n">
        <x:v>1848298</x:v>
      </x:c>
      <x:c r="F1434" s="52" t="n">
        <x:v>16251202</x:v>
      </x:c>
      <x:c r="G1434" s="54" t="n">
        <x:v>46220</x:v>
      </x:c>
      <x:c r="H1434" s="14" t="str">
        <x:f>IF(E1434&lt;0,"Componente negativo — manter e investigar","OK")</x:f>
        <x:v>OK</x:v>
      </x:c>
    </x:row>
    <x:row r="1435">
      <x:c r="A1435" s="51" t="n">
        <x:v>42552</x:v>
      </x:c>
      <x:c r="B1435" s="14" t="str">
        <x:v>Nordeste</x:v>
      </x:c>
      <x:c r="C1435" s="14" t="str">
        <x:v>NORTE INTERLIGADO</x:v>
      </x:c>
      <x:c r="D1435" s="53" t="str">
        <x:v>Cativo</x:v>
      </x:c>
      <x:c r="E1435" s="49" t="n">
        <x:v>252304</x:v>
      </x:c>
      <x:c r="F1435" s="52" t="n">
        <x:v>2082698</x:v>
      </x:c>
      <x:c r="G1435" s="54" t="n">
        <x:v>46220</x:v>
      </x:c>
      <x:c r="H1435" s="14" t="str">
        <x:f>IF(E1435&lt;0,"Componente negativo — manter e investigar","OK")</x:f>
        <x:v>OK</x:v>
      </x:c>
    </x:row>
    <x:row r="1436">
      <x:c r="A1436" s="51" t="n">
        <x:v>42552</x:v>
      </x:c>
      <x:c r="B1436" s="14" t="str">
        <x:v>Nordeste</x:v>
      </x:c>
      <x:c r="C1436" s="14" t="str">
        <x:v>SISTEMAS ISOLADOS</x:v>
      </x:c>
      <x:c r="D1436" s="53" t="str">
        <x:v>Cativo</x:v>
      </x:c>
      <x:c r="E1436" s="49" t="n">
        <x:v>390</x:v>
      </x:c>
      <x:c r="F1436" s="52" t="n">
        <x:v>542</x:v>
      </x:c>
      <x:c r="G1436" s="54" t="n">
        <x:v>46220</x:v>
      </x:c>
      <x:c r="H1436" s="14" t="str">
        <x:f>IF(E1436&lt;0,"Componente negativo — manter e investigar","OK")</x:f>
        <x:v>OK</x:v>
      </x:c>
    </x:row>
    <x:row r="1437">
      <x:c r="A1437" s="51" t="n">
        <x:v>42552</x:v>
      </x:c>
      <x:c r="B1437" s="14" t="str">
        <x:v>Norte</x:v>
      </x:c>
      <x:c r="C1437" s="14" t="str">
        <x:v>NORTE INTERLIGADO</x:v>
      </x:c>
      <x:c r="D1437" s="53" t="str">
        <x:v>Cativo</x:v>
      </x:c>
      <x:c r="E1437" s="49" t="n">
        <x:v>572929</x:v>
      </x:c>
      <x:c r="F1437" s="52" t="n">
        <x:v>3066730</x:v>
      </x:c>
      <x:c r="G1437" s="54" t="n">
        <x:v>46220</x:v>
      </x:c>
      <x:c r="H1437" s="14" t="str">
        <x:f>IF(E1437&lt;0,"Componente negativo — manter e investigar","OK")</x:f>
        <x:v>OK</x:v>
      </x:c>
    </x:row>
    <x:row r="1438">
      <x:c r="A1438" s="51" t="n">
        <x:v>42552</x:v>
      </x:c>
      <x:c r="B1438" s="14" t="str">
        <x:v>Norte</x:v>
      </x:c>
      <x:c r="C1438" s="14" t="str">
        <x:v>SISTEMAS ISOLADOS</x:v>
      </x:c>
      <x:c r="D1438" s="53" t="str">
        <x:v>Cativo</x:v>
      </x:c>
      <x:c r="E1438" s="49" t="n">
        <x:v>111730</x:v>
      </x:c>
      <x:c r="F1438" s="52" t="n">
        <x:v>631803</x:v>
      </x:c>
      <x:c r="G1438" s="54" t="n">
        <x:v>46220</x:v>
      </x:c>
      <x:c r="H1438" s="14" t="str">
        <x:f>IF(E1438&lt;0,"Componente negativo — manter e investigar","OK")</x:f>
        <x:v>OK</x:v>
      </x:c>
    </x:row>
    <x:row r="1439">
      <x:c r="A1439" s="51" t="n">
        <x:v>42552</x:v>
      </x:c>
      <x:c r="B1439" s="14" t="str">
        <x:v>Norte</x:v>
      </x:c>
      <x:c r="C1439" s="14" t="str">
        <x:v>SUDESTE / CENTRO - OESTE</x:v>
      </x:c>
      <x:c r="D1439" s="53" t="str">
        <x:v>Cativo</x:v>
      </x:c>
      <x:c r="E1439" s="49" t="n">
        <x:v>112320</x:v>
      </x:c>
      <x:c r="F1439" s="52" t="n">
        <x:v>542075</x:v>
      </x:c>
      <x:c r="G1439" s="54" t="n">
        <x:v>46220</x:v>
      </x:c>
      <x:c r="H1439" s="14" t="str">
        <x:f>IF(E1439&lt;0,"Componente negativo — manter e investigar","OK")</x:f>
        <x:v>OK</x:v>
      </x:c>
    </x:row>
    <x:row r="1440">
      <x:c r="A1440" s="51" t="n">
        <x:v>42552</x:v>
      </x:c>
      <x:c r="B1440" s="14" t="str">
        <x:v>Sudeste</x:v>
      </x:c>
      <x:c r="C1440" s="14" t="str">
        <x:v>SUDESTE / CENTRO - OESTE</x:v>
      </x:c>
      <x:c r="D1440" s="53" t="str">
        <x:v>Cativo</x:v>
      </x:c>
      <x:c r="E1440" s="49" t="n">
        <x:v>4937481</x:v>
      </x:c>
      <x:c r="F1440" s="52" t="n">
        <x:v>31286109</x:v>
      </x:c>
      <x:c r="G1440" s="54" t="n">
        <x:v>46220</x:v>
      </x:c>
      <x:c r="H1440" s="14" t="str">
        <x:f>IF(E1440&lt;0,"Componente negativo — manter e investigar","OK")</x:f>
        <x:v>OK</x:v>
      </x:c>
    </x:row>
    <x:row r="1441">
      <x:c r="A1441" s="51" t="n">
        <x:v>42552</x:v>
      </x:c>
      <x:c r="B1441" s="14" t="str">
        <x:v>Sul</x:v>
      </x:c>
      <x:c r="C1441" s="14" t="str">
        <x:v>SUL</x:v>
      </x:c>
      <x:c r="D1441" s="53" t="str">
        <x:v>Cativo</x:v>
      </x:c>
      <x:c r="E1441" s="49" t="n">
        <x:v>1704822</x:v>
      </x:c>
      <x:c r="F1441" s="52" t="n">
        <x:v>9671378</x:v>
      </x:c>
      <x:c r="G1441" s="54" t="n">
        <x:v>46220</x:v>
      </x:c>
      <x:c r="H1441" s="14" t="str">
        <x:f>IF(E1441&lt;0,"Componente negativo — manter e investigar","OK")</x:f>
        <x:v>OK</x:v>
      </x:c>
    </x:row>
    <x:row r="1442">
      <x:c r="A1442" s="51" t="n">
        <x:v>42583</x:v>
      </x:c>
      <x:c r="B1442" s="14" t="str">
        <x:v>Centro-Oeste</x:v>
      </x:c>
      <x:c r="C1442" s="14" t="str">
        <x:v>SISTEMAS ISOLADOS</x:v>
      </x:c>
      <x:c r="D1442" s="53" t="str">
        <x:v>Cativo</x:v>
      </x:c>
      <x:c r="E1442" s="49" t="n">
        <x:v>226</x:v>
      </x:c>
      <x:c r="F1442" s="52" t="n">
        <x:v>1319</x:v>
      </x:c>
      <x:c r="G1442" s="54" t="n">
        <x:v>46220</x:v>
      </x:c>
      <x:c r="H1442" s="14" t="str">
        <x:f>IF(E1442&lt;0,"Componente negativo — manter e investigar","OK")</x:f>
        <x:v>OK</x:v>
      </x:c>
    </x:row>
    <x:row r="1443">
      <x:c r="A1443" s="51" t="n">
        <x:v>42583</x:v>
      </x:c>
      <x:c r="B1443" s="14" t="str">
        <x:v>Centro-Oeste</x:v>
      </x:c>
      <x:c r="C1443" s="14" t="str">
        <x:v>SUDESTE / CENTRO - OESTE</x:v>
      </x:c>
      <x:c r="D1443" s="53" t="str">
        <x:v>Cativo</x:v>
      </x:c>
      <x:c r="E1443" s="49" t="n">
        <x:v>854329</x:v>
      </x:c>
      <x:c r="F1443" s="52" t="n">
        <x:v>5193800</x:v>
      </x:c>
      <x:c r="G1443" s="54" t="n">
        <x:v>46220</x:v>
      </x:c>
      <x:c r="H1443" s="14" t="str">
        <x:f>IF(E1443&lt;0,"Componente negativo — manter e investigar","OK")</x:f>
        <x:v>OK</x:v>
      </x:c>
    </x:row>
    <x:row r="1444">
      <x:c r="A1444" s="51" t="n">
        <x:v>42583</x:v>
      </x:c>
      <x:c r="B1444" s="14" t="str">
        <x:v>Nordeste</x:v>
      </x:c>
      <x:c r="C1444" s="14" t="str">
        <x:v>NORDESTE</x:v>
      </x:c>
      <x:c r="D1444" s="53" t="str">
        <x:v>Cativo</x:v>
      </x:c>
      <x:c r="E1444" s="49" t="n">
        <x:v>1858240</x:v>
      </x:c>
      <x:c r="F1444" s="52" t="n">
        <x:v>16292744</x:v>
      </x:c>
      <x:c r="G1444" s="54" t="n">
        <x:v>46220</x:v>
      </x:c>
      <x:c r="H1444" s="14" t="str">
        <x:f>IF(E1444&lt;0,"Componente negativo — manter e investigar","OK")</x:f>
        <x:v>OK</x:v>
      </x:c>
    </x:row>
    <x:row r="1445">
      <x:c r="A1445" s="51" t="n">
        <x:v>42583</x:v>
      </x:c>
      <x:c r="B1445" s="14" t="str">
        <x:v>Nordeste</x:v>
      </x:c>
      <x:c r="C1445" s="14" t="str">
        <x:v>NORTE INTERLIGADO</x:v>
      </x:c>
      <x:c r="D1445" s="53" t="str">
        <x:v>Cativo</x:v>
      </x:c>
      <x:c r="E1445" s="49" t="n">
        <x:v>256322</x:v>
      </x:c>
      <x:c r="F1445" s="52" t="n">
        <x:v>2089579</x:v>
      </x:c>
      <x:c r="G1445" s="54" t="n">
        <x:v>46220</x:v>
      </x:c>
      <x:c r="H1445" s="14" t="str">
        <x:f>IF(E1445&lt;0,"Componente negativo — manter e investigar","OK")</x:f>
        <x:v>OK</x:v>
      </x:c>
    </x:row>
    <x:row r="1446">
      <x:c r="A1446" s="51" t="n">
        <x:v>42583</x:v>
      </x:c>
      <x:c r="B1446" s="14" t="str">
        <x:v>Nordeste</x:v>
      </x:c>
      <x:c r="C1446" s="14" t="str">
        <x:v>SISTEMAS ISOLADOS</x:v>
      </x:c>
      <x:c r="D1446" s="53" t="str">
        <x:v>Cativo</x:v>
      </x:c>
      <x:c r="E1446" s="49" t="n">
        <x:v>384</x:v>
      </x:c>
      <x:c r="F1446" s="52" t="n">
        <x:v>564</x:v>
      </x:c>
      <x:c r="G1446" s="54" t="n">
        <x:v>46220</x:v>
      </x:c>
      <x:c r="H1446" s="14" t="str">
        <x:f>IF(E1446&lt;0,"Componente negativo — manter e investigar","OK")</x:f>
        <x:v>OK</x:v>
      </x:c>
    </x:row>
    <x:row r="1447">
      <x:c r="A1447" s="51" t="n">
        <x:v>42583</x:v>
      </x:c>
      <x:c r="B1447" s="14" t="str">
        <x:v>Norte</x:v>
      </x:c>
      <x:c r="C1447" s="14" t="str">
        <x:v>NORTE INTERLIGADO</x:v>
      </x:c>
      <x:c r="D1447" s="53" t="str">
        <x:v>Cativo</x:v>
      </x:c>
      <x:c r="E1447" s="49" t="n">
        <x:v>575175</x:v>
      </x:c>
      <x:c r="F1447" s="52" t="n">
        <x:v>3058595</x:v>
      </x:c>
      <x:c r="G1447" s="54" t="n">
        <x:v>46220</x:v>
      </x:c>
      <x:c r="H1447" s="14" t="str">
        <x:f>IF(E1447&lt;0,"Componente negativo — manter e investigar","OK")</x:f>
        <x:v>OK</x:v>
      </x:c>
    </x:row>
    <x:row r="1448">
      <x:c r="A1448" s="51" t="n">
        <x:v>42583</x:v>
      </x:c>
      <x:c r="B1448" s="14" t="str">
        <x:v>Norte</x:v>
      </x:c>
      <x:c r="C1448" s="14" t="str">
        <x:v>SISTEMAS ISOLADOS</x:v>
      </x:c>
      <x:c r="D1448" s="53" t="str">
        <x:v>Cativo</x:v>
      </x:c>
      <x:c r="E1448" s="49" t="n">
        <x:v>120466</x:v>
      </x:c>
      <x:c r="F1448" s="52" t="n">
        <x:v>632398</x:v>
      </x:c>
      <x:c r="G1448" s="54" t="n">
        <x:v>46220</x:v>
      </x:c>
      <x:c r="H1448" s="14" t="str">
        <x:f>IF(E1448&lt;0,"Componente negativo — manter e investigar","OK")</x:f>
        <x:v>OK</x:v>
      </x:c>
    </x:row>
    <x:row r="1449">
      <x:c r="A1449" s="51" t="n">
        <x:v>42583</x:v>
      </x:c>
      <x:c r="B1449" s="14" t="str">
        <x:v>Norte</x:v>
      </x:c>
      <x:c r="C1449" s="14" t="str">
        <x:v>SUDESTE / CENTRO - OESTE</x:v>
      </x:c>
      <x:c r="D1449" s="53" t="str">
        <x:v>Cativo</x:v>
      </x:c>
      <x:c r="E1449" s="49" t="n">
        <x:v>126456</x:v>
      </x:c>
      <x:c r="F1449" s="52" t="n">
        <x:v>543940</x:v>
      </x:c>
      <x:c r="G1449" s="54" t="n">
        <x:v>46220</x:v>
      </x:c>
      <x:c r="H1449" s="14" t="str">
        <x:f>IF(E1449&lt;0,"Componente negativo — manter e investigar","OK")</x:f>
        <x:v>OK</x:v>
      </x:c>
    </x:row>
    <x:row r="1450">
      <x:c r="A1450" s="51" t="n">
        <x:v>42583</x:v>
      </x:c>
      <x:c r="B1450" s="14" t="str">
        <x:v>Sudeste</x:v>
      </x:c>
      <x:c r="C1450" s="14" t="str">
        <x:v>SUDESTE / CENTRO - OESTE</x:v>
      </x:c>
      <x:c r="D1450" s="53" t="str">
        <x:v>Cativo</x:v>
      </x:c>
      <x:c r="E1450" s="49" t="n">
        <x:v>4997655</x:v>
      </x:c>
      <x:c r="F1450" s="52" t="n">
        <x:v>31332844</x:v>
      </x:c>
      <x:c r="G1450" s="54" t="n">
        <x:v>46220</x:v>
      </x:c>
      <x:c r="H1450" s="14" t="str">
        <x:f>IF(E1450&lt;0,"Componente negativo — manter e investigar","OK")</x:f>
        <x:v>OK</x:v>
      </x:c>
    </x:row>
    <x:row r="1451">
      <x:c r="A1451" s="51" t="n">
        <x:v>42583</x:v>
      </x:c>
      <x:c r="B1451" s="14" t="str">
        <x:v>Sul</x:v>
      </x:c>
      <x:c r="C1451" s="14" t="str">
        <x:v>SUL</x:v>
      </x:c>
      <x:c r="D1451" s="53" t="str">
        <x:v>Cativo</x:v>
      </x:c>
      <x:c r="E1451" s="49" t="n">
        <x:v>1638519</x:v>
      </x:c>
      <x:c r="F1451" s="52" t="n">
        <x:v>9682880</x:v>
      </x:c>
      <x:c r="G1451" s="54" t="n">
        <x:v>46220</x:v>
      </x:c>
      <x:c r="H1451" s="14" t="str">
        <x:f>IF(E1451&lt;0,"Componente negativo — manter e investigar","OK")</x:f>
        <x:v>OK</x:v>
      </x:c>
    </x:row>
    <x:row r="1452">
      <x:c r="A1452" s="51" t="n">
        <x:v>42614</x:v>
      </x:c>
      <x:c r="B1452" s="14" t="str">
        <x:v>Centro-Oeste</x:v>
      </x:c>
      <x:c r="C1452" s="14" t="str">
        <x:v>SISTEMAS ISOLADOS</x:v>
      </x:c>
      <x:c r="D1452" s="53" t="str">
        <x:v>Cativo</x:v>
      </x:c>
      <x:c r="E1452" s="49" t="n">
        <x:v>233</x:v>
      </x:c>
      <x:c r="F1452" s="52" t="n">
        <x:v>1315</x:v>
      </x:c>
      <x:c r="G1452" s="54" t="n">
        <x:v>46220</x:v>
      </x:c>
      <x:c r="H1452" s="14" t="str">
        <x:f>IF(E1452&lt;0,"Componente negativo — manter e investigar","OK")</x:f>
        <x:v>OK</x:v>
      </x:c>
    </x:row>
    <x:row r="1453">
      <x:c r="A1453" s="51" t="n">
        <x:v>42614</x:v>
      </x:c>
      <x:c r="B1453" s="14" t="str">
        <x:v>Centro-Oeste</x:v>
      </x:c>
      <x:c r="C1453" s="14" t="str">
        <x:v>SUDESTE / CENTRO - OESTE</x:v>
      </x:c>
      <x:c r="D1453" s="53" t="str">
        <x:v>Cativo</x:v>
      </x:c>
      <x:c r="E1453" s="49" t="n">
        <x:v>939599</x:v>
      </x:c>
      <x:c r="F1453" s="52" t="n">
        <x:v>5204127</x:v>
      </x:c>
      <x:c r="G1453" s="54" t="n">
        <x:v>46220</x:v>
      </x:c>
      <x:c r="H1453" s="14" t="str">
        <x:f>IF(E1453&lt;0,"Componente negativo — manter e investigar","OK")</x:f>
        <x:v>OK</x:v>
      </x:c>
    </x:row>
    <x:row r="1454">
      <x:c r="A1454" s="51" t="n">
        <x:v>42614</x:v>
      </x:c>
      <x:c r="B1454" s="14" t="str">
        <x:v>Nordeste</x:v>
      </x:c>
      <x:c r="C1454" s="14" t="str">
        <x:v>NORDESTE</x:v>
      </x:c>
      <x:c r="D1454" s="53" t="str">
        <x:v>Cativo</x:v>
      </x:c>
      <x:c r="E1454" s="49" t="n">
        <x:v>1917578</x:v>
      </x:c>
      <x:c r="F1454" s="52" t="n">
        <x:v>16314742</x:v>
      </x:c>
      <x:c r="G1454" s="54" t="n">
        <x:v>46220</x:v>
      </x:c>
      <x:c r="H1454" s="14" t="str">
        <x:f>IF(E1454&lt;0,"Componente negativo — manter e investigar","OK")</x:f>
        <x:v>OK</x:v>
      </x:c>
    </x:row>
    <x:row r="1455">
      <x:c r="A1455" s="51" t="n">
        <x:v>42614</x:v>
      </x:c>
      <x:c r="B1455" s="14" t="str">
        <x:v>Nordeste</x:v>
      </x:c>
      <x:c r="C1455" s="14" t="str">
        <x:v>NORTE INTERLIGADO</x:v>
      </x:c>
      <x:c r="D1455" s="53" t="str">
        <x:v>Cativo</x:v>
      </x:c>
      <x:c r="E1455" s="49" t="n">
        <x:v>276171</x:v>
      </x:c>
      <x:c r="F1455" s="52" t="n">
        <x:v>2086755</x:v>
      </x:c>
      <x:c r="G1455" s="54" t="n">
        <x:v>46220</x:v>
      </x:c>
      <x:c r="H1455" s="14" t="str">
        <x:f>IF(E1455&lt;0,"Componente negativo — manter e investigar","OK")</x:f>
        <x:v>OK</x:v>
      </x:c>
    </x:row>
    <x:row r="1456">
      <x:c r="A1456" s="51" t="n">
        <x:v>42614</x:v>
      </x:c>
      <x:c r="B1456" s="14" t="str">
        <x:v>Nordeste</x:v>
      </x:c>
      <x:c r="C1456" s="14" t="str">
        <x:v>SISTEMAS ISOLADOS</x:v>
      </x:c>
      <x:c r="D1456" s="53" t="str">
        <x:v>Cativo</x:v>
      </x:c>
      <x:c r="E1456" s="49" t="n">
        <x:v>371</x:v>
      </x:c>
      <x:c r="F1456" s="52" t="n">
        <x:v>566</x:v>
      </x:c>
      <x:c r="G1456" s="54" t="n">
        <x:v>46220</x:v>
      </x:c>
      <x:c r="H1456" s="14" t="str">
        <x:f>IF(E1456&lt;0,"Componente negativo — manter e investigar","OK")</x:f>
        <x:v>OK</x:v>
      </x:c>
    </x:row>
    <x:row r="1457">
      <x:c r="A1457" s="51" t="n">
        <x:v>42614</x:v>
      </x:c>
      <x:c r="B1457" s="14" t="str">
        <x:v>Norte</x:v>
      </x:c>
      <x:c r="C1457" s="14" t="str">
        <x:v>NORTE INTERLIGADO</x:v>
      </x:c>
      <x:c r="D1457" s="53" t="str">
        <x:v>Cativo</x:v>
      </x:c>
      <x:c r="E1457" s="49" t="n">
        <x:v>585355</x:v>
      </x:c>
      <x:c r="F1457" s="52" t="n">
        <x:v>3077988</x:v>
      </x:c>
      <x:c r="G1457" s="54" t="n">
        <x:v>46220</x:v>
      </x:c>
      <x:c r="H1457" s="14" t="str">
        <x:f>IF(E1457&lt;0,"Componente negativo — manter e investigar","OK")</x:f>
        <x:v>OK</x:v>
      </x:c>
    </x:row>
    <x:row r="1458">
      <x:c r="A1458" s="51" t="n">
        <x:v>42614</x:v>
      </x:c>
      <x:c r="B1458" s="14" t="str">
        <x:v>Norte</x:v>
      </x:c>
      <x:c r="C1458" s="14" t="str">
        <x:v>SISTEMAS ISOLADOS</x:v>
      </x:c>
      <x:c r="D1458" s="53" t="str">
        <x:v>Cativo</x:v>
      </x:c>
      <x:c r="E1458" s="49" t="n">
        <x:v>123829</x:v>
      </x:c>
      <x:c r="F1458" s="52" t="n">
        <x:v>634152</x:v>
      </x:c>
      <x:c r="G1458" s="54" t="n">
        <x:v>46220</x:v>
      </x:c>
      <x:c r="H1458" s="14" t="str">
        <x:f>IF(E1458&lt;0,"Componente negativo — manter e investigar","OK")</x:f>
        <x:v>OK</x:v>
      </x:c>
    </x:row>
    <x:row r="1459">
      <x:c r="A1459" s="51" t="n">
        <x:v>42614</x:v>
      </x:c>
      <x:c r="B1459" s="14" t="str">
        <x:v>Norte</x:v>
      </x:c>
      <x:c r="C1459" s="14" t="str">
        <x:v>SUDESTE / CENTRO - OESTE</x:v>
      </x:c>
      <x:c r="D1459" s="53" t="str">
        <x:v>Cativo</x:v>
      </x:c>
      <x:c r="E1459" s="49" t="n">
        <x:v>121295</x:v>
      </x:c>
      <x:c r="F1459" s="52" t="n">
        <x:v>545503</x:v>
      </x:c>
      <x:c r="G1459" s="54" t="n">
        <x:v>46220</x:v>
      </x:c>
      <x:c r="H1459" s="14" t="str">
        <x:f>IF(E1459&lt;0,"Componente negativo — manter e investigar","OK")</x:f>
        <x:v>OK</x:v>
      </x:c>
    </x:row>
    <x:row r="1460">
      <x:c r="A1460" s="51" t="n">
        <x:v>42614</x:v>
      </x:c>
      <x:c r="B1460" s="14" t="str">
        <x:v>Sudeste</x:v>
      </x:c>
      <x:c r="C1460" s="14" t="str">
        <x:v>SUDESTE / CENTRO - OESTE</x:v>
      </x:c>
      <x:c r="D1460" s="53" t="str">
        <x:v>Cativo</x:v>
      </x:c>
      <x:c r="E1460" s="49" t="n">
        <x:v>5299383</x:v>
      </x:c>
      <x:c r="F1460" s="52" t="n">
        <x:v>31359268</x:v>
      </x:c>
      <x:c r="G1460" s="54" t="n">
        <x:v>46220</x:v>
      </x:c>
      <x:c r="H1460" s="14" t="str">
        <x:f>IF(E1460&lt;0,"Componente negativo — manter e investigar","OK")</x:f>
        <x:v>OK</x:v>
      </x:c>
    </x:row>
    <x:row r="1461">
      <x:c r="A1461" s="51" t="n">
        <x:v>42614</x:v>
      </x:c>
      <x:c r="B1461" s="14" t="str">
        <x:v>Sul</x:v>
      </x:c>
      <x:c r="C1461" s="14" t="str">
        <x:v>SUL</x:v>
      </x:c>
      <x:c r="D1461" s="53" t="str">
        <x:v>Cativo</x:v>
      </x:c>
      <x:c r="E1461" s="49" t="n">
        <x:v>1626257</x:v>
      </x:c>
      <x:c r="F1461" s="52" t="n">
        <x:v>9691704</x:v>
      </x:c>
      <x:c r="G1461" s="54" t="n">
        <x:v>46220</x:v>
      </x:c>
      <x:c r="H1461" s="14" t="str">
        <x:f>IF(E1461&lt;0,"Componente negativo — manter e investigar","OK")</x:f>
        <x:v>OK</x:v>
      </x:c>
    </x:row>
    <x:row r="1462">
      <x:c r="A1462" s="51" t="n">
        <x:v>42644</x:v>
      </x:c>
      <x:c r="B1462" s="14" t="str">
        <x:v>Centro-Oeste</x:v>
      </x:c>
      <x:c r="C1462" s="14" t="str">
        <x:v>SISTEMAS ISOLADOS</x:v>
      </x:c>
      <x:c r="D1462" s="53" t="str">
        <x:v>Cativo</x:v>
      </x:c>
      <x:c r="E1462" s="49" t="n">
        <x:v>260</x:v>
      </x:c>
      <x:c r="F1462" s="52" t="n">
        <x:v>1335</x:v>
      </x:c>
      <x:c r="G1462" s="54" t="n">
        <x:v>46220</x:v>
      </x:c>
      <x:c r="H1462" s="14" t="str">
        <x:f>IF(E1462&lt;0,"Componente negativo — manter e investigar","OK")</x:f>
        <x:v>OK</x:v>
      </x:c>
    </x:row>
    <x:row r="1463">
      <x:c r="A1463" s="51" t="n">
        <x:v>42644</x:v>
      </x:c>
      <x:c r="B1463" s="14" t="str">
        <x:v>Centro-Oeste</x:v>
      </x:c>
      <x:c r="C1463" s="14" t="str">
        <x:v>SUDESTE / CENTRO - OESTE</x:v>
      </x:c>
      <x:c r="D1463" s="53" t="str">
        <x:v>Cativo</x:v>
      </x:c>
      <x:c r="E1463" s="49" t="n">
        <x:v>927889</x:v>
      </x:c>
      <x:c r="F1463" s="52" t="n">
        <x:v>5205202</x:v>
      </x:c>
      <x:c r="G1463" s="54" t="n">
        <x:v>46220</x:v>
      </x:c>
      <x:c r="H1463" s="14" t="str">
        <x:f>IF(E1463&lt;0,"Componente negativo — manter e investigar","OK")</x:f>
        <x:v>OK</x:v>
      </x:c>
    </x:row>
    <x:row r="1464">
      <x:c r="A1464" s="51" t="n">
        <x:v>42644</x:v>
      </x:c>
      <x:c r="B1464" s="14" t="str">
        <x:v>Nordeste</x:v>
      </x:c>
      <x:c r="C1464" s="14" t="str">
        <x:v>NORDESTE</x:v>
      </x:c>
      <x:c r="D1464" s="53" t="str">
        <x:v>Cativo</x:v>
      </x:c>
      <x:c r="E1464" s="49" t="n">
        <x:v>1948573</x:v>
      </x:c>
      <x:c r="F1464" s="52" t="n">
        <x:v>16328316</x:v>
      </x:c>
      <x:c r="G1464" s="54" t="n">
        <x:v>46220</x:v>
      </x:c>
      <x:c r="H1464" s="14" t="str">
        <x:f>IF(E1464&lt;0,"Componente negativo — manter e investigar","OK")</x:f>
        <x:v>OK</x:v>
      </x:c>
    </x:row>
    <x:row r="1465">
      <x:c r="A1465" s="51" t="n">
        <x:v>42644</x:v>
      </x:c>
      <x:c r="B1465" s="14" t="str">
        <x:v>Nordeste</x:v>
      </x:c>
      <x:c r="C1465" s="14" t="str">
        <x:v>NORTE INTERLIGADO</x:v>
      </x:c>
      <x:c r="D1465" s="53" t="str">
        <x:v>Cativo</x:v>
      </x:c>
      <x:c r="E1465" s="49" t="n">
        <x:v>270984</x:v>
      </x:c>
      <x:c r="F1465" s="52" t="n">
        <x:v>2092659</x:v>
      </x:c>
      <x:c r="G1465" s="54" t="n">
        <x:v>46220</x:v>
      </x:c>
      <x:c r="H1465" s="14" t="str">
        <x:f>IF(E1465&lt;0,"Componente negativo — manter e investigar","OK")</x:f>
        <x:v>OK</x:v>
      </x:c>
    </x:row>
    <x:row r="1466">
      <x:c r="A1466" s="51" t="n">
        <x:v>42644</x:v>
      </x:c>
      <x:c r="B1466" s="14" t="str">
        <x:v>Nordeste</x:v>
      </x:c>
      <x:c r="C1466" s="14" t="str">
        <x:v>SISTEMAS ISOLADOS</x:v>
      </x:c>
      <x:c r="D1466" s="53" t="str">
        <x:v>Cativo</x:v>
      </x:c>
      <x:c r="E1466" s="49" t="n">
        <x:v>422</x:v>
      </x:c>
      <x:c r="F1466" s="52" t="n">
        <x:v>571</x:v>
      </x:c>
      <x:c r="G1466" s="54" t="n">
        <x:v>46220</x:v>
      </x:c>
      <x:c r="H1466" s="14" t="str">
        <x:f>IF(E1466&lt;0,"Componente negativo — manter e investigar","OK")</x:f>
        <x:v>OK</x:v>
      </x:c>
    </x:row>
    <x:row r="1467">
      <x:c r="A1467" s="51" t="n">
        <x:v>42644</x:v>
      </x:c>
      <x:c r="B1467" s="14" t="str">
        <x:v>Norte</x:v>
      </x:c>
      <x:c r="C1467" s="14" t="str">
        <x:v>NORTE INTERLIGADO</x:v>
      </x:c>
      <x:c r="D1467" s="53" t="str">
        <x:v>Cativo</x:v>
      </x:c>
      <x:c r="E1467" s="49" t="n">
        <x:v>579279</x:v>
      </x:c>
      <x:c r="F1467" s="52" t="n">
        <x:v>3092031</x:v>
      </x:c>
      <x:c r="G1467" s="54" t="n">
        <x:v>46220</x:v>
      </x:c>
      <x:c r="H1467" s="14" t="str">
        <x:f>IF(E1467&lt;0,"Componente negativo — manter e investigar","OK")</x:f>
        <x:v>OK</x:v>
      </x:c>
    </x:row>
    <x:row r="1468">
      <x:c r="A1468" s="51" t="n">
        <x:v>42644</x:v>
      </x:c>
      <x:c r="B1468" s="14" t="str">
        <x:v>Norte</x:v>
      </x:c>
      <x:c r="C1468" s="14" t="str">
        <x:v>SISTEMAS ISOLADOS</x:v>
      </x:c>
      <x:c r="D1468" s="53" t="str">
        <x:v>Cativo</x:v>
      </x:c>
      <x:c r="E1468" s="49" t="n">
        <x:v>125389</x:v>
      </x:c>
      <x:c r="F1468" s="52" t="n">
        <x:v>636026</x:v>
      </x:c>
      <x:c r="G1468" s="54" t="n">
        <x:v>46220</x:v>
      </x:c>
      <x:c r="H1468" s="14" t="str">
        <x:f>IF(E1468&lt;0,"Componente negativo — manter e investigar","OK")</x:f>
        <x:v>OK</x:v>
      </x:c>
    </x:row>
    <x:row r="1469">
      <x:c r="A1469" s="51" t="n">
        <x:v>42644</x:v>
      </x:c>
      <x:c r="B1469" s="14" t="str">
        <x:v>Norte</x:v>
      </x:c>
      <x:c r="C1469" s="14" t="str">
        <x:v>SUDESTE / CENTRO - OESTE</x:v>
      </x:c>
      <x:c r="D1469" s="53" t="str">
        <x:v>Cativo</x:v>
      </x:c>
      <x:c r="E1469" s="49" t="n">
        <x:v>123892</x:v>
      </x:c>
      <x:c r="F1469" s="52" t="n">
        <x:v>547081</x:v>
      </x:c>
      <x:c r="G1469" s="54" t="n">
        <x:v>46220</x:v>
      </x:c>
      <x:c r="H1469" s="14" t="str">
        <x:f>IF(E1469&lt;0,"Componente negativo — manter e investigar","OK")</x:f>
        <x:v>OK</x:v>
      </x:c>
    </x:row>
    <x:row r="1470">
      <x:c r="A1470" s="51" t="n">
        <x:v>42644</x:v>
      </x:c>
      <x:c r="B1470" s="14" t="str">
        <x:v>Sudeste</x:v>
      </x:c>
      <x:c r="C1470" s="14" t="str">
        <x:v>SUDESTE / CENTRO - OESTE</x:v>
      </x:c>
      <x:c r="D1470" s="53" t="str">
        <x:v>Cativo</x:v>
      </x:c>
      <x:c r="E1470" s="49" t="n">
        <x:v>5282756</x:v>
      </x:c>
      <x:c r="F1470" s="52" t="n">
        <x:v>31360457</x:v>
      </x:c>
      <x:c r="G1470" s="54" t="n">
        <x:v>46220</x:v>
      </x:c>
      <x:c r="H1470" s="14" t="str">
        <x:f>IF(E1470&lt;0,"Componente negativo — manter e investigar","OK")</x:f>
        <x:v>OK</x:v>
      </x:c>
    </x:row>
    <x:row r="1471">
      <x:c r="A1471" s="51" t="n">
        <x:v>42644</x:v>
      </x:c>
      <x:c r="B1471" s="14" t="str">
        <x:v>Sul</x:v>
      </x:c>
      <x:c r="C1471" s="14" t="str">
        <x:v>SUL</x:v>
      </x:c>
      <x:c r="D1471" s="53" t="str">
        <x:v>Cativo</x:v>
      </x:c>
      <x:c r="E1471" s="49" t="n">
        <x:v>1596120</x:v>
      </x:c>
      <x:c r="F1471" s="52" t="n">
        <x:v>9703362</x:v>
      </x:c>
      <x:c r="G1471" s="54" t="n">
        <x:v>46220</x:v>
      </x:c>
      <x:c r="H1471" s="14" t="str">
        <x:f>IF(E1471&lt;0,"Componente negativo — manter e investigar","OK")</x:f>
        <x:v>OK</x:v>
      </x:c>
    </x:row>
    <x:row r="1472">
      <x:c r="A1472" s="51" t="n">
        <x:v>42675</x:v>
      </x:c>
      <x:c r="B1472" s="14" t="str">
        <x:v>Centro-Oeste</x:v>
      </x:c>
      <x:c r="C1472" s="14" t="str">
        <x:v>SISTEMAS ISOLADOS</x:v>
      </x:c>
      <x:c r="D1472" s="53" t="str">
        <x:v>Cativo</x:v>
      </x:c>
      <x:c r="E1472" s="49" t="n">
        <x:v>233</x:v>
      </x:c>
      <x:c r="F1472" s="52" t="n">
        <x:v>1322</x:v>
      </x:c>
      <x:c r="G1472" s="54" t="n">
        <x:v>46220</x:v>
      </x:c>
      <x:c r="H1472" s="14" t="str">
        <x:f>IF(E1472&lt;0,"Componente negativo — manter e investigar","OK")</x:f>
        <x:v>OK</x:v>
      </x:c>
    </x:row>
    <x:row r="1473">
      <x:c r="A1473" s="51" t="n">
        <x:v>42675</x:v>
      </x:c>
      <x:c r="B1473" s="14" t="str">
        <x:v>Centro-Oeste</x:v>
      </x:c>
      <x:c r="C1473" s="14" t="str">
        <x:v>SUDESTE / CENTRO - OESTE</x:v>
      </x:c>
      <x:c r="D1473" s="53" t="str">
        <x:v>Cativo</x:v>
      </x:c>
      <x:c r="E1473" s="49" t="n">
        <x:v>954377</x:v>
      </x:c>
      <x:c r="F1473" s="52" t="n">
        <x:v>5215520</x:v>
      </x:c>
      <x:c r="G1473" s="54" t="n">
        <x:v>46220</x:v>
      </x:c>
      <x:c r="H1473" s="14" t="str">
        <x:f>IF(E1473&lt;0,"Componente negativo — manter e investigar","OK")</x:f>
        <x:v>OK</x:v>
      </x:c>
    </x:row>
    <x:row r="1474">
      <x:c r="A1474" s="51" t="n">
        <x:v>42675</x:v>
      </x:c>
      <x:c r="B1474" s="14" t="str">
        <x:v>Nordeste</x:v>
      </x:c>
      <x:c r="C1474" s="14" t="str">
        <x:v>NORDESTE</x:v>
      </x:c>
      <x:c r="D1474" s="53" t="str">
        <x:v>Cativo</x:v>
      </x:c>
      <x:c r="E1474" s="49" t="n">
        <x:v>2032127</x:v>
      </x:c>
      <x:c r="F1474" s="52" t="n">
        <x:v>16352026</x:v>
      </x:c>
      <x:c r="G1474" s="54" t="n">
        <x:v>46220</x:v>
      </x:c>
      <x:c r="H1474" s="14" t="str">
        <x:f>IF(E1474&lt;0,"Componente negativo — manter e investigar","OK")</x:f>
        <x:v>OK</x:v>
      </x:c>
    </x:row>
    <x:row r="1475">
      <x:c r="A1475" s="51" t="n">
        <x:v>42675</x:v>
      </x:c>
      <x:c r="B1475" s="14" t="str">
        <x:v>Nordeste</x:v>
      </x:c>
      <x:c r="C1475" s="14" t="str">
        <x:v>NORTE INTERLIGADO</x:v>
      </x:c>
      <x:c r="D1475" s="53" t="str">
        <x:v>Cativo</x:v>
      </x:c>
      <x:c r="E1475" s="49" t="n">
        <x:v>277462</x:v>
      </x:c>
      <x:c r="F1475" s="52" t="n">
        <x:v>2097154</x:v>
      </x:c>
      <x:c r="G1475" s="54" t="n">
        <x:v>46220</x:v>
      </x:c>
      <x:c r="H1475" s="14" t="str">
        <x:f>IF(E1475&lt;0,"Componente negativo — manter e investigar","OK")</x:f>
        <x:v>OK</x:v>
      </x:c>
    </x:row>
    <x:row r="1476">
      <x:c r="A1476" s="51" t="n">
        <x:v>42675</x:v>
      </x:c>
      <x:c r="B1476" s="14" t="str">
        <x:v>Nordeste</x:v>
      </x:c>
      <x:c r="C1476" s="14" t="str">
        <x:v>SISTEMAS ISOLADOS</x:v>
      </x:c>
      <x:c r="D1476" s="53" t="str">
        <x:v>Cativo</x:v>
      </x:c>
      <x:c r="E1476" s="49" t="n">
        <x:v>420</x:v>
      </x:c>
      <x:c r="F1476" s="52" t="n">
        <x:v>556</x:v>
      </x:c>
      <x:c r="G1476" s="54" t="n">
        <x:v>46220</x:v>
      </x:c>
      <x:c r="H1476" s="14" t="str">
        <x:f>IF(E1476&lt;0,"Componente negativo — manter e investigar","OK")</x:f>
        <x:v>OK</x:v>
      </x:c>
    </x:row>
    <x:row r="1477">
      <x:c r="A1477" s="51" t="n">
        <x:v>42675</x:v>
      </x:c>
      <x:c r="B1477" s="14" t="str">
        <x:v>Norte</x:v>
      </x:c>
      <x:c r="C1477" s="14" t="str">
        <x:v>NORTE INTERLIGADO</x:v>
      </x:c>
      <x:c r="D1477" s="53" t="str">
        <x:v>Cativo</x:v>
      </x:c>
      <x:c r="E1477" s="49" t="n">
        <x:v>584279</x:v>
      </x:c>
      <x:c r="F1477" s="52" t="n">
        <x:v>3102242</x:v>
      </x:c>
      <x:c r="G1477" s="54" t="n">
        <x:v>46220</x:v>
      </x:c>
      <x:c r="H1477" s="14" t="str">
        <x:f>IF(E1477&lt;0,"Componente negativo — manter e investigar","OK")</x:f>
        <x:v>OK</x:v>
      </x:c>
    </x:row>
    <x:row r="1478">
      <x:c r="A1478" s="51" t="n">
        <x:v>42675</x:v>
      </x:c>
      <x:c r="B1478" s="14" t="str">
        <x:v>Norte</x:v>
      </x:c>
      <x:c r="C1478" s="14" t="str">
        <x:v>SISTEMAS ISOLADOS</x:v>
      </x:c>
      <x:c r="D1478" s="53" t="str">
        <x:v>Cativo</x:v>
      </x:c>
      <x:c r="E1478" s="49" t="n">
        <x:v>125391</x:v>
      </x:c>
      <x:c r="F1478" s="52" t="n">
        <x:v>639990</x:v>
      </x:c>
      <x:c r="G1478" s="54" t="n">
        <x:v>46220</x:v>
      </x:c>
      <x:c r="H1478" s="14" t="str">
        <x:f>IF(E1478&lt;0,"Componente negativo — manter e investigar","OK")</x:f>
        <x:v>OK</x:v>
      </x:c>
    </x:row>
    <x:row r="1479">
      <x:c r="A1479" s="51" t="n">
        <x:v>42675</x:v>
      </x:c>
      <x:c r="B1479" s="14" t="str">
        <x:v>Norte</x:v>
      </x:c>
      <x:c r="C1479" s="14" t="str">
        <x:v>SUDESTE / CENTRO - OESTE</x:v>
      </x:c>
      <x:c r="D1479" s="53" t="str">
        <x:v>Cativo</x:v>
      </x:c>
      <x:c r="E1479" s="49" t="n">
        <x:v>124644</x:v>
      </x:c>
      <x:c r="F1479" s="52" t="n">
        <x:v>548684</x:v>
      </x:c>
      <x:c r="G1479" s="54" t="n">
        <x:v>46220</x:v>
      </x:c>
      <x:c r="H1479" s="14" t="str">
        <x:f>IF(E1479&lt;0,"Componente negativo — manter e investigar","OK")</x:f>
        <x:v>OK</x:v>
      </x:c>
    </x:row>
    <x:row r="1480">
      <x:c r="A1480" s="51" t="n">
        <x:v>42675</x:v>
      </x:c>
      <x:c r="B1480" s="14" t="str">
        <x:v>Sudeste</x:v>
      </x:c>
      <x:c r="C1480" s="14" t="str">
        <x:v>SUDESTE / CENTRO - OESTE</x:v>
      </x:c>
      <x:c r="D1480" s="53" t="str">
        <x:v>Cativo</x:v>
      </x:c>
      <x:c r="E1480" s="49" t="n">
        <x:v>5407188</x:v>
      </x:c>
      <x:c r="F1480" s="52" t="n">
        <x:v>31471795</x:v>
      </x:c>
      <x:c r="G1480" s="54" t="n">
        <x:v>46220</x:v>
      </x:c>
      <x:c r="H1480" s="14" t="str">
        <x:f>IF(E1480&lt;0,"Componente negativo — manter e investigar","OK")</x:f>
        <x:v>OK</x:v>
      </x:c>
    </x:row>
    <x:row r="1481">
      <x:c r="A1481" s="51" t="n">
        <x:v>42675</x:v>
      </x:c>
      <x:c r="B1481" s="14" t="str">
        <x:v>Sul</x:v>
      </x:c>
      <x:c r="C1481" s="14" t="str">
        <x:v>SUL</x:v>
      </x:c>
      <x:c r="D1481" s="53" t="str">
        <x:v>Cativo</x:v>
      </x:c>
      <x:c r="E1481" s="49" t="n">
        <x:v>1627834</x:v>
      </x:c>
      <x:c r="F1481" s="52" t="n">
        <x:v>9714957</x:v>
      </x:c>
      <x:c r="G1481" s="54" t="n">
        <x:v>46220</x:v>
      </x:c>
      <x:c r="H1481" s="14" t="str">
        <x:f>IF(E1481&lt;0,"Componente negativo — manter e investigar","OK")</x:f>
        <x:v>OK</x:v>
      </x:c>
    </x:row>
    <x:row r="1482">
      <x:c r="A1482" s="51" t="n">
        <x:v>42705</x:v>
      </x:c>
      <x:c r="B1482" s="14" t="str">
        <x:v>Centro-Oeste</x:v>
      </x:c>
      <x:c r="C1482" s="14" t="str">
        <x:v>SISTEMAS ISOLADOS</x:v>
      </x:c>
      <x:c r="D1482" s="53" t="str">
        <x:v>Cativo</x:v>
      </x:c>
      <x:c r="E1482" s="49" t="n">
        <x:v>234</x:v>
      </x:c>
      <x:c r="F1482" s="52" t="n">
        <x:v>1318</x:v>
      </x:c>
      <x:c r="G1482" s="54" t="n">
        <x:v>46220</x:v>
      </x:c>
      <x:c r="H1482" s="14" t="str">
        <x:f>IF(E1482&lt;0,"Componente negativo — manter e investigar","OK")</x:f>
        <x:v>OK</x:v>
      </x:c>
    </x:row>
    <x:row r="1483">
      <x:c r="A1483" s="51" t="n">
        <x:v>42705</x:v>
      </x:c>
      <x:c r="B1483" s="14" t="str">
        <x:v>Centro-Oeste</x:v>
      </x:c>
      <x:c r="C1483" s="14" t="str">
        <x:v>SUDESTE / CENTRO - OESTE</x:v>
      </x:c>
      <x:c r="D1483" s="53" t="str">
        <x:v>Cativo</x:v>
      </x:c>
      <x:c r="E1483" s="49" t="n">
        <x:v>911520</x:v>
      </x:c>
      <x:c r="F1483" s="52" t="n">
        <x:v>5221783</x:v>
      </x:c>
      <x:c r="G1483" s="54" t="n">
        <x:v>46220</x:v>
      </x:c>
      <x:c r="H1483" s="14" t="str">
        <x:f>IF(E1483&lt;0,"Componente negativo — manter e investigar","OK")</x:f>
        <x:v>OK</x:v>
      </x:c>
    </x:row>
    <x:row r="1484">
      <x:c r="A1484" s="51" t="n">
        <x:v>42705</x:v>
      </x:c>
      <x:c r="B1484" s="14" t="str">
        <x:v>Nordeste</x:v>
      </x:c>
      <x:c r="C1484" s="14" t="str">
        <x:v>NORDESTE</x:v>
      </x:c>
      <x:c r="D1484" s="53" t="str">
        <x:v>Cativo</x:v>
      </x:c>
      <x:c r="E1484" s="49" t="n">
        <x:v>2112443</x:v>
      </x:c>
      <x:c r="F1484" s="52" t="n">
        <x:v>16376945</x:v>
      </x:c>
      <x:c r="G1484" s="54" t="n">
        <x:v>46220</x:v>
      </x:c>
      <x:c r="H1484" s="14" t="str">
        <x:f>IF(E1484&lt;0,"Componente negativo — manter e investigar","OK")</x:f>
        <x:v>OK</x:v>
      </x:c>
    </x:row>
    <x:row r="1485">
      <x:c r="A1485" s="51" t="n">
        <x:v>42705</x:v>
      </x:c>
      <x:c r="B1485" s="14" t="str">
        <x:v>Nordeste</x:v>
      </x:c>
      <x:c r="C1485" s="14" t="str">
        <x:v>NORTE INTERLIGADO</x:v>
      </x:c>
      <x:c r="D1485" s="53" t="str">
        <x:v>Cativo</x:v>
      </x:c>
      <x:c r="E1485" s="49" t="n">
        <x:v>272491</x:v>
      </x:c>
      <x:c r="F1485" s="52" t="n">
        <x:v>2104930</x:v>
      </x:c>
      <x:c r="G1485" s="54" t="n">
        <x:v>46220</x:v>
      </x:c>
      <x:c r="H1485" s="14" t="str">
        <x:f>IF(E1485&lt;0,"Componente negativo — manter e investigar","OK")</x:f>
        <x:v>OK</x:v>
      </x:c>
    </x:row>
    <x:row r="1486">
      <x:c r="A1486" s="51" t="n">
        <x:v>42705</x:v>
      </x:c>
      <x:c r="B1486" s="14" t="str">
        <x:v>Nordeste</x:v>
      </x:c>
      <x:c r="C1486" s="14" t="str">
        <x:v>SISTEMAS ISOLADOS</x:v>
      </x:c>
      <x:c r="D1486" s="53" t="str">
        <x:v>Cativo</x:v>
      </x:c>
      <x:c r="E1486" s="49" t="n">
        <x:v>480</x:v>
      </x:c>
      <x:c r="F1486" s="52" t="n">
        <x:v>571</x:v>
      </x:c>
      <x:c r="G1486" s="54" t="n">
        <x:v>46220</x:v>
      </x:c>
      <x:c r="H1486" s="14" t="str">
        <x:f>IF(E1486&lt;0,"Componente negativo — manter e investigar","OK")</x:f>
        <x:v>OK</x:v>
      </x:c>
    </x:row>
    <x:row r="1487">
      <x:c r="A1487" s="51" t="n">
        <x:v>42705</x:v>
      </x:c>
      <x:c r="B1487" s="14" t="str">
        <x:v>Norte</x:v>
      </x:c>
      <x:c r="C1487" s="14" t="str">
        <x:v>NORTE INTERLIGADO</x:v>
      </x:c>
      <x:c r="D1487" s="53" t="str">
        <x:v>Cativo</x:v>
      </x:c>
      <x:c r="E1487" s="49" t="n">
        <x:v>579633</x:v>
      </x:c>
      <x:c r="F1487" s="52" t="n">
        <x:v>3120843</x:v>
      </x:c>
      <x:c r="G1487" s="54" t="n">
        <x:v>46220</x:v>
      </x:c>
      <x:c r="H1487" s="14" t="str">
        <x:f>IF(E1487&lt;0,"Componente negativo — manter e investigar","OK")</x:f>
        <x:v>OK</x:v>
      </x:c>
    </x:row>
    <x:row r="1488">
      <x:c r="A1488" s="51" t="n">
        <x:v>42705</x:v>
      </x:c>
      <x:c r="B1488" s="14" t="str">
        <x:v>Norte</x:v>
      </x:c>
      <x:c r="C1488" s="14" t="str">
        <x:v>SISTEMAS ISOLADOS</x:v>
      </x:c>
      <x:c r="D1488" s="53" t="str">
        <x:v>Cativo</x:v>
      </x:c>
      <x:c r="E1488" s="49" t="n">
        <x:v>126263</x:v>
      </x:c>
      <x:c r="F1488" s="52" t="n">
        <x:v>641669</x:v>
      </x:c>
      <x:c r="G1488" s="54" t="n">
        <x:v>46220</x:v>
      </x:c>
      <x:c r="H1488" s="14" t="str">
        <x:f>IF(E1488&lt;0,"Componente negativo — manter e investigar","OK")</x:f>
        <x:v>OK</x:v>
      </x:c>
    </x:row>
    <x:row r="1489">
      <x:c r="A1489" s="51" t="n">
        <x:v>42705</x:v>
      </x:c>
      <x:c r="B1489" s="14" t="str">
        <x:v>Norte</x:v>
      </x:c>
      <x:c r="C1489" s="14" t="str">
        <x:v>SUDESTE / CENTRO - OESTE</x:v>
      </x:c>
      <x:c r="D1489" s="53" t="str">
        <x:v>Cativo</x:v>
      </x:c>
      <x:c r="E1489" s="49" t="n">
        <x:v>120149</x:v>
      </x:c>
      <x:c r="F1489" s="52" t="n">
        <x:v>549612</x:v>
      </x:c>
      <x:c r="G1489" s="54" t="n">
        <x:v>46220</x:v>
      </x:c>
      <x:c r="H1489" s="14" t="str">
        <x:f>IF(E1489&lt;0,"Componente negativo — manter e investigar","OK")</x:f>
        <x:v>OK</x:v>
      </x:c>
    </x:row>
    <x:row r="1490">
      <x:c r="A1490" s="51" t="n">
        <x:v>42705</x:v>
      </x:c>
      <x:c r="B1490" s="14" t="str">
        <x:v>Sudeste</x:v>
      </x:c>
      <x:c r="C1490" s="14" t="str">
        <x:v>SUDESTE / CENTRO - OESTE</x:v>
      </x:c>
      <x:c r="D1490" s="53" t="str">
        <x:v>Cativo</x:v>
      </x:c>
      <x:c r="E1490" s="49" t="n">
        <x:v>5543528</x:v>
      </x:c>
      <x:c r="F1490" s="52" t="n">
        <x:v>31513565</x:v>
      </x:c>
      <x:c r="G1490" s="54" t="n">
        <x:v>46220</x:v>
      </x:c>
      <x:c r="H1490" s="14" t="str">
        <x:f>IF(E1490&lt;0,"Componente negativo — manter e investigar","OK")</x:f>
        <x:v>OK</x:v>
      </x:c>
    </x:row>
    <x:row r="1491">
      <x:c r="A1491" s="51" t="n">
        <x:v>42705</x:v>
      </x:c>
      <x:c r="B1491" s="14" t="str">
        <x:v>Sul</x:v>
      </x:c>
      <x:c r="C1491" s="14" t="str">
        <x:v>SUL</x:v>
      </x:c>
      <x:c r="D1491" s="53" t="str">
        <x:v>Cativo</x:v>
      </x:c>
      <x:c r="E1491" s="49" t="n">
        <x:v>1690320</x:v>
      </x:c>
      <x:c r="F1491" s="52" t="n">
        <x:v>9746164</x:v>
      </x:c>
      <x:c r="G1491" s="54" t="n">
        <x:v>46220</x:v>
      </x:c>
      <x:c r="H1491" s="14" t="str">
        <x:f>IF(E1491&lt;0,"Componente negativo — manter e investigar","OK")</x:f>
        <x:v>OK</x:v>
      </x:c>
    </x:row>
    <x:row r="1492">
      <x:c r="A1492" s="51" t="n">
        <x:v>42736</x:v>
      </x:c>
      <x:c r="B1492" s="14" t="str">
        <x:v>Centro-Oeste</x:v>
      </x:c>
      <x:c r="C1492" s="14" t="str">
        <x:v>SISTEMAS ISOLADOS</x:v>
      </x:c>
      <x:c r="D1492" s="53" t="str">
        <x:v>Cativo</x:v>
      </x:c>
      <x:c r="E1492" s="49" t="n">
        <x:v>167</x:v>
      </x:c>
      <x:c r="F1492" s="52" t="n">
        <x:v>882</x:v>
      </x:c>
      <x:c r="G1492" s="54" t="n">
        <x:v>46220</x:v>
      </x:c>
      <x:c r="H1492" s="14" t="str">
        <x:f>IF(E1492&lt;0,"Componente negativo — manter e investigar","OK")</x:f>
        <x:v>OK</x:v>
      </x:c>
    </x:row>
    <x:row r="1493">
      <x:c r="A1493" s="51" t="n">
        <x:v>42736</x:v>
      </x:c>
      <x:c r="B1493" s="14" t="str">
        <x:v>Centro-Oeste</x:v>
      </x:c>
      <x:c r="C1493" s="14" t="str">
        <x:v>SUDESTE / CENTRO - OESTE</x:v>
      </x:c>
      <x:c r="D1493" s="53" t="str">
        <x:v>Cativo</x:v>
      </x:c>
      <x:c r="E1493" s="49" t="n">
        <x:v>943566</x:v>
      </x:c>
      <x:c r="F1493" s="52" t="n">
        <x:v>5182102</x:v>
      </x:c>
      <x:c r="G1493" s="54" t="n">
        <x:v>46220</x:v>
      </x:c>
      <x:c r="H1493" s="14" t="str">
        <x:f>IF(E1493&lt;0,"Componente negativo — manter e investigar","OK")</x:f>
        <x:v>OK</x:v>
      </x:c>
    </x:row>
    <x:row r="1494">
      <x:c r="A1494" s="51" t="n">
        <x:v>42736</x:v>
      </x:c>
      <x:c r="B1494" s="14" t="str">
        <x:v>Nordeste</x:v>
      </x:c>
      <x:c r="C1494" s="14" t="str">
        <x:v>NORDESTE</x:v>
      </x:c>
      <x:c r="D1494" s="53" t="str">
        <x:v>Cativo</x:v>
      </x:c>
      <x:c r="E1494" s="49" t="n">
        <x:v>2025531</x:v>
      </x:c>
      <x:c r="F1494" s="52" t="n">
        <x:v>16414507</x:v>
      </x:c>
      <x:c r="G1494" s="54" t="n">
        <x:v>46220</x:v>
      </x:c>
      <x:c r="H1494" s="14" t="str">
        <x:f>IF(E1494&lt;0,"Componente negativo — manter e investigar","OK")</x:f>
        <x:v>OK</x:v>
      </x:c>
    </x:row>
    <x:row r="1495">
      <x:c r="A1495" s="51" t="n">
        <x:v>42736</x:v>
      </x:c>
      <x:c r="B1495" s="14" t="str">
        <x:v>Nordeste</x:v>
      </x:c>
      <x:c r="C1495" s="14" t="str">
        <x:v>NORTE INTERLIGADO</x:v>
      </x:c>
      <x:c r="D1495" s="53" t="str">
        <x:v>Cativo</x:v>
      </x:c>
      <x:c r="E1495" s="49" t="n">
        <x:v>248893</x:v>
      </x:c>
      <x:c r="F1495" s="52" t="n">
        <x:v>2110307</x:v>
      </x:c>
      <x:c r="G1495" s="54" t="n">
        <x:v>46220</x:v>
      </x:c>
      <x:c r="H1495" s="14" t="str">
        <x:f>IF(E1495&lt;0,"Componente negativo — manter e investigar","OK")</x:f>
        <x:v>OK</x:v>
      </x:c>
    </x:row>
    <x:row r="1496">
      <x:c r="A1496" s="51" t="n">
        <x:v>42736</x:v>
      </x:c>
      <x:c r="B1496" s="14" t="str">
        <x:v>Nordeste</x:v>
      </x:c>
      <x:c r="C1496" s="14" t="str">
        <x:v>SISTEMAS ISOLADOS</x:v>
      </x:c>
      <x:c r="D1496" s="53" t="str">
        <x:v>Cativo</x:v>
      </x:c>
      <x:c r="E1496" s="49" t="n">
        <x:v>456</x:v>
      </x:c>
      <x:c r="F1496" s="52" t="n">
        <x:v>571</x:v>
      </x:c>
      <x:c r="G1496" s="54" t="n">
        <x:v>46220</x:v>
      </x:c>
      <x:c r="H1496" s="14" t="str">
        <x:f>IF(E1496&lt;0,"Componente negativo — manter e investigar","OK")</x:f>
        <x:v>OK</x:v>
      </x:c>
    </x:row>
    <x:row r="1497">
      <x:c r="A1497" s="51" t="n">
        <x:v>42736</x:v>
      </x:c>
      <x:c r="B1497" s="14" t="str">
        <x:v>Norte</x:v>
      </x:c>
      <x:c r="C1497" s="14" t="str">
        <x:v>NORTE INTERLIGADO</x:v>
      </x:c>
      <x:c r="D1497" s="53" t="str">
        <x:v>Cativo</x:v>
      </x:c>
      <x:c r="E1497" s="49" t="n">
        <x:v>514760</x:v>
      </x:c>
      <x:c r="F1497" s="52" t="n">
        <x:v>3128101</x:v>
      </x:c>
      <x:c r="G1497" s="54" t="n">
        <x:v>46220</x:v>
      </x:c>
      <x:c r="H1497" s="14" t="str">
        <x:f>IF(E1497&lt;0,"Componente negativo — manter e investigar","OK")</x:f>
        <x:v>OK</x:v>
      </x:c>
    </x:row>
    <x:row r="1498">
      <x:c r="A1498" s="51" t="n">
        <x:v>42736</x:v>
      </x:c>
      <x:c r="B1498" s="14" t="str">
        <x:v>Norte</x:v>
      </x:c>
      <x:c r="C1498" s="14" t="str">
        <x:v>SISTEMAS ISOLADOS</x:v>
      </x:c>
      <x:c r="D1498" s="53" t="str">
        <x:v>Cativo</x:v>
      </x:c>
      <x:c r="E1498" s="49" t="n">
        <x:v>115069</x:v>
      </x:c>
      <x:c r="F1498" s="52" t="n">
        <x:v>644666</x:v>
      </x:c>
      <x:c r="G1498" s="54" t="n">
        <x:v>46220</x:v>
      </x:c>
      <x:c r="H1498" s="14" t="str">
        <x:f>IF(E1498&lt;0,"Componente negativo — manter e investigar","OK")</x:f>
        <x:v>OK</x:v>
      </x:c>
    </x:row>
    <x:row r="1499">
      <x:c r="A1499" s="51" t="n">
        <x:v>42736</x:v>
      </x:c>
      <x:c r="B1499" s="14" t="str">
        <x:v>Norte</x:v>
      </x:c>
      <x:c r="C1499" s="14" t="str">
        <x:v>SUDESTE / CENTRO - OESTE</x:v>
      </x:c>
      <x:c r="D1499" s="53" t="str">
        <x:v>Cativo</x:v>
      </x:c>
      <x:c r="E1499" s="49" t="n">
        <x:v>116702</x:v>
      </x:c>
      <x:c r="F1499" s="52" t="n">
        <x:v>552218</x:v>
      </x:c>
      <x:c r="G1499" s="54" t="n">
        <x:v>46220</x:v>
      </x:c>
      <x:c r="H1499" s="14" t="str">
        <x:f>IF(E1499&lt;0,"Componente negativo — manter e investigar","OK")</x:f>
        <x:v>OK</x:v>
      </x:c>
    </x:row>
    <x:row r="1500">
      <x:c r="A1500" s="51" t="n">
        <x:v>42736</x:v>
      </x:c>
      <x:c r="B1500" s="14" t="str">
        <x:v>Sudeste</x:v>
      </x:c>
      <x:c r="C1500" s="14" t="str">
        <x:v>SUDESTE / CENTRO - OESTE</x:v>
      </x:c>
      <x:c r="D1500" s="53" t="str">
        <x:v>Cativo</x:v>
      </x:c>
      <x:c r="E1500" s="49" t="n">
        <x:v>5934320</x:v>
      </x:c>
      <x:c r="F1500" s="52" t="n">
        <x:v>31540757</x:v>
      </x:c>
      <x:c r="G1500" s="54" t="n">
        <x:v>46220</x:v>
      </x:c>
      <x:c r="H1500" s="14" t="str">
        <x:f>IF(E1500&lt;0,"Componente negativo — manter e investigar","OK")</x:f>
        <x:v>OK</x:v>
      </x:c>
    </x:row>
    <x:row r="1501">
      <x:c r="A1501" s="51" t="n">
        <x:v>42736</x:v>
      </x:c>
      <x:c r="B1501" s="14" t="str">
        <x:v>Sul</x:v>
      </x:c>
      <x:c r="C1501" s="14" t="str">
        <x:v>SUL</x:v>
      </x:c>
      <x:c r="D1501" s="53" t="str">
        <x:v>Cativo</x:v>
      </x:c>
      <x:c r="E1501" s="49" t="n">
        <x:v>2006171</x:v>
      </x:c>
      <x:c r="F1501" s="52" t="n">
        <x:v>9763908</x:v>
      </x:c>
      <x:c r="G1501" s="54" t="n">
        <x:v>46220</x:v>
      </x:c>
      <x:c r="H1501" s="14" t="str">
        <x:f>IF(E1501&lt;0,"Componente negativo — manter e investigar","OK")</x:f>
        <x:v>OK</x:v>
      </x:c>
    </x:row>
    <x:row r="1502">
      <x:c r="A1502" s="51" t="n">
        <x:v>42767</x:v>
      </x:c>
      <x:c r="B1502" s="14" t="str">
        <x:v>Centro-Oeste</x:v>
      </x:c>
      <x:c r="C1502" s="14" t="str">
        <x:v>SISTEMAS ISOLADOS</x:v>
      </x:c>
      <x:c r="D1502" s="53" t="str">
        <x:v>Cativo</x:v>
      </x:c>
      <x:c r="E1502" s="49" t="n">
        <x:v>157</x:v>
      </x:c>
      <x:c r="F1502" s="52" t="n">
        <x:v>868</x:v>
      </x:c>
      <x:c r="G1502" s="54" t="n">
        <x:v>46220</x:v>
      </x:c>
      <x:c r="H1502" s="14" t="str">
        <x:f>IF(E1502&lt;0,"Componente negativo — manter e investigar","OK")</x:f>
        <x:v>OK</x:v>
      </x:c>
    </x:row>
    <x:row r="1503">
      <x:c r="A1503" s="51" t="n">
        <x:v>42767</x:v>
      </x:c>
      <x:c r="B1503" s="14" t="str">
        <x:v>Centro-Oeste</x:v>
      </x:c>
      <x:c r="C1503" s="14" t="str">
        <x:v>SUDESTE / CENTRO - OESTE</x:v>
      </x:c>
      <x:c r="D1503" s="53" t="str">
        <x:v>Cativo</x:v>
      </x:c>
      <x:c r="E1503" s="49" t="n">
        <x:v>898130</x:v>
      </x:c>
      <x:c r="F1503" s="52" t="n">
        <x:v>5188705</x:v>
      </x:c>
      <x:c r="G1503" s="54" t="n">
        <x:v>46220</x:v>
      </x:c>
      <x:c r="H1503" s="14" t="str">
        <x:f>IF(E1503&lt;0,"Componente negativo — manter e investigar","OK")</x:f>
        <x:v>OK</x:v>
      </x:c>
    </x:row>
    <x:row r="1504">
      <x:c r="A1504" s="51" t="n">
        <x:v>42767</x:v>
      </x:c>
      <x:c r="B1504" s="14" t="str">
        <x:v>Nordeste</x:v>
      </x:c>
      <x:c r="C1504" s="14" t="str">
        <x:v>NORDESTE</x:v>
      </x:c>
      <x:c r="D1504" s="53" t="str">
        <x:v>Cativo</x:v>
      </x:c>
      <x:c r="E1504" s="49" t="n">
        <x:v>1974120</x:v>
      </x:c>
      <x:c r="F1504" s="52" t="n">
        <x:v>16443164</x:v>
      </x:c>
      <x:c r="G1504" s="54" t="n">
        <x:v>46220</x:v>
      </x:c>
      <x:c r="H1504" s="14" t="str">
        <x:f>IF(E1504&lt;0,"Componente negativo — manter e investigar","OK")</x:f>
        <x:v>OK</x:v>
      </x:c>
    </x:row>
    <x:row r="1505">
      <x:c r="A1505" s="51" t="n">
        <x:v>42767</x:v>
      </x:c>
      <x:c r="B1505" s="14" t="str">
        <x:v>Nordeste</x:v>
      </x:c>
      <x:c r="C1505" s="14" t="str">
        <x:v>NORTE INTERLIGADO</x:v>
      </x:c>
      <x:c r="D1505" s="53" t="str">
        <x:v>Cativo</x:v>
      </x:c>
      <x:c r="E1505" s="49" t="n">
        <x:v>241009</x:v>
      </x:c>
      <x:c r="F1505" s="52" t="n">
        <x:v>2113580</x:v>
      </x:c>
      <x:c r="G1505" s="54" t="n">
        <x:v>46220</x:v>
      </x:c>
      <x:c r="H1505" s="14" t="str">
        <x:f>IF(E1505&lt;0,"Componente negativo — manter e investigar","OK")</x:f>
        <x:v>OK</x:v>
      </x:c>
    </x:row>
    <x:row r="1506">
      <x:c r="A1506" s="51" t="n">
        <x:v>42767</x:v>
      </x:c>
      <x:c r="B1506" s="14" t="str">
        <x:v>Nordeste</x:v>
      </x:c>
      <x:c r="C1506" s="14" t="str">
        <x:v>SISTEMAS ISOLADOS</x:v>
      </x:c>
      <x:c r="D1506" s="53" t="str">
        <x:v>Cativo</x:v>
      </x:c>
      <x:c r="E1506" s="49" t="n">
        <x:v>454</x:v>
      </x:c>
      <x:c r="F1506" s="52" t="n">
        <x:v>574</x:v>
      </x:c>
      <x:c r="G1506" s="54" t="n">
        <x:v>46220</x:v>
      </x:c>
      <x:c r="H1506" s="14" t="str">
        <x:f>IF(E1506&lt;0,"Componente negativo — manter e investigar","OK")</x:f>
        <x:v>OK</x:v>
      </x:c>
    </x:row>
    <x:row r="1507">
      <x:c r="A1507" s="51" t="n">
        <x:v>42767</x:v>
      </x:c>
      <x:c r="B1507" s="14" t="str">
        <x:v>Norte</x:v>
      </x:c>
      <x:c r="C1507" s="14" t="str">
        <x:v>NORTE INTERLIGADO</x:v>
      </x:c>
      <x:c r="D1507" s="53" t="str">
        <x:v>Cativo</x:v>
      </x:c>
      <x:c r="E1507" s="49" t="n">
        <x:v>460753</x:v>
      </x:c>
      <x:c r="F1507" s="52" t="n">
        <x:v>3124043</x:v>
      </x:c>
      <x:c r="G1507" s="54" t="n">
        <x:v>46220</x:v>
      </x:c>
      <x:c r="H1507" s="14" t="str">
        <x:f>IF(E1507&lt;0,"Componente negativo — manter e investigar","OK")</x:f>
        <x:v>OK</x:v>
      </x:c>
    </x:row>
    <x:row r="1508">
      <x:c r="A1508" s="51" t="n">
        <x:v>42767</x:v>
      </x:c>
      <x:c r="B1508" s="14" t="str">
        <x:v>Norte</x:v>
      </x:c>
      <x:c r="C1508" s="14" t="str">
        <x:v>SISTEMAS ISOLADOS</x:v>
      </x:c>
      <x:c r="D1508" s="53" t="str">
        <x:v>Cativo</x:v>
      </x:c>
      <x:c r="E1508" s="49" t="n">
        <x:v>109259</x:v>
      </x:c>
      <x:c r="F1508" s="52" t="n">
        <x:v>645824</x:v>
      </x:c>
      <x:c r="G1508" s="54" t="n">
        <x:v>46220</x:v>
      </x:c>
      <x:c r="H1508" s="14" t="str">
        <x:f>IF(E1508&lt;0,"Componente negativo — manter e investigar","OK")</x:f>
        <x:v>OK</x:v>
      </x:c>
    </x:row>
    <x:row r="1509">
      <x:c r="A1509" s="51" t="n">
        <x:v>42767</x:v>
      </x:c>
      <x:c r="B1509" s="14" t="str">
        <x:v>Norte</x:v>
      </x:c>
      <x:c r="C1509" s="14" t="str">
        <x:v>SUDESTE / CENTRO - OESTE</x:v>
      </x:c>
      <x:c r="D1509" s="53" t="str">
        <x:v>Cativo</x:v>
      </x:c>
      <x:c r="E1509" s="49" t="n">
        <x:v>108112</x:v>
      </x:c>
      <x:c r="F1509" s="52" t="n">
        <x:v>551831</x:v>
      </x:c>
      <x:c r="G1509" s="54" t="n">
        <x:v>46220</x:v>
      </x:c>
      <x:c r="H1509" s="14" t="str">
        <x:f>IF(E1509&lt;0,"Componente negativo — manter e investigar","OK")</x:f>
        <x:v>OK</x:v>
      </x:c>
    </x:row>
    <x:row r="1510">
      <x:c r="A1510" s="51" t="n">
        <x:v>42767</x:v>
      </x:c>
      <x:c r="B1510" s="14" t="str">
        <x:v>Sudeste</x:v>
      </x:c>
      <x:c r="C1510" s="14" t="str">
        <x:v>SUDESTE / CENTRO - OESTE</x:v>
      </x:c>
      <x:c r="D1510" s="53" t="str">
        <x:v>Cativo</x:v>
      </x:c>
      <x:c r="E1510" s="49" t="n">
        <x:v>5629171</x:v>
      </x:c>
      <x:c r="F1510" s="52" t="n">
        <x:v>31613446</x:v>
      </x:c>
      <x:c r="G1510" s="54" t="n">
        <x:v>46220</x:v>
      </x:c>
      <x:c r="H1510" s="14" t="str">
        <x:f>IF(E1510&lt;0,"Componente negativo — manter e investigar","OK")</x:f>
        <x:v>OK</x:v>
      </x:c>
    </x:row>
    <x:row r="1511">
      <x:c r="A1511" s="51" t="n">
        <x:v>42767</x:v>
      </x:c>
      <x:c r="B1511" s="14" t="str">
        <x:v>Sudeste</x:v>
      </x:c>
      <x:c r="C1511" s="14" t="str">
        <x:v>SUDESTE / CENTRO - OESTE</x:v>
      </x:c>
      <x:c r="D1511" s="53" t="str">
        <x:v>Livre</x:v>
      </x:c>
      <x:c r="E1511" s="49" t="n">
        <x:v>350</x:v>
      </x:c>
      <x:c r="F1511" s="52" t="n">
        <x:v>1</x:v>
      </x:c>
      <x:c r="G1511" s="54" t="n">
        <x:v>46220</x:v>
      </x:c>
      <x:c r="H1511" s="14" t="str">
        <x:f>IF(E1511&lt;0,"Componente negativo — manter e investigar","OK")</x:f>
        <x:v>OK</x:v>
      </x:c>
    </x:row>
    <x:row r="1512">
      <x:c r="A1512" s="51" t="n">
        <x:v>42767</x:v>
      </x:c>
      <x:c r="B1512" s="14" t="str">
        <x:v>Sul</x:v>
      </x:c>
      <x:c r="C1512" s="14" t="str">
        <x:v>SUL</x:v>
      </x:c>
      <x:c r="D1512" s="53" t="str">
        <x:v>Cativo</x:v>
      </x:c>
      <x:c r="E1512" s="49" t="n">
        <x:v>1948153</x:v>
      </x:c>
      <x:c r="F1512" s="52" t="n">
        <x:v>9771581</x:v>
      </x:c>
      <x:c r="G1512" s="54" t="n">
        <x:v>46220</x:v>
      </x:c>
      <x:c r="H1512" s="14" t="str">
        <x:f>IF(E1512&lt;0,"Componente negativo — manter e investigar","OK")</x:f>
        <x:v>OK</x:v>
      </x:c>
    </x:row>
    <x:row r="1513">
      <x:c r="A1513" s="51" t="n">
        <x:v>42795</x:v>
      </x:c>
      <x:c r="B1513" s="14" t="str">
        <x:v>Centro-Oeste</x:v>
      </x:c>
      <x:c r="C1513" s="14" t="str">
        <x:v>SISTEMAS ISOLADOS</x:v>
      </x:c>
      <x:c r="D1513" s="53" t="str">
        <x:v>Cativo</x:v>
      </x:c>
      <x:c r="E1513" s="49" t="n">
        <x:v>158</x:v>
      </x:c>
      <x:c r="F1513" s="52" t="n">
        <x:v>874</x:v>
      </x:c>
      <x:c r="G1513" s="54" t="n">
        <x:v>46220</x:v>
      </x:c>
      <x:c r="H1513" s="14" t="str">
        <x:f>IF(E1513&lt;0,"Componente negativo — manter e investigar","OK")</x:f>
        <x:v>OK</x:v>
      </x:c>
    </x:row>
    <x:row r="1514">
      <x:c r="A1514" s="51" t="n">
        <x:v>42795</x:v>
      </x:c>
      <x:c r="B1514" s="14" t="str">
        <x:v>Centro-Oeste</x:v>
      </x:c>
      <x:c r="C1514" s="14" t="str">
        <x:v>SUDESTE / CENTRO - OESTE</x:v>
      </x:c>
      <x:c r="D1514" s="53" t="str">
        <x:v>Cativo</x:v>
      </x:c>
      <x:c r="E1514" s="49" t="n">
        <x:v>960229</x:v>
      </x:c>
      <x:c r="F1514" s="52" t="n">
        <x:v>5201981</x:v>
      </x:c>
      <x:c r="G1514" s="54" t="n">
        <x:v>46220</x:v>
      </x:c>
      <x:c r="H1514" s="14" t="str">
        <x:f>IF(E1514&lt;0,"Componente negativo — manter e investigar","OK")</x:f>
        <x:v>OK</x:v>
      </x:c>
    </x:row>
    <x:row r="1515">
      <x:c r="A1515" s="51" t="n">
        <x:v>42795</x:v>
      </x:c>
      <x:c r="B1515" s="14" t="str">
        <x:v>Nordeste</x:v>
      </x:c>
      <x:c r="C1515" s="14" t="str">
        <x:v>NORDESTE</x:v>
      </x:c>
      <x:c r="D1515" s="53" t="str">
        <x:v>Cativo</x:v>
      </x:c>
      <x:c r="E1515" s="49" t="n">
        <x:v>2101578</x:v>
      </x:c>
      <x:c r="F1515" s="52" t="n">
        <x:v>16476953</x:v>
      </x:c>
      <x:c r="G1515" s="54" t="n">
        <x:v>46220</x:v>
      </x:c>
      <x:c r="H1515" s="14" t="str">
        <x:f>IF(E1515&lt;0,"Componente negativo — manter e investigar","OK")</x:f>
        <x:v>OK</x:v>
      </x:c>
    </x:row>
    <x:row r="1516">
      <x:c r="A1516" s="51" t="n">
        <x:v>42795</x:v>
      </x:c>
      <x:c r="B1516" s="14" t="str">
        <x:v>Nordeste</x:v>
      </x:c>
      <x:c r="C1516" s="14" t="str">
        <x:v>NORTE INTERLIGADO</x:v>
      </x:c>
      <x:c r="D1516" s="53" t="str">
        <x:v>Cativo</x:v>
      </x:c>
      <x:c r="E1516" s="49" t="n">
        <x:v>233830</x:v>
      </x:c>
      <x:c r="F1516" s="52" t="n">
        <x:v>2124267</x:v>
      </x:c>
      <x:c r="G1516" s="54" t="n">
        <x:v>46220</x:v>
      </x:c>
      <x:c r="H1516" s="14" t="str">
        <x:f>IF(E1516&lt;0,"Componente negativo — manter e investigar","OK")</x:f>
        <x:v>OK</x:v>
      </x:c>
    </x:row>
    <x:row r="1517">
      <x:c r="A1517" s="51" t="n">
        <x:v>42795</x:v>
      </x:c>
      <x:c r="B1517" s="14" t="str">
        <x:v>Nordeste</x:v>
      </x:c>
      <x:c r="C1517" s="14" t="str">
        <x:v>SISTEMAS ISOLADOS</x:v>
      </x:c>
      <x:c r="D1517" s="53" t="str">
        <x:v>Cativo</x:v>
      </x:c>
      <x:c r="E1517" s="49" t="n">
        <x:v>480</x:v>
      </x:c>
      <x:c r="F1517" s="52" t="n">
        <x:v>575</x:v>
      </x:c>
      <x:c r="G1517" s="54" t="n">
        <x:v>46220</x:v>
      </x:c>
      <x:c r="H1517" s="14" t="str">
        <x:f>IF(E1517&lt;0,"Componente negativo — manter e investigar","OK")</x:f>
        <x:v>OK</x:v>
      </x:c>
    </x:row>
    <x:row r="1518">
      <x:c r="A1518" s="51" t="n">
        <x:v>42795</x:v>
      </x:c>
      <x:c r="B1518" s="14" t="str">
        <x:v>Norte</x:v>
      </x:c>
      <x:c r="C1518" s="14" t="str">
        <x:v>NORTE INTERLIGADO</x:v>
      </x:c>
      <x:c r="D1518" s="53" t="str">
        <x:v>Cativo</x:v>
      </x:c>
      <x:c r="E1518" s="49" t="n">
        <x:v>493487</x:v>
      </x:c>
      <x:c r="F1518" s="52" t="n">
        <x:v>3159274</x:v>
      </x:c>
      <x:c r="G1518" s="54" t="n">
        <x:v>46220</x:v>
      </x:c>
      <x:c r="H1518" s="14" t="str">
        <x:f>IF(E1518&lt;0,"Componente negativo — manter e investigar","OK")</x:f>
        <x:v>OK</x:v>
      </x:c>
    </x:row>
    <x:row r="1519">
      <x:c r="A1519" s="51" t="n">
        <x:v>42795</x:v>
      </x:c>
      <x:c r="B1519" s="14" t="str">
        <x:v>Norte</x:v>
      </x:c>
      <x:c r="C1519" s="14" t="str">
        <x:v>SISTEMAS ISOLADOS</x:v>
      </x:c>
      <x:c r="D1519" s="53" t="str">
        <x:v>Cativo</x:v>
      </x:c>
      <x:c r="E1519" s="49" t="n">
        <x:v>113922</x:v>
      </x:c>
      <x:c r="F1519" s="52" t="n">
        <x:v>644193</x:v>
      </x:c>
      <x:c r="G1519" s="54" t="n">
        <x:v>46220</x:v>
      </x:c>
      <x:c r="H1519" s="14" t="str">
        <x:f>IF(E1519&lt;0,"Componente negativo — manter e investigar","OK")</x:f>
        <x:v>OK</x:v>
      </x:c>
    </x:row>
    <x:row r="1520">
      <x:c r="A1520" s="51" t="n">
        <x:v>42795</x:v>
      </x:c>
      <x:c r="B1520" s="14" t="str">
        <x:v>Norte</x:v>
      </x:c>
      <x:c r="C1520" s="14" t="str">
        <x:v>SUDESTE / CENTRO - OESTE</x:v>
      </x:c>
      <x:c r="D1520" s="53" t="str">
        <x:v>Cativo</x:v>
      </x:c>
      <x:c r="E1520" s="49" t="n">
        <x:v>117679</x:v>
      </x:c>
      <x:c r="F1520" s="52" t="n">
        <x:v>554991</x:v>
      </x:c>
      <x:c r="G1520" s="54" t="n">
        <x:v>46220</x:v>
      </x:c>
      <x:c r="H1520" s="14" t="str">
        <x:f>IF(E1520&lt;0,"Componente negativo — manter e investigar","OK")</x:f>
        <x:v>OK</x:v>
      </x:c>
    </x:row>
    <x:row r="1521">
      <x:c r="A1521" s="51" t="n">
        <x:v>42795</x:v>
      </x:c>
      <x:c r="B1521" s="14" t="str">
        <x:v>Sudeste</x:v>
      </x:c>
      <x:c r="C1521" s="14" t="str">
        <x:v>SUDESTE / CENTRO - OESTE</x:v>
      </x:c>
      <x:c r="D1521" s="53" t="str">
        <x:v>Cativo</x:v>
      </x:c>
      <x:c r="E1521" s="49" t="n">
        <x:v>6041636</x:v>
      </x:c>
      <x:c r="F1521" s="52" t="n">
        <x:v>31655582</x:v>
      </x:c>
      <x:c r="G1521" s="54" t="n">
        <x:v>46220</x:v>
      </x:c>
      <x:c r="H1521" s="14" t="str">
        <x:f>IF(E1521&lt;0,"Componente negativo — manter e investigar","OK")</x:f>
        <x:v>OK</x:v>
      </x:c>
    </x:row>
    <x:row r="1522">
      <x:c r="A1522" s="51" t="n">
        <x:v>42795</x:v>
      </x:c>
      <x:c r="B1522" s="14" t="str">
        <x:v>Sudeste</x:v>
      </x:c>
      <x:c r="C1522" s="14" t="str">
        <x:v>SUDESTE / CENTRO - OESTE</x:v>
      </x:c>
      <x:c r="D1522" s="53" t="str">
        <x:v>Livre</x:v>
      </x:c>
      <x:c r="E1522" s="49" t="n">
        <x:v>357</x:v>
      </x:c>
      <x:c r="F1522" s="52" t="n">
        <x:v>1</x:v>
      </x:c>
      <x:c r="G1522" s="54" t="n">
        <x:v>46220</x:v>
      </x:c>
      <x:c r="H1522" s="14" t="str">
        <x:f>IF(E1522&lt;0,"Componente negativo — manter e investigar","OK")</x:f>
        <x:v>OK</x:v>
      </x:c>
    </x:row>
    <x:row r="1523">
      <x:c r="A1523" s="51" t="n">
        <x:v>42795</x:v>
      </x:c>
      <x:c r="B1523" s="14" t="str">
        <x:v>Sul</x:v>
      </x:c>
      <x:c r="C1523" s="14" t="str">
        <x:v>SUL</x:v>
      </x:c>
      <x:c r="D1523" s="53" t="str">
        <x:v>Cativo</x:v>
      </x:c>
      <x:c r="E1523" s="49" t="n">
        <x:v>2085597</x:v>
      </x:c>
      <x:c r="F1523" s="52" t="n">
        <x:v>9809129</x:v>
      </x:c>
      <x:c r="G1523" s="54" t="n">
        <x:v>46220</x:v>
      </x:c>
      <x:c r="H1523" s="14" t="str">
        <x:f>IF(E1523&lt;0,"Componente negativo — manter e investigar","OK")</x:f>
        <x:v>OK</x:v>
      </x:c>
    </x:row>
    <x:row r="1524">
      <x:c r="A1524" s="51" t="n">
        <x:v>42826</x:v>
      </x:c>
      <x:c r="B1524" s="14" t="str">
        <x:v>Centro-Oeste</x:v>
      </x:c>
      <x:c r="C1524" s="14" t="str">
        <x:v>SISTEMAS ISOLADOS</x:v>
      </x:c>
      <x:c r="D1524" s="53" t="str">
        <x:v>Cativo</x:v>
      </x:c>
      <x:c r="E1524" s="49" t="n">
        <x:v>162</x:v>
      </x:c>
      <x:c r="F1524" s="52" t="n">
        <x:v>883</x:v>
      </x:c>
      <x:c r="G1524" s="54" t="n">
        <x:v>46220</x:v>
      </x:c>
      <x:c r="H1524" s="14" t="str">
        <x:f>IF(E1524&lt;0,"Componente negativo — manter e investigar","OK")</x:f>
        <x:v>OK</x:v>
      </x:c>
    </x:row>
    <x:row r="1525">
      <x:c r="A1525" s="51" t="n">
        <x:v>42826</x:v>
      </x:c>
      <x:c r="B1525" s="14" t="str">
        <x:v>Centro-Oeste</x:v>
      </x:c>
      <x:c r="C1525" s="14" t="str">
        <x:v>SUDESTE / CENTRO - OESTE</x:v>
      </x:c>
      <x:c r="D1525" s="53" t="str">
        <x:v>Cativo</x:v>
      </x:c>
      <x:c r="E1525" s="49" t="n">
        <x:v>967383</x:v>
      </x:c>
      <x:c r="F1525" s="52" t="n">
        <x:v>5216663</x:v>
      </x:c>
      <x:c r="G1525" s="54" t="n">
        <x:v>46220</x:v>
      </x:c>
      <x:c r="H1525" s="14" t="str">
        <x:f>IF(E1525&lt;0,"Componente negativo — manter e investigar","OK")</x:f>
        <x:v>OK</x:v>
      </x:c>
    </x:row>
    <x:row r="1526">
      <x:c r="A1526" s="51" t="n">
        <x:v>42826</x:v>
      </x:c>
      <x:c r="B1526" s="14" t="str">
        <x:v>Nordeste</x:v>
      </x:c>
      <x:c r="C1526" s="14" t="str">
        <x:v>NORDESTE</x:v>
      </x:c>
      <x:c r="D1526" s="53" t="str">
        <x:v>Cativo</x:v>
      </x:c>
      <x:c r="E1526" s="49" t="n">
        <x:v>2031910</x:v>
      </x:c>
      <x:c r="F1526" s="52" t="n">
        <x:v>16506054</x:v>
      </x:c>
      <x:c r="G1526" s="54" t="n">
        <x:v>46220</x:v>
      </x:c>
      <x:c r="H1526" s="14" t="str">
        <x:f>IF(E1526&lt;0,"Componente negativo — manter e investigar","OK")</x:f>
        <x:v>OK</x:v>
      </x:c>
    </x:row>
    <x:row r="1527">
      <x:c r="A1527" s="51" t="n">
        <x:v>42826</x:v>
      </x:c>
      <x:c r="B1527" s="14" t="str">
        <x:v>Nordeste</x:v>
      </x:c>
      <x:c r="C1527" s="14" t="str">
        <x:v>NORTE INTERLIGADO</x:v>
      </x:c>
      <x:c r="D1527" s="53" t="str">
        <x:v>Cativo</x:v>
      </x:c>
      <x:c r="E1527" s="49" t="n">
        <x:v>248702</x:v>
      </x:c>
      <x:c r="F1527" s="52" t="n">
        <x:v>2126192</x:v>
      </x:c>
      <x:c r="G1527" s="54" t="n">
        <x:v>46220</x:v>
      </x:c>
      <x:c r="H1527" s="14" t="str">
        <x:f>IF(E1527&lt;0,"Componente negativo — manter e investigar","OK")</x:f>
        <x:v>OK</x:v>
      </x:c>
    </x:row>
    <x:row r="1528">
      <x:c r="A1528" s="51" t="n">
        <x:v>42826</x:v>
      </x:c>
      <x:c r="B1528" s="14" t="str">
        <x:v>Nordeste</x:v>
      </x:c>
      <x:c r="C1528" s="14" t="str">
        <x:v>SISTEMAS ISOLADOS</x:v>
      </x:c>
      <x:c r="D1528" s="53" t="str">
        <x:v>Cativo</x:v>
      </x:c>
      <x:c r="E1528" s="49" t="n">
        <x:v>455</x:v>
      </x:c>
      <x:c r="F1528" s="52" t="n">
        <x:v>576</x:v>
      </x:c>
      <x:c r="G1528" s="54" t="n">
        <x:v>46220</x:v>
      </x:c>
      <x:c r="H1528" s="14" t="str">
        <x:f>IF(E1528&lt;0,"Componente negativo — manter e investigar","OK")</x:f>
        <x:v>OK</x:v>
      </x:c>
    </x:row>
    <x:row r="1529">
      <x:c r="A1529" s="51" t="n">
        <x:v>42826</x:v>
      </x:c>
      <x:c r="B1529" s="14" t="str">
        <x:v>Norte</x:v>
      </x:c>
      <x:c r="C1529" s="14" t="str">
        <x:v>NORTE INTERLIGADO</x:v>
      </x:c>
      <x:c r="D1529" s="53" t="str">
        <x:v>Cativo</x:v>
      </x:c>
      <x:c r="E1529" s="49" t="n">
        <x:v>499916</x:v>
      </x:c>
      <x:c r="F1529" s="52" t="n">
        <x:v>3170163</x:v>
      </x:c>
      <x:c r="G1529" s="54" t="n">
        <x:v>46220</x:v>
      </x:c>
      <x:c r="H1529" s="14" t="str">
        <x:f>IF(E1529&lt;0,"Componente negativo — manter e investigar","OK")</x:f>
        <x:v>OK</x:v>
      </x:c>
    </x:row>
    <x:row r="1530">
      <x:c r="A1530" s="51" t="n">
        <x:v>42826</x:v>
      </x:c>
      <x:c r="B1530" s="14" t="str">
        <x:v>Norte</x:v>
      </x:c>
      <x:c r="C1530" s="14" t="str">
        <x:v>SISTEMAS ISOLADOS</x:v>
      </x:c>
      <x:c r="D1530" s="53" t="str">
        <x:v>Cativo</x:v>
      </x:c>
      <x:c r="E1530" s="49" t="n">
        <x:v>110796</x:v>
      </x:c>
      <x:c r="F1530" s="52" t="n">
        <x:v>639095</x:v>
      </x:c>
      <x:c r="G1530" s="54" t="n">
        <x:v>46220</x:v>
      </x:c>
      <x:c r="H1530" s="14" t="str">
        <x:f>IF(E1530&lt;0,"Componente negativo — manter e investigar","OK")</x:f>
        <x:v>OK</x:v>
      </x:c>
    </x:row>
    <x:row r="1531">
      <x:c r="A1531" s="51" t="n">
        <x:v>42826</x:v>
      </x:c>
      <x:c r="B1531" s="14" t="str">
        <x:v>Norte</x:v>
      </x:c>
      <x:c r="C1531" s="14" t="str">
        <x:v>SUDESTE / CENTRO - OESTE</x:v>
      </x:c>
      <x:c r="D1531" s="53" t="str">
        <x:v>Cativo</x:v>
      </x:c>
      <x:c r="E1531" s="49" t="n">
        <x:v>114614</x:v>
      </x:c>
      <x:c r="F1531" s="52" t="n">
        <x:v>555636</x:v>
      </x:c>
      <x:c r="G1531" s="54" t="n">
        <x:v>46220</x:v>
      </x:c>
      <x:c r="H1531" s="14" t="str">
        <x:f>IF(E1531&lt;0,"Componente negativo — manter e investigar","OK")</x:f>
        <x:v>OK</x:v>
      </x:c>
    </x:row>
    <x:row r="1532">
      <x:c r="A1532" s="51" t="n">
        <x:v>42826</x:v>
      </x:c>
      <x:c r="B1532" s="14" t="str">
        <x:v>Sudeste</x:v>
      </x:c>
      <x:c r="C1532" s="14" t="str">
        <x:v>SUDESTE / CENTRO - OESTE</x:v>
      </x:c>
      <x:c r="D1532" s="53" t="str">
        <x:v>Cativo</x:v>
      </x:c>
      <x:c r="E1532" s="49" t="n">
        <x:v>5431212</x:v>
      </x:c>
      <x:c r="F1532" s="52" t="n">
        <x:v>31657504</x:v>
      </x:c>
      <x:c r="G1532" s="54" t="n">
        <x:v>46220</x:v>
      </x:c>
      <x:c r="H1532" s="14" t="str">
        <x:f>IF(E1532&lt;0,"Componente negativo — manter e investigar","OK")</x:f>
        <x:v>OK</x:v>
      </x:c>
    </x:row>
    <x:row r="1533">
      <x:c r="A1533" s="51" t="n">
        <x:v>42826</x:v>
      </x:c>
      <x:c r="B1533" s="14" t="str">
        <x:v>Sudeste</x:v>
      </x:c>
      <x:c r="C1533" s="14" t="str">
        <x:v>SUDESTE / CENTRO - OESTE</x:v>
      </x:c>
      <x:c r="D1533" s="53" t="str">
        <x:v>Livre</x:v>
      </x:c>
      <x:c r="E1533" s="49" t="n">
        <x:v>394</x:v>
      </x:c>
      <x:c r="F1533" s="52" t="n">
        <x:v>1</x:v>
      </x:c>
      <x:c r="G1533" s="54" t="n">
        <x:v>46220</x:v>
      </x:c>
      <x:c r="H1533" s="14" t="str">
        <x:f>IF(E1533&lt;0,"Componente negativo — manter e investigar","OK")</x:f>
        <x:v>OK</x:v>
      </x:c>
    </x:row>
    <x:row r="1534">
      <x:c r="A1534" s="51" t="n">
        <x:v>42826</x:v>
      </x:c>
      <x:c r="B1534" s="14" t="str">
        <x:v>Sul</x:v>
      </x:c>
      <x:c r="C1534" s="14" t="str">
        <x:v>SUL</x:v>
      </x:c>
      <x:c r="D1534" s="53" t="str">
        <x:v>Cativo</x:v>
      </x:c>
      <x:c r="E1534" s="49" t="n">
        <x:v>1729936</x:v>
      </x:c>
      <x:c r="F1534" s="52" t="n">
        <x:v>9814524</x:v>
      </x:c>
      <x:c r="G1534" s="54" t="n">
        <x:v>46220</x:v>
      </x:c>
      <x:c r="H1534" s="14" t="str">
        <x:f>IF(E1534&lt;0,"Componente negativo — manter e investigar","OK")</x:f>
        <x:v>OK</x:v>
      </x:c>
    </x:row>
    <x:row r="1535">
      <x:c r="A1535" s="51" t="n">
        <x:v>42856</x:v>
      </x:c>
      <x:c r="B1535" s="14" t="str">
        <x:v>Centro-Oeste</x:v>
      </x:c>
      <x:c r="C1535" s="14" t="str">
        <x:v>SISTEMAS ISOLADOS</x:v>
      </x:c>
      <x:c r="D1535" s="53" t="str">
        <x:v>Cativo</x:v>
      </x:c>
      <x:c r="E1535" s="49" t="n">
        <x:v>159</x:v>
      </x:c>
      <x:c r="F1535" s="52" t="n">
        <x:v>875</x:v>
      </x:c>
      <x:c r="G1535" s="54" t="n">
        <x:v>46220</x:v>
      </x:c>
      <x:c r="H1535" s="14" t="str">
        <x:f>IF(E1535&lt;0,"Componente negativo — manter e investigar","OK")</x:f>
        <x:v>OK</x:v>
      </x:c>
    </x:row>
    <x:row r="1536">
      <x:c r="A1536" s="51" t="n">
        <x:v>42856</x:v>
      </x:c>
      <x:c r="B1536" s="14" t="str">
        <x:v>Centro-Oeste</x:v>
      </x:c>
      <x:c r="C1536" s="14" t="str">
        <x:v>SUDESTE / CENTRO - OESTE</x:v>
      </x:c>
      <x:c r="D1536" s="53" t="str">
        <x:v>Cativo</x:v>
      </x:c>
      <x:c r="E1536" s="49" t="n">
        <x:v>934400</x:v>
      </x:c>
      <x:c r="F1536" s="52" t="n">
        <x:v>5233489</x:v>
      </x:c>
      <x:c r="G1536" s="54" t="n">
        <x:v>46220</x:v>
      </x:c>
      <x:c r="H1536" s="14" t="str">
        <x:f>IF(E1536&lt;0,"Componente negativo — manter e investigar","OK")</x:f>
        <x:v>OK</x:v>
      </x:c>
    </x:row>
    <x:row r="1537">
      <x:c r="A1537" s="51" t="n">
        <x:v>42856</x:v>
      </x:c>
      <x:c r="B1537" s="14" t="str">
        <x:v>Nordeste</x:v>
      </x:c>
      <x:c r="C1537" s="14" t="str">
        <x:v>NORDESTE</x:v>
      </x:c>
      <x:c r="D1537" s="53" t="str">
        <x:v>Cativo</x:v>
      </x:c>
      <x:c r="E1537" s="49" t="n">
        <x:v>2068685</x:v>
      </x:c>
      <x:c r="F1537" s="52" t="n">
        <x:v>16534151</x:v>
      </x:c>
      <x:c r="G1537" s="54" t="n">
        <x:v>46220</x:v>
      </x:c>
      <x:c r="H1537" s="14" t="str">
        <x:f>IF(E1537&lt;0,"Componente negativo — manter e investigar","OK")</x:f>
        <x:v>OK</x:v>
      </x:c>
    </x:row>
    <x:row r="1538">
      <x:c r="A1538" s="51" t="n">
        <x:v>42856</x:v>
      </x:c>
      <x:c r="B1538" s="14" t="str">
        <x:v>Nordeste</x:v>
      </x:c>
      <x:c r="C1538" s="14" t="str">
        <x:v>NORTE INTERLIGADO</x:v>
      </x:c>
      <x:c r="D1538" s="53" t="str">
        <x:v>Cativo</x:v>
      </x:c>
      <x:c r="E1538" s="49" t="n">
        <x:v>252771</x:v>
      </x:c>
      <x:c r="F1538" s="52" t="n">
        <x:v>2135964</x:v>
      </x:c>
      <x:c r="G1538" s="54" t="n">
        <x:v>46220</x:v>
      </x:c>
      <x:c r="H1538" s="14" t="str">
        <x:f>IF(E1538&lt;0,"Componente negativo — manter e investigar","OK")</x:f>
        <x:v>OK</x:v>
      </x:c>
    </x:row>
    <x:row r="1539">
      <x:c r="A1539" s="51" t="n">
        <x:v>42856</x:v>
      </x:c>
      <x:c r="B1539" s="14" t="str">
        <x:v>Nordeste</x:v>
      </x:c>
      <x:c r="C1539" s="14" t="str">
        <x:v>SISTEMAS ISOLADOS</x:v>
      </x:c>
      <x:c r="D1539" s="53" t="str">
        <x:v>Cativo</x:v>
      </x:c>
      <x:c r="E1539" s="49" t="n">
        <x:v>462</x:v>
      </x:c>
      <x:c r="F1539" s="52" t="n">
        <x:v>576</x:v>
      </x:c>
      <x:c r="G1539" s="54" t="n">
        <x:v>46220</x:v>
      </x:c>
      <x:c r="H1539" s="14" t="str">
        <x:f>IF(E1539&lt;0,"Componente negativo — manter e investigar","OK")</x:f>
        <x:v>OK</x:v>
      </x:c>
    </x:row>
    <x:row r="1540">
      <x:c r="A1540" s="51" t="n">
        <x:v>42856</x:v>
      </x:c>
      <x:c r="B1540" s="14" t="str">
        <x:v>Norte</x:v>
      </x:c>
      <x:c r="C1540" s="14" t="str">
        <x:v>NORTE INTERLIGADO</x:v>
      </x:c>
      <x:c r="D1540" s="53" t="str">
        <x:v>Cativo</x:v>
      </x:c>
      <x:c r="E1540" s="49" t="n">
        <x:v>550795</x:v>
      </x:c>
      <x:c r="F1540" s="52" t="n">
        <x:v>3211629</x:v>
      </x:c>
      <x:c r="G1540" s="54" t="n">
        <x:v>46220</x:v>
      </x:c>
      <x:c r="H1540" s="14" t="str">
        <x:f>IF(E1540&lt;0,"Componente negativo — manter e investigar","OK")</x:f>
        <x:v>OK</x:v>
      </x:c>
    </x:row>
    <x:row r="1541">
      <x:c r="A1541" s="51" t="n">
        <x:v>42856</x:v>
      </x:c>
      <x:c r="B1541" s="14" t="str">
        <x:v>Norte</x:v>
      </x:c>
      <x:c r="C1541" s="14" t="str">
        <x:v>SISTEMAS ISOLADOS</x:v>
      </x:c>
      <x:c r="D1541" s="53" t="str">
        <x:v>Cativo</x:v>
      </x:c>
      <x:c r="E1541" s="49" t="n">
        <x:v>115485</x:v>
      </x:c>
      <x:c r="F1541" s="52" t="n">
        <x:v>633666</x:v>
      </x:c>
      <x:c r="G1541" s="54" t="n">
        <x:v>46220</x:v>
      </x:c>
      <x:c r="H1541" s="14" t="str">
        <x:f>IF(E1541&lt;0,"Componente negativo — manter e investigar","OK")</x:f>
        <x:v>OK</x:v>
      </x:c>
    </x:row>
    <x:row r="1542">
      <x:c r="A1542" s="51" t="n">
        <x:v>42856</x:v>
      </x:c>
      <x:c r="B1542" s="14" t="str">
        <x:v>Norte</x:v>
      </x:c>
      <x:c r="C1542" s="14" t="str">
        <x:v>SUDESTE / CENTRO - OESTE</x:v>
      </x:c>
      <x:c r="D1542" s="53" t="str">
        <x:v>Cativo</x:v>
      </x:c>
      <x:c r="E1542" s="49" t="n">
        <x:v>125501</x:v>
      </x:c>
      <x:c r="F1542" s="52" t="n">
        <x:v>557729</x:v>
      </x:c>
      <x:c r="G1542" s="54" t="n">
        <x:v>46220</x:v>
      </x:c>
      <x:c r="H1542" s="14" t="str">
        <x:f>IF(E1542&lt;0,"Componente negativo — manter e investigar","OK")</x:f>
        <x:v>OK</x:v>
      </x:c>
    </x:row>
    <x:row r="1543">
      <x:c r="A1543" s="51" t="n">
        <x:v>42856</x:v>
      </x:c>
      <x:c r="B1543" s="14" t="str">
        <x:v>Sudeste</x:v>
      </x:c>
      <x:c r="C1543" s="14" t="str">
        <x:v>SUDESTE / CENTRO - OESTE</x:v>
      </x:c>
      <x:c r="D1543" s="53" t="str">
        <x:v>Cativo</x:v>
      </x:c>
      <x:c r="E1543" s="49" t="n">
        <x:v>5290492</x:v>
      </x:c>
      <x:c r="F1543" s="52" t="n">
        <x:v>31738688</x:v>
      </x:c>
      <x:c r="G1543" s="54" t="n">
        <x:v>46220</x:v>
      </x:c>
      <x:c r="H1543" s="14" t="str">
        <x:f>IF(E1543&lt;0,"Componente negativo — manter e investigar","OK")</x:f>
        <x:v>OK</x:v>
      </x:c>
    </x:row>
    <x:row r="1544">
      <x:c r="A1544" s="51" t="n">
        <x:v>42856</x:v>
      </x:c>
      <x:c r="B1544" s="14" t="str">
        <x:v>Sudeste</x:v>
      </x:c>
      <x:c r="C1544" s="14" t="str">
        <x:v>SUDESTE / CENTRO - OESTE</x:v>
      </x:c>
      <x:c r="D1544" s="53" t="str">
        <x:v>Livre</x:v>
      </x:c>
      <x:c r="E1544" s="49" t="n">
        <x:v>343</x:v>
      </x:c>
      <x:c r="F1544" s="52" t="n">
        <x:v>1</x:v>
      </x:c>
      <x:c r="G1544" s="54" t="n">
        <x:v>46220</x:v>
      </x:c>
      <x:c r="H1544" s="14" t="str">
        <x:f>IF(E1544&lt;0,"Componente negativo — manter e investigar","OK")</x:f>
        <x:v>OK</x:v>
      </x:c>
    </x:row>
    <x:row r="1545">
      <x:c r="A1545" s="51" t="n">
        <x:v>42856</x:v>
      </x:c>
      <x:c r="B1545" s="14" t="str">
        <x:v>Sul</x:v>
      </x:c>
      <x:c r="C1545" s="14" t="str">
        <x:v>SUL</x:v>
      </x:c>
      <x:c r="D1545" s="53" t="str">
        <x:v>Cativo</x:v>
      </x:c>
      <x:c r="E1545" s="49" t="n">
        <x:v>1599966</x:v>
      </x:c>
      <x:c r="F1545" s="52" t="n">
        <x:v>9841031</x:v>
      </x:c>
      <x:c r="G1545" s="54" t="n">
        <x:v>46220</x:v>
      </x:c>
      <x:c r="H1545" s="14" t="str">
        <x:f>IF(E1545&lt;0,"Componente negativo — manter e investigar","OK")</x:f>
        <x:v>OK</x:v>
      </x:c>
    </x:row>
    <x:row r="1546">
      <x:c r="A1546" s="51" t="n">
        <x:v>42887</x:v>
      </x:c>
      <x:c r="B1546" s="14" t="str">
        <x:v>Centro-Oeste</x:v>
      </x:c>
      <x:c r="C1546" s="14" t="str">
        <x:v>SISTEMAS ISOLADOS</x:v>
      </x:c>
      <x:c r="D1546" s="53" t="str">
        <x:v>Cativo</x:v>
      </x:c>
      <x:c r="E1546" s="49" t="n">
        <x:v>164</x:v>
      </x:c>
      <x:c r="F1546" s="52" t="n">
        <x:v>883</x:v>
      </x:c>
      <x:c r="G1546" s="54" t="n">
        <x:v>46220</x:v>
      </x:c>
      <x:c r="H1546" s="14" t="str">
        <x:f>IF(E1546&lt;0,"Componente negativo — manter e investigar","OK")</x:f>
        <x:v>OK</x:v>
      </x:c>
    </x:row>
    <x:row r="1547">
      <x:c r="A1547" s="51" t="n">
        <x:v>42887</x:v>
      </x:c>
      <x:c r="B1547" s="14" t="str">
        <x:v>Centro-Oeste</x:v>
      </x:c>
      <x:c r="C1547" s="14" t="str">
        <x:v>SUDESTE / CENTRO - OESTE</x:v>
      </x:c>
      <x:c r="D1547" s="53" t="str">
        <x:v>Cativo</x:v>
      </x:c>
      <x:c r="E1547" s="49" t="n">
        <x:v>918121</x:v>
      </x:c>
      <x:c r="F1547" s="52" t="n">
        <x:v>5253551</x:v>
      </x:c>
      <x:c r="G1547" s="54" t="n">
        <x:v>46220</x:v>
      </x:c>
      <x:c r="H1547" s="14" t="str">
        <x:f>IF(E1547&lt;0,"Componente negativo — manter e investigar","OK")</x:f>
        <x:v>OK</x:v>
      </x:c>
    </x:row>
    <x:row r="1548">
      <x:c r="A1548" s="51" t="n">
        <x:v>42887</x:v>
      </x:c>
      <x:c r="B1548" s="14" t="str">
        <x:v>Nordeste</x:v>
      </x:c>
      <x:c r="C1548" s="14" t="str">
        <x:v>NORDESTE</x:v>
      </x:c>
      <x:c r="D1548" s="53" t="str">
        <x:v>Cativo</x:v>
      </x:c>
      <x:c r="E1548" s="49" t="n">
        <x:v>1980310</x:v>
      </x:c>
      <x:c r="F1548" s="52" t="n">
        <x:v>16579341</x:v>
      </x:c>
      <x:c r="G1548" s="54" t="n">
        <x:v>46220</x:v>
      </x:c>
      <x:c r="H1548" s="14" t="str">
        <x:f>IF(E1548&lt;0,"Componente negativo — manter e investigar","OK")</x:f>
        <x:v>OK</x:v>
      </x:c>
    </x:row>
    <x:row r="1549">
      <x:c r="A1549" s="51" t="n">
        <x:v>42887</x:v>
      </x:c>
      <x:c r="B1549" s="14" t="str">
        <x:v>Nordeste</x:v>
      </x:c>
      <x:c r="C1549" s="14" t="str">
        <x:v>NORTE INTERLIGADO</x:v>
      </x:c>
      <x:c r="D1549" s="53" t="str">
        <x:v>Cativo</x:v>
      </x:c>
      <x:c r="E1549" s="49" t="n">
        <x:v>260894</x:v>
      </x:c>
      <x:c r="F1549" s="52" t="n">
        <x:v>2139342</x:v>
      </x:c>
      <x:c r="G1549" s="54" t="n">
        <x:v>46220</x:v>
      </x:c>
      <x:c r="H1549" s="14" t="str">
        <x:f>IF(E1549&lt;0,"Componente negativo — manter e investigar","OK")</x:f>
        <x:v>OK</x:v>
      </x:c>
    </x:row>
    <x:row r="1550">
      <x:c r="A1550" s="51" t="n">
        <x:v>42887</x:v>
      </x:c>
      <x:c r="B1550" s="14" t="str">
        <x:v>Nordeste</x:v>
      </x:c>
      <x:c r="C1550" s="14" t="str">
        <x:v>SISTEMAS ISOLADOS</x:v>
      </x:c>
      <x:c r="D1550" s="53" t="str">
        <x:v>Cativo</x:v>
      </x:c>
      <x:c r="E1550" s="49" t="n">
        <x:v>488</x:v>
      </x:c>
      <x:c r="F1550" s="52" t="n">
        <x:v>579</x:v>
      </x:c>
      <x:c r="G1550" s="54" t="n">
        <x:v>46220</x:v>
      </x:c>
      <x:c r="H1550" s="14" t="str">
        <x:f>IF(E1550&lt;0,"Componente negativo — manter e investigar","OK")</x:f>
        <x:v>OK</x:v>
      </x:c>
    </x:row>
    <x:row r="1551">
      <x:c r="A1551" s="51" t="n">
        <x:v>42887</x:v>
      </x:c>
      <x:c r="B1551" s="14" t="str">
        <x:v>Norte</x:v>
      </x:c>
      <x:c r="C1551" s="14" t="str">
        <x:v>NORTE INTERLIGADO</x:v>
      </x:c>
      <x:c r="D1551" s="53" t="str">
        <x:v>Cativo</x:v>
      </x:c>
      <x:c r="E1551" s="49" t="n">
        <x:v>565815</x:v>
      </x:c>
      <x:c r="F1551" s="52" t="n">
        <x:v>3206562</x:v>
      </x:c>
      <x:c r="G1551" s="54" t="n">
        <x:v>46220</x:v>
      </x:c>
      <x:c r="H1551" s="14" t="str">
        <x:f>IF(E1551&lt;0,"Componente negativo — manter e investigar","OK")</x:f>
        <x:v>OK</x:v>
      </x:c>
    </x:row>
    <x:row r="1552">
      <x:c r="A1552" s="51" t="n">
        <x:v>42887</x:v>
      </x:c>
      <x:c r="B1552" s="14" t="str">
        <x:v>Norte</x:v>
      </x:c>
      <x:c r="C1552" s="14" t="str">
        <x:v>SISTEMAS ISOLADOS</x:v>
      </x:c>
      <x:c r="D1552" s="53" t="str">
        <x:v>Cativo</x:v>
      </x:c>
      <x:c r="E1552" s="49" t="n">
        <x:v>115493</x:v>
      </x:c>
      <x:c r="F1552" s="52" t="n">
        <x:v>635917</x:v>
      </x:c>
      <x:c r="G1552" s="54" t="n">
        <x:v>46220</x:v>
      </x:c>
      <x:c r="H1552" s="14" t="str">
        <x:f>IF(E1552&lt;0,"Componente negativo — manter e investigar","OK")</x:f>
        <x:v>OK</x:v>
      </x:c>
    </x:row>
    <x:row r="1553">
      <x:c r="A1553" s="51" t="n">
        <x:v>42887</x:v>
      </x:c>
      <x:c r="B1553" s="14" t="str">
        <x:v>Norte</x:v>
      </x:c>
      <x:c r="C1553" s="14" t="str">
        <x:v>SUDESTE / CENTRO - OESTE</x:v>
      </x:c>
      <x:c r="D1553" s="53" t="str">
        <x:v>Cativo</x:v>
      </x:c>
      <x:c r="E1553" s="49" t="n">
        <x:v>124965</x:v>
      </x:c>
      <x:c r="F1553" s="52" t="n">
        <x:v>560705</x:v>
      </x:c>
      <x:c r="G1553" s="54" t="n">
        <x:v>46220</x:v>
      </x:c>
      <x:c r="H1553" s="14" t="str">
        <x:f>IF(E1553&lt;0,"Componente negativo — manter e investigar","OK")</x:f>
        <x:v>OK</x:v>
      </x:c>
    </x:row>
    <x:row r="1554">
      <x:c r="A1554" s="51" t="n">
        <x:v>42887</x:v>
      </x:c>
      <x:c r="B1554" s="14" t="str">
        <x:v>Sudeste</x:v>
      </x:c>
      <x:c r="C1554" s="14" t="str">
        <x:v>SUDESTE / CENTRO - OESTE</x:v>
      </x:c>
      <x:c r="D1554" s="53" t="str">
        <x:v>Cativo</x:v>
      </x:c>
      <x:c r="E1554" s="49" t="n">
        <x:v>5139257</x:v>
      </x:c>
      <x:c r="F1554" s="52" t="n">
        <x:v>31760503</x:v>
      </x:c>
      <x:c r="G1554" s="54" t="n">
        <x:v>46220</x:v>
      </x:c>
      <x:c r="H1554" s="14" t="str">
        <x:f>IF(E1554&lt;0,"Componente negativo — manter e investigar","OK")</x:f>
        <x:v>OK</x:v>
      </x:c>
    </x:row>
    <x:row r="1555">
      <x:c r="A1555" s="51" t="n">
        <x:v>42887</x:v>
      </x:c>
      <x:c r="B1555" s="14" t="str">
        <x:v>Sudeste</x:v>
      </x:c>
      <x:c r="C1555" s="14" t="str">
        <x:v>SUDESTE / CENTRO - OESTE</x:v>
      </x:c>
      <x:c r="D1555" s="53" t="str">
        <x:v>Livre</x:v>
      </x:c>
      <x:c r="E1555" s="49" t="n">
        <x:v>348</x:v>
      </x:c>
      <x:c r="F1555" s="52" t="n">
        <x:v>1</x:v>
      </x:c>
      <x:c r="G1555" s="54" t="n">
        <x:v>46220</x:v>
      </x:c>
      <x:c r="H1555" s="14" t="str">
        <x:f>IF(E1555&lt;0,"Componente negativo — manter e investigar","OK")</x:f>
        <x:v>OK</x:v>
      </x:c>
    </x:row>
    <x:row r="1556">
      <x:c r="A1556" s="51" t="n">
        <x:v>42887</x:v>
      </x:c>
      <x:c r="B1556" s="14" t="str">
        <x:v>Sul</x:v>
      </x:c>
      <x:c r="C1556" s="14" t="str">
        <x:v>SUL</x:v>
      </x:c>
      <x:c r="D1556" s="53" t="str">
        <x:v>Cativo</x:v>
      </x:c>
      <x:c r="E1556" s="49" t="n">
        <x:v>1684856</x:v>
      </x:c>
      <x:c r="F1556" s="52" t="n">
        <x:v>9853527</x:v>
      </x:c>
      <x:c r="G1556" s="54" t="n">
        <x:v>46220</x:v>
      </x:c>
      <x:c r="H1556" s="14" t="str">
        <x:f>IF(E1556&lt;0,"Componente negativo — manter e investigar","OK")</x:f>
        <x:v>OK</x:v>
      </x:c>
    </x:row>
    <x:row r="1557">
      <x:c r="A1557" s="51" t="n">
        <x:v>42917</x:v>
      </x:c>
      <x:c r="B1557" s="14" t="str">
        <x:v>Centro-Oeste</x:v>
      </x:c>
      <x:c r="C1557" s="14" t="str">
        <x:v>SISTEMAS ISOLADOS</x:v>
      </x:c>
      <x:c r="D1557" s="53" t="str">
        <x:v>Cativo</x:v>
      </x:c>
      <x:c r="E1557" s="49" t="n">
        <x:v>179</x:v>
      </x:c>
      <x:c r="F1557" s="52" t="n">
        <x:v>893</x:v>
      </x:c>
      <x:c r="G1557" s="54" t="n">
        <x:v>46220</x:v>
      </x:c>
      <x:c r="H1557" s="14" t="str">
        <x:f>IF(E1557&lt;0,"Componente negativo — manter e investigar","OK")</x:f>
        <x:v>OK</x:v>
      </x:c>
    </x:row>
    <x:row r="1558">
      <x:c r="A1558" s="51" t="n">
        <x:v>42917</x:v>
      </x:c>
      <x:c r="B1558" s="14" t="str">
        <x:v>Centro-Oeste</x:v>
      </x:c>
      <x:c r="C1558" s="14" t="str">
        <x:v>SUDESTE / CENTRO - OESTE</x:v>
      </x:c>
      <x:c r="D1558" s="53" t="str">
        <x:v>Cativo</x:v>
      </x:c>
      <x:c r="E1558" s="49" t="n">
        <x:v>835058</x:v>
      </x:c>
      <x:c r="F1558" s="52" t="n">
        <x:v>5268552</x:v>
      </x:c>
      <x:c r="G1558" s="54" t="n">
        <x:v>46220</x:v>
      </x:c>
      <x:c r="H1558" s="14" t="str">
        <x:f>IF(E1558&lt;0,"Componente negativo — manter e investigar","OK")</x:f>
        <x:v>OK</x:v>
      </x:c>
    </x:row>
    <x:row r="1559">
      <x:c r="A1559" s="51" t="n">
        <x:v>42917</x:v>
      </x:c>
      <x:c r="B1559" s="14" t="str">
        <x:v>Nordeste</x:v>
      </x:c>
      <x:c r="C1559" s="14" t="str">
        <x:v>NORDESTE</x:v>
      </x:c>
      <x:c r="D1559" s="53" t="str">
        <x:v>Cativo</x:v>
      </x:c>
      <x:c r="E1559" s="49" t="n">
        <x:v>1826421</x:v>
      </x:c>
      <x:c r="F1559" s="52" t="n">
        <x:v>16605427</x:v>
      </x:c>
      <x:c r="G1559" s="54" t="n">
        <x:v>46220</x:v>
      </x:c>
      <x:c r="H1559" s="14" t="str">
        <x:f>IF(E1559&lt;0,"Componente negativo — manter e investigar","OK")</x:f>
        <x:v>OK</x:v>
      </x:c>
    </x:row>
    <x:row r="1560">
      <x:c r="A1560" s="51" t="n">
        <x:v>42917</x:v>
      </x:c>
      <x:c r="B1560" s="14" t="str">
        <x:v>Nordeste</x:v>
      </x:c>
      <x:c r="C1560" s="14" t="str">
        <x:v>NORTE INTERLIGADO</x:v>
      </x:c>
      <x:c r="D1560" s="53" t="str">
        <x:v>Cativo</x:v>
      </x:c>
      <x:c r="E1560" s="49" t="n">
        <x:v>258316</x:v>
      </x:c>
      <x:c r="F1560" s="52" t="n">
        <x:v>2149635</x:v>
      </x:c>
      <x:c r="G1560" s="54" t="n">
        <x:v>46220</x:v>
      </x:c>
      <x:c r="H1560" s="14" t="str">
        <x:f>IF(E1560&lt;0,"Componente negativo — manter e investigar","OK")</x:f>
        <x:v>OK</x:v>
      </x:c>
    </x:row>
    <x:row r="1561">
      <x:c r="A1561" s="51" t="n">
        <x:v>42917</x:v>
      </x:c>
      <x:c r="B1561" s="14" t="str">
        <x:v>Nordeste</x:v>
      </x:c>
      <x:c r="C1561" s="14" t="str">
        <x:v>SISTEMAS ISOLADOS</x:v>
      </x:c>
      <x:c r="D1561" s="53" t="str">
        <x:v>Cativo</x:v>
      </x:c>
      <x:c r="E1561" s="49" t="n">
        <x:v>428</x:v>
      </x:c>
      <x:c r="F1561" s="52" t="n">
        <x:v>580</x:v>
      </x:c>
      <x:c r="G1561" s="54" t="n">
        <x:v>46220</x:v>
      </x:c>
      <x:c r="H1561" s="14" t="str">
        <x:f>IF(E1561&lt;0,"Componente negativo — manter e investigar","OK")</x:f>
        <x:v>OK</x:v>
      </x:c>
    </x:row>
    <x:row r="1562">
      <x:c r="A1562" s="51" t="n">
        <x:v>42917</x:v>
      </x:c>
      <x:c r="B1562" s="14" t="str">
        <x:v>Norte</x:v>
      </x:c>
      <x:c r="C1562" s="14" t="str">
        <x:v>NORTE INTERLIGADO</x:v>
      </x:c>
      <x:c r="D1562" s="53" t="str">
        <x:v>Cativo</x:v>
      </x:c>
      <x:c r="E1562" s="49" t="n">
        <x:v>535163</x:v>
      </x:c>
      <x:c r="F1562" s="52" t="n">
        <x:v>3225875</x:v>
      </x:c>
      <x:c r="G1562" s="54" t="n">
        <x:v>46220</x:v>
      </x:c>
      <x:c r="H1562" s="14" t="str">
        <x:f>IF(E1562&lt;0,"Componente negativo — manter e investigar","OK")</x:f>
        <x:v>OK</x:v>
      </x:c>
    </x:row>
    <x:row r="1563">
      <x:c r="A1563" s="51" t="n">
        <x:v>42917</x:v>
      </x:c>
      <x:c r="B1563" s="14" t="str">
        <x:v>Norte</x:v>
      </x:c>
      <x:c r="C1563" s="14" t="str">
        <x:v>SISTEMAS ISOLADOS</x:v>
      </x:c>
      <x:c r="D1563" s="53" t="str">
        <x:v>Cativo</x:v>
      </x:c>
      <x:c r="E1563" s="49" t="n">
        <x:v>112570</x:v>
      </x:c>
      <x:c r="F1563" s="52" t="n">
        <x:v>639058</x:v>
      </x:c>
      <x:c r="G1563" s="54" t="n">
        <x:v>46220</x:v>
      </x:c>
      <x:c r="H1563" s="14" t="str">
        <x:f>IF(E1563&lt;0,"Componente negativo — manter e investigar","OK")</x:f>
        <x:v>OK</x:v>
      </x:c>
    </x:row>
    <x:row r="1564">
      <x:c r="A1564" s="51" t="n">
        <x:v>42917</x:v>
      </x:c>
      <x:c r="B1564" s="14" t="str">
        <x:v>Norte</x:v>
      </x:c>
      <x:c r="C1564" s="14" t="str">
        <x:v>SUDESTE / CENTRO - OESTE</x:v>
      </x:c>
      <x:c r="D1564" s="53" t="str">
        <x:v>Cativo</x:v>
      </x:c>
      <x:c r="E1564" s="49" t="n">
        <x:v>119757</x:v>
      </x:c>
      <x:c r="F1564" s="52" t="n">
        <x:v>564379</x:v>
      </x:c>
      <x:c r="G1564" s="54" t="n">
        <x:v>46220</x:v>
      </x:c>
      <x:c r="H1564" s="14" t="str">
        <x:f>IF(E1564&lt;0,"Componente negativo — manter e investigar","OK")</x:f>
        <x:v>OK</x:v>
      </x:c>
    </x:row>
    <x:row r="1565">
      <x:c r="A1565" s="51" t="n">
        <x:v>42917</x:v>
      </x:c>
      <x:c r="B1565" s="14" t="str">
        <x:v>Sudeste</x:v>
      </x:c>
      <x:c r="C1565" s="14" t="str">
        <x:v>SUDESTE / CENTRO - OESTE</x:v>
      </x:c>
      <x:c r="D1565" s="53" t="str">
        <x:v>Cativo</x:v>
      </x:c>
      <x:c r="E1565" s="49" t="n">
        <x:v>5061003</x:v>
      </x:c>
      <x:c r="F1565" s="52" t="n">
        <x:v>31804409</x:v>
      </x:c>
      <x:c r="G1565" s="54" t="n">
        <x:v>46220</x:v>
      </x:c>
      <x:c r="H1565" s="14" t="str">
        <x:f>IF(E1565&lt;0,"Componente negativo — manter e investigar","OK")</x:f>
        <x:v>OK</x:v>
      </x:c>
    </x:row>
    <x:row r="1566">
      <x:c r="A1566" s="51" t="n">
        <x:v>42917</x:v>
      </x:c>
      <x:c r="B1566" s="14" t="str">
        <x:v>Sudeste</x:v>
      </x:c>
      <x:c r="C1566" s="14" t="str">
        <x:v>SUDESTE / CENTRO - OESTE</x:v>
      </x:c>
      <x:c r="D1566" s="53" t="str">
        <x:v>Livre</x:v>
      </x:c>
      <x:c r="E1566" s="49" t="n">
        <x:v>384</x:v>
      </x:c>
      <x:c r="F1566" s="52" t="n">
        <x:v>1</x:v>
      </x:c>
      <x:c r="G1566" s="54" t="n">
        <x:v>46220</x:v>
      </x:c>
      <x:c r="H1566" s="14" t="str">
        <x:f>IF(E1566&lt;0,"Componente negativo — manter e investigar","OK")</x:f>
        <x:v>OK</x:v>
      </x:c>
    </x:row>
    <x:row r="1567">
      <x:c r="A1567" s="51" t="n">
        <x:v>42917</x:v>
      </x:c>
      <x:c r="B1567" s="14" t="str">
        <x:v>Sul</x:v>
      </x:c>
      <x:c r="C1567" s="14" t="str">
        <x:v>SUL</x:v>
      </x:c>
      <x:c r="D1567" s="53" t="str">
        <x:v>Cativo</x:v>
      </x:c>
      <x:c r="E1567" s="49" t="n">
        <x:v>1679450</x:v>
      </x:c>
      <x:c r="F1567" s="52" t="n">
        <x:v>9870802</x:v>
      </x:c>
      <x:c r="G1567" s="54" t="n">
        <x:v>46220</x:v>
      </x:c>
      <x:c r="H1567" s="14" t="str">
        <x:f>IF(E1567&lt;0,"Componente negativo — manter e investigar","OK")</x:f>
        <x:v>OK</x:v>
      </x:c>
    </x:row>
    <x:row r="1568">
      <x:c r="A1568" s="51" t="n">
        <x:v>42948</x:v>
      </x:c>
      <x:c r="B1568" s="14" t="str">
        <x:v>Centro-Oeste</x:v>
      </x:c>
      <x:c r="C1568" s="14" t="str">
        <x:v>SISTEMAS ISOLADOS</x:v>
      </x:c>
      <x:c r="D1568" s="53" t="str">
        <x:v>Cativo</x:v>
      </x:c>
      <x:c r="E1568" s="49" t="n">
        <x:v>162</x:v>
      </x:c>
      <x:c r="F1568" s="52" t="n">
        <x:v>885</x:v>
      </x:c>
      <x:c r="G1568" s="54" t="n">
        <x:v>46220</x:v>
      </x:c>
      <x:c r="H1568" s="14" t="str">
        <x:f>IF(E1568&lt;0,"Componente negativo — manter e investigar","OK")</x:f>
        <x:v>OK</x:v>
      </x:c>
    </x:row>
    <x:row r="1569">
      <x:c r="A1569" s="51" t="n">
        <x:v>42948</x:v>
      </x:c>
      <x:c r="B1569" s="14" t="str">
        <x:v>Centro-Oeste</x:v>
      </x:c>
      <x:c r="C1569" s="14" t="str">
        <x:v>SUDESTE / CENTRO - OESTE</x:v>
      </x:c>
      <x:c r="D1569" s="53" t="str">
        <x:v>Cativo</x:v>
      </x:c>
      <x:c r="E1569" s="49" t="n">
        <x:v>876719</x:v>
      </x:c>
      <x:c r="F1569" s="52" t="n">
        <x:v>5279977</x:v>
      </x:c>
      <x:c r="G1569" s="54" t="n">
        <x:v>46220</x:v>
      </x:c>
      <x:c r="H1569" s="14" t="str">
        <x:f>IF(E1569&lt;0,"Componente negativo — manter e investigar","OK")</x:f>
        <x:v>OK</x:v>
      </x:c>
    </x:row>
    <x:row r="1570">
      <x:c r="A1570" s="51" t="n">
        <x:v>42948</x:v>
      </x:c>
      <x:c r="B1570" s="14" t="str">
        <x:v>Nordeste</x:v>
      </x:c>
      <x:c r="C1570" s="14" t="str">
        <x:v>NORDESTE</x:v>
      </x:c>
      <x:c r="D1570" s="53" t="str">
        <x:v>Cativo</x:v>
      </x:c>
      <x:c r="E1570" s="49" t="n">
        <x:v>1840330</x:v>
      </x:c>
      <x:c r="F1570" s="52" t="n">
        <x:v>16634154</x:v>
      </x:c>
      <x:c r="G1570" s="54" t="n">
        <x:v>46220</x:v>
      </x:c>
      <x:c r="H1570" s="14" t="str">
        <x:f>IF(E1570&lt;0,"Componente negativo — manter e investigar","OK")</x:f>
        <x:v>OK</x:v>
      </x:c>
    </x:row>
    <x:row r="1571">
      <x:c r="A1571" s="51" t="n">
        <x:v>42948</x:v>
      </x:c>
      <x:c r="B1571" s="14" t="str">
        <x:v>Nordeste</x:v>
      </x:c>
      <x:c r="C1571" s="14" t="str">
        <x:v>NORTE INTERLIGADO</x:v>
      </x:c>
      <x:c r="D1571" s="53" t="str">
        <x:v>Cativo</x:v>
      </x:c>
      <x:c r="E1571" s="49" t="n">
        <x:v>269359</x:v>
      </x:c>
      <x:c r="F1571" s="52" t="n">
        <x:v>2158486</x:v>
      </x:c>
      <x:c r="G1571" s="54" t="n">
        <x:v>46220</x:v>
      </x:c>
      <x:c r="H1571" s="14" t="str">
        <x:f>IF(E1571&lt;0,"Componente negativo — manter e investigar","OK")</x:f>
        <x:v>OK</x:v>
      </x:c>
    </x:row>
    <x:row r="1572">
      <x:c r="A1572" s="51" t="n">
        <x:v>42948</x:v>
      </x:c>
      <x:c r="B1572" s="14" t="str">
        <x:v>Nordeste</x:v>
      </x:c>
      <x:c r="C1572" s="14" t="str">
        <x:v>SISTEMAS ISOLADOS</x:v>
      </x:c>
      <x:c r="D1572" s="53" t="str">
        <x:v>Cativo</x:v>
      </x:c>
      <x:c r="E1572" s="49" t="n">
        <x:v>424</x:v>
      </x:c>
      <x:c r="F1572" s="52" t="n">
        <x:v>580</x:v>
      </x:c>
      <x:c r="G1572" s="54" t="n">
        <x:v>46220</x:v>
      </x:c>
      <x:c r="H1572" s="14" t="str">
        <x:f>IF(E1572&lt;0,"Componente negativo — manter e investigar","OK")</x:f>
        <x:v>OK</x:v>
      </x:c>
    </x:row>
    <x:row r="1573">
      <x:c r="A1573" s="51" t="n">
        <x:v>42948</x:v>
      </x:c>
      <x:c r="B1573" s="14" t="str">
        <x:v>Norte</x:v>
      </x:c>
      <x:c r="C1573" s="14" t="str">
        <x:v>NORTE INTERLIGADO</x:v>
      </x:c>
      <x:c r="D1573" s="53" t="str">
        <x:v>Cativo</x:v>
      </x:c>
      <x:c r="E1573" s="49" t="n">
        <x:v>590285</x:v>
      </x:c>
      <x:c r="F1573" s="52" t="n">
        <x:v>3246265</x:v>
      </x:c>
      <x:c r="G1573" s="54" t="n">
        <x:v>46220</x:v>
      </x:c>
      <x:c r="H1573" s="14" t="str">
        <x:f>IF(E1573&lt;0,"Componente negativo — manter e investigar","OK")</x:f>
        <x:v>OK</x:v>
      </x:c>
    </x:row>
    <x:row r="1574">
      <x:c r="A1574" s="51" t="n">
        <x:v>42948</x:v>
      </x:c>
      <x:c r="B1574" s="14" t="str">
        <x:v>Norte</x:v>
      </x:c>
      <x:c r="C1574" s="14" t="str">
        <x:v>SISTEMAS ISOLADOS</x:v>
      </x:c>
      <x:c r="D1574" s="53" t="str">
        <x:v>Cativo</x:v>
      </x:c>
      <x:c r="E1574" s="49" t="n">
        <x:v>122592</x:v>
      </x:c>
      <x:c r="F1574" s="52" t="n">
        <x:v>642140</x:v>
      </x:c>
      <x:c r="G1574" s="54" t="n">
        <x:v>46220</x:v>
      </x:c>
      <x:c r="H1574" s="14" t="str">
        <x:f>IF(E1574&lt;0,"Componente negativo — manter e investigar","OK")</x:f>
        <x:v>OK</x:v>
      </x:c>
    </x:row>
    <x:row r="1575">
      <x:c r="A1575" s="51" t="n">
        <x:v>42948</x:v>
      </x:c>
      <x:c r="B1575" s="14" t="str">
        <x:v>Norte</x:v>
      </x:c>
      <x:c r="C1575" s="14" t="str">
        <x:v>SUDESTE / CENTRO - OESTE</x:v>
      </x:c>
      <x:c r="D1575" s="53" t="str">
        <x:v>Cativo</x:v>
      </x:c>
      <x:c r="E1575" s="49" t="n">
        <x:v>134855</x:v>
      </x:c>
      <x:c r="F1575" s="52" t="n">
        <x:v>567231</x:v>
      </x:c>
      <x:c r="G1575" s="54" t="n">
        <x:v>46220</x:v>
      </x:c>
      <x:c r="H1575" s="14" t="str">
        <x:f>IF(E1575&lt;0,"Componente negativo — manter e investigar","OK")</x:f>
        <x:v>OK</x:v>
      </x:c>
    </x:row>
    <x:row r="1576">
      <x:c r="A1576" s="51" t="n">
        <x:v>42948</x:v>
      </x:c>
      <x:c r="B1576" s="14" t="str">
        <x:v>Sudeste</x:v>
      </x:c>
      <x:c r="C1576" s="14" t="str">
        <x:v>SUDESTE / CENTRO - OESTE</x:v>
      </x:c>
      <x:c r="D1576" s="53" t="str">
        <x:v>Cativo</x:v>
      </x:c>
      <x:c r="E1576" s="49" t="n">
        <x:v>4974124</x:v>
      </x:c>
      <x:c r="F1576" s="52" t="n">
        <x:v>31895022</x:v>
      </x:c>
      <x:c r="G1576" s="54" t="n">
        <x:v>46220</x:v>
      </x:c>
      <x:c r="H1576" s="14" t="str">
        <x:f>IF(E1576&lt;0,"Componente negativo — manter e investigar","OK")</x:f>
        <x:v>OK</x:v>
      </x:c>
    </x:row>
    <x:row r="1577">
      <x:c r="A1577" s="51" t="n">
        <x:v>42948</x:v>
      </x:c>
      <x:c r="B1577" s="14" t="str">
        <x:v>Sudeste</x:v>
      </x:c>
      <x:c r="C1577" s="14" t="str">
        <x:v>SUDESTE / CENTRO - OESTE</x:v>
      </x:c>
      <x:c r="D1577" s="53" t="str">
        <x:v>Livre</x:v>
      </x:c>
      <x:c r="E1577" s="49" t="n">
        <x:v>328</x:v>
      </x:c>
      <x:c r="F1577" s="52" t="n">
        <x:v>1</x:v>
      </x:c>
      <x:c r="G1577" s="54" t="n">
        <x:v>46220</x:v>
      </x:c>
      <x:c r="H1577" s="14" t="str">
        <x:f>IF(E1577&lt;0,"Componente negativo — manter e investigar","OK")</x:f>
        <x:v>OK</x:v>
      </x:c>
    </x:row>
    <x:row r="1578">
      <x:c r="A1578" s="51" t="n">
        <x:v>42948</x:v>
      </x:c>
      <x:c r="B1578" s="14" t="str">
        <x:v>Sul</x:v>
      </x:c>
      <x:c r="C1578" s="14" t="str">
        <x:v>SUL</x:v>
      </x:c>
      <x:c r="D1578" s="53" t="str">
        <x:v>Cativo</x:v>
      </x:c>
      <x:c r="E1578" s="49" t="n">
        <x:v>1666071</x:v>
      </x:c>
      <x:c r="F1578" s="52" t="n">
        <x:v>9887405</x:v>
      </x:c>
      <x:c r="G1578" s="54" t="n">
        <x:v>46220</x:v>
      </x:c>
      <x:c r="H1578" s="14" t="str">
        <x:f>IF(E1578&lt;0,"Componente negativo — manter e investigar","OK")</x:f>
        <x:v>OK</x:v>
      </x:c>
    </x:row>
    <x:row r="1579">
      <x:c r="A1579" s="51" t="n">
        <x:v>42979</x:v>
      </x:c>
      <x:c r="B1579" s="14" t="str">
        <x:v>Centro-Oeste</x:v>
      </x:c>
      <x:c r="C1579" s="14" t="str">
        <x:v>SISTEMAS ISOLADOS</x:v>
      </x:c>
      <x:c r="D1579" s="53" t="str">
        <x:v>Cativo</x:v>
      </x:c>
      <x:c r="E1579" s="49" t="n">
        <x:v>166</x:v>
      </x:c>
      <x:c r="F1579" s="52" t="n">
        <x:v>878</x:v>
      </x:c>
      <x:c r="G1579" s="54" t="n">
        <x:v>46220</x:v>
      </x:c>
      <x:c r="H1579" s="14" t="str">
        <x:f>IF(E1579&lt;0,"Componente negativo — manter e investigar","OK")</x:f>
        <x:v>OK</x:v>
      </x:c>
    </x:row>
    <x:row r="1580">
      <x:c r="A1580" s="51" t="n">
        <x:v>42979</x:v>
      </x:c>
      <x:c r="B1580" s="14" t="str">
        <x:v>Centro-Oeste</x:v>
      </x:c>
      <x:c r="C1580" s="14" t="str">
        <x:v>SUDESTE / CENTRO - OESTE</x:v>
      </x:c>
      <x:c r="D1580" s="53" t="str">
        <x:v>Cativo</x:v>
      </x:c>
      <x:c r="E1580" s="49" t="n">
        <x:v>1027253</x:v>
      </x:c>
      <x:c r="F1580" s="52" t="n">
        <x:v>5293064</x:v>
      </x:c>
      <x:c r="G1580" s="54" t="n">
        <x:v>46220</x:v>
      </x:c>
      <x:c r="H1580" s="14" t="str">
        <x:f>IF(E1580&lt;0,"Componente negativo — manter e investigar","OK")</x:f>
        <x:v>OK</x:v>
      </x:c>
    </x:row>
    <x:row r="1581">
      <x:c r="A1581" s="51" t="n">
        <x:v>42979</x:v>
      </x:c>
      <x:c r="B1581" s="14" t="str">
        <x:v>Nordeste</x:v>
      </x:c>
      <x:c r="C1581" s="14" t="str">
        <x:v>NORDESTE</x:v>
      </x:c>
      <x:c r="D1581" s="53" t="str">
        <x:v>Cativo</x:v>
      </x:c>
      <x:c r="E1581" s="49" t="n">
        <x:v>1890289</x:v>
      </x:c>
      <x:c r="F1581" s="52" t="n">
        <x:v>16646649</x:v>
      </x:c>
      <x:c r="G1581" s="54" t="n">
        <x:v>46220</x:v>
      </x:c>
      <x:c r="H1581" s="14" t="str">
        <x:f>IF(E1581&lt;0,"Componente negativo — manter e investigar","OK")</x:f>
        <x:v>OK</x:v>
      </x:c>
    </x:row>
    <x:row r="1582">
      <x:c r="A1582" s="51" t="n">
        <x:v>42979</x:v>
      </x:c>
      <x:c r="B1582" s="14" t="str">
        <x:v>Nordeste</x:v>
      </x:c>
      <x:c r="C1582" s="14" t="str">
        <x:v>NORTE INTERLIGADO</x:v>
      </x:c>
      <x:c r="D1582" s="53" t="str">
        <x:v>Cativo</x:v>
      </x:c>
      <x:c r="E1582" s="49" t="n">
        <x:v>287176</x:v>
      </x:c>
      <x:c r="F1582" s="52" t="n">
        <x:v>2163484</x:v>
      </x:c>
      <x:c r="G1582" s="54" t="n">
        <x:v>46220</x:v>
      </x:c>
      <x:c r="H1582" s="14" t="str">
        <x:f>IF(E1582&lt;0,"Componente negativo — manter e investigar","OK")</x:f>
        <x:v>OK</x:v>
      </x:c>
    </x:row>
    <x:row r="1583">
      <x:c r="A1583" s="51" t="n">
        <x:v>42979</x:v>
      </x:c>
      <x:c r="B1583" s="14" t="str">
        <x:v>Nordeste</x:v>
      </x:c>
      <x:c r="C1583" s="14" t="str">
        <x:v>SISTEMAS ISOLADOS</x:v>
      </x:c>
      <x:c r="D1583" s="53" t="str">
        <x:v>Cativo</x:v>
      </x:c>
      <x:c r="E1583" s="49" t="n">
        <x:v>433</x:v>
      </x:c>
      <x:c r="F1583" s="52" t="n">
        <x:v>583</x:v>
      </x:c>
      <x:c r="G1583" s="54" t="n">
        <x:v>46220</x:v>
      </x:c>
      <x:c r="H1583" s="14" t="str">
        <x:f>IF(E1583&lt;0,"Componente negativo — manter e investigar","OK")</x:f>
        <x:v>OK</x:v>
      </x:c>
    </x:row>
    <x:row r="1584">
      <x:c r="A1584" s="51" t="n">
        <x:v>42979</x:v>
      </x:c>
      <x:c r="B1584" s="14" t="str">
        <x:v>Norte</x:v>
      </x:c>
      <x:c r="C1584" s="14" t="str">
        <x:v>NORTE INTERLIGADO</x:v>
      </x:c>
      <x:c r="D1584" s="53" t="str">
        <x:v>Cativo</x:v>
      </x:c>
      <x:c r="E1584" s="49" t="n">
        <x:v>593898</x:v>
      </x:c>
      <x:c r="F1584" s="52" t="n">
        <x:v>3253733</x:v>
      </x:c>
      <x:c r="G1584" s="54" t="n">
        <x:v>46220</x:v>
      </x:c>
      <x:c r="H1584" s="14" t="str">
        <x:f>IF(E1584&lt;0,"Componente negativo — manter e investigar","OK")</x:f>
        <x:v>OK</x:v>
      </x:c>
    </x:row>
    <x:row r="1585">
      <x:c r="A1585" s="51" t="n">
        <x:v>42979</x:v>
      </x:c>
      <x:c r="B1585" s="14" t="str">
        <x:v>Norte</x:v>
      </x:c>
      <x:c r="C1585" s="14" t="str">
        <x:v>SISTEMAS ISOLADOS</x:v>
      </x:c>
      <x:c r="D1585" s="53" t="str">
        <x:v>Cativo</x:v>
      </x:c>
      <x:c r="E1585" s="49" t="n">
        <x:v>127624</x:v>
      </x:c>
      <x:c r="F1585" s="52" t="n">
        <x:v>644994</x:v>
      </x:c>
      <x:c r="G1585" s="54" t="n">
        <x:v>46220</x:v>
      </x:c>
      <x:c r="H1585" s="14" t="str">
        <x:f>IF(E1585&lt;0,"Componente negativo — manter e investigar","OK")</x:f>
        <x:v>OK</x:v>
      </x:c>
    </x:row>
    <x:row r="1586">
      <x:c r="A1586" s="51" t="n">
        <x:v>42979</x:v>
      </x:c>
      <x:c r="B1586" s="14" t="str">
        <x:v>Norte</x:v>
      </x:c>
      <x:c r="C1586" s="14" t="str">
        <x:v>SUDESTE / CENTRO - OESTE</x:v>
      </x:c>
      <x:c r="D1586" s="53" t="str">
        <x:v>Cativo</x:v>
      </x:c>
      <x:c r="E1586" s="49" t="n">
        <x:v>144201</x:v>
      </x:c>
      <x:c r="F1586" s="52" t="n">
        <x:v>569911</x:v>
      </x:c>
      <x:c r="G1586" s="54" t="n">
        <x:v>46220</x:v>
      </x:c>
      <x:c r="H1586" s="14" t="str">
        <x:f>IF(E1586&lt;0,"Componente negativo — manter e investigar","OK")</x:f>
        <x:v>OK</x:v>
      </x:c>
    </x:row>
    <x:row r="1587">
      <x:c r="A1587" s="51" t="n">
        <x:v>42979</x:v>
      </x:c>
      <x:c r="B1587" s="14" t="str">
        <x:v>Sudeste</x:v>
      </x:c>
      <x:c r="C1587" s="14" t="str">
        <x:v>SUDESTE / CENTRO - OESTE</x:v>
      </x:c>
      <x:c r="D1587" s="53" t="str">
        <x:v>Cativo</x:v>
      </x:c>
      <x:c r="E1587" s="49" t="n">
        <x:v>5306925</x:v>
      </x:c>
      <x:c r="F1587" s="52" t="n">
        <x:v>31889960</x:v>
      </x:c>
      <x:c r="G1587" s="54" t="n">
        <x:v>46220</x:v>
      </x:c>
      <x:c r="H1587" s="14" t="str">
        <x:f>IF(E1587&lt;0,"Componente negativo — manter e investigar","OK")</x:f>
        <x:v>OK</x:v>
      </x:c>
    </x:row>
    <x:row r="1588">
      <x:c r="A1588" s="51" t="n">
        <x:v>42979</x:v>
      </x:c>
      <x:c r="B1588" s="14" t="str">
        <x:v>Sudeste</x:v>
      </x:c>
      <x:c r="C1588" s="14" t="str">
        <x:v>SUDESTE / CENTRO - OESTE</x:v>
      </x:c>
      <x:c r="D1588" s="53" t="str">
        <x:v>Livre</x:v>
      </x:c>
      <x:c r="E1588" s="49" t="n">
        <x:v>308</x:v>
      </x:c>
      <x:c r="F1588" s="52" t="n">
        <x:v>1</x:v>
      </x:c>
      <x:c r="G1588" s="54" t="n">
        <x:v>46220</x:v>
      </x:c>
      <x:c r="H1588" s="14" t="str">
        <x:f>IF(E1588&lt;0,"Componente negativo — manter e investigar","OK")</x:f>
        <x:v>OK</x:v>
      </x:c>
    </x:row>
    <x:row r="1589">
      <x:c r="A1589" s="51" t="n">
        <x:v>42979</x:v>
      </x:c>
      <x:c r="B1589" s="14" t="str">
        <x:v>Sul</x:v>
      </x:c>
      <x:c r="C1589" s="14" t="str">
        <x:v>SUL</x:v>
      </x:c>
      <x:c r="D1589" s="53" t="str">
        <x:v>Cativo</x:v>
      </x:c>
      <x:c r="E1589" s="49" t="n">
        <x:v>1718434</x:v>
      </x:c>
      <x:c r="F1589" s="52" t="n">
        <x:v>9902594</x:v>
      </x:c>
      <x:c r="G1589" s="54" t="n">
        <x:v>46220</x:v>
      </x:c>
      <x:c r="H1589" s="14" t="str">
        <x:f>IF(E1589&lt;0,"Componente negativo — manter e investigar","OK")</x:f>
        <x:v>OK</x:v>
      </x:c>
    </x:row>
    <x:row r="1590">
      <x:c r="A1590" s="51" t="n">
        <x:v>43009</x:v>
      </x:c>
      <x:c r="B1590" s="14" t="str">
        <x:v>Centro-Oeste</x:v>
      </x:c>
      <x:c r="C1590" s="14" t="str">
        <x:v>SISTEMAS ISOLADOS</x:v>
      </x:c>
      <x:c r="D1590" s="53" t="str">
        <x:v>Cativo</x:v>
      </x:c>
      <x:c r="E1590" s="49" t="n">
        <x:v>170</x:v>
      </x:c>
      <x:c r="F1590" s="52" t="n">
        <x:v>610</x:v>
      </x:c>
      <x:c r="G1590" s="54" t="n">
        <x:v>46220</x:v>
      </x:c>
      <x:c r="H1590" s="14" t="str">
        <x:f>IF(E1590&lt;0,"Componente negativo — manter e investigar","OK")</x:f>
        <x:v>OK</x:v>
      </x:c>
    </x:row>
    <x:row r="1591">
      <x:c r="A1591" s="51" t="n">
        <x:v>43009</x:v>
      </x:c>
      <x:c r="B1591" s="14" t="str">
        <x:v>Centro-Oeste</x:v>
      </x:c>
      <x:c r="C1591" s="14" t="str">
        <x:v>SUDESTE / CENTRO - OESTE</x:v>
      </x:c>
      <x:c r="D1591" s="53" t="str">
        <x:v>Cativo</x:v>
      </x:c>
      <x:c r="E1591" s="49" t="n">
        <x:v>988822</x:v>
      </x:c>
      <x:c r="F1591" s="52" t="n">
        <x:v>5308384</x:v>
      </x:c>
      <x:c r="G1591" s="54" t="n">
        <x:v>46220</x:v>
      </x:c>
      <x:c r="H1591" s="14" t="str">
        <x:f>IF(E1591&lt;0,"Componente negativo — manter e investigar","OK")</x:f>
        <x:v>OK</x:v>
      </x:c>
    </x:row>
    <x:row r="1592">
      <x:c r="A1592" s="51" t="n">
        <x:v>43009</x:v>
      </x:c>
      <x:c r="B1592" s="14" t="str">
        <x:v>Nordeste</x:v>
      </x:c>
      <x:c r="C1592" s="14" t="str">
        <x:v>NORDESTE</x:v>
      </x:c>
      <x:c r="D1592" s="53" t="str">
        <x:v>Cativo</x:v>
      </x:c>
      <x:c r="E1592" s="49" t="n">
        <x:v>1975989</x:v>
      </x:c>
      <x:c r="F1592" s="52" t="n">
        <x:v>16672518</x:v>
      </x:c>
      <x:c r="G1592" s="54" t="n">
        <x:v>46220</x:v>
      </x:c>
      <x:c r="H1592" s="14" t="str">
        <x:f>IF(E1592&lt;0,"Componente negativo — manter e investigar","OK")</x:f>
        <x:v>OK</x:v>
      </x:c>
    </x:row>
    <x:row r="1593">
      <x:c r="A1593" s="51" t="n">
        <x:v>43009</x:v>
      </x:c>
      <x:c r="B1593" s="14" t="str">
        <x:v>Nordeste</x:v>
      </x:c>
      <x:c r="C1593" s="14" t="str">
        <x:v>NORTE INTERLIGADO</x:v>
      </x:c>
      <x:c r="D1593" s="53" t="str">
        <x:v>Cativo</x:v>
      </x:c>
      <x:c r="E1593" s="49" t="n">
        <x:v>301677</x:v>
      </x:c>
      <x:c r="F1593" s="52" t="n">
        <x:v>2172940</x:v>
      </x:c>
      <x:c r="G1593" s="54" t="n">
        <x:v>46220</x:v>
      </x:c>
      <x:c r="H1593" s="14" t="str">
        <x:f>IF(E1593&lt;0,"Componente negativo — manter e investigar","OK")</x:f>
        <x:v>OK</x:v>
      </x:c>
    </x:row>
    <x:row r="1594">
      <x:c r="A1594" s="51" t="n">
        <x:v>43009</x:v>
      </x:c>
      <x:c r="B1594" s="14" t="str">
        <x:v>Nordeste</x:v>
      </x:c>
      <x:c r="C1594" s="14" t="str">
        <x:v>SISTEMAS ISOLADOS</x:v>
      </x:c>
      <x:c r="D1594" s="53" t="str">
        <x:v>Cativo</x:v>
      </x:c>
      <x:c r="E1594" s="49" t="n">
        <x:v>444</x:v>
      </x:c>
      <x:c r="F1594" s="52" t="n">
        <x:v>588</x:v>
      </x:c>
      <x:c r="G1594" s="54" t="n">
        <x:v>46220</x:v>
      </x:c>
      <x:c r="H1594" s="14" t="str">
        <x:f>IF(E1594&lt;0,"Componente negativo — manter e investigar","OK")</x:f>
        <x:v>OK</x:v>
      </x:c>
    </x:row>
    <x:row r="1595">
      <x:c r="A1595" s="51" t="n">
        <x:v>43009</x:v>
      </x:c>
      <x:c r="B1595" s="14" t="str">
        <x:v>Norte</x:v>
      </x:c>
      <x:c r="C1595" s="14" t="str">
        <x:v>NORTE INTERLIGADO</x:v>
      </x:c>
      <x:c r="D1595" s="53" t="str">
        <x:v>Cativo</x:v>
      </x:c>
      <x:c r="E1595" s="49" t="n">
        <x:v>599555</x:v>
      </x:c>
      <x:c r="F1595" s="52" t="n">
        <x:v>3270157</x:v>
      </x:c>
      <x:c r="G1595" s="54" t="n">
        <x:v>46220</x:v>
      </x:c>
      <x:c r="H1595" s="14" t="str">
        <x:f>IF(E1595&lt;0,"Componente negativo — manter e investigar","OK")</x:f>
        <x:v>OK</x:v>
      </x:c>
    </x:row>
    <x:row r="1596">
      <x:c r="A1596" s="51" t="n">
        <x:v>43009</x:v>
      </x:c>
      <x:c r="B1596" s="14" t="str">
        <x:v>Norte</x:v>
      </x:c>
      <x:c r="C1596" s="14" t="str">
        <x:v>SISTEMAS ISOLADOS</x:v>
      </x:c>
      <x:c r="D1596" s="53" t="str">
        <x:v>Cativo</x:v>
      </x:c>
      <x:c r="E1596" s="49" t="n">
        <x:v>128687</x:v>
      </x:c>
      <x:c r="F1596" s="52" t="n">
        <x:v>647431</x:v>
      </x:c>
      <x:c r="G1596" s="54" t="n">
        <x:v>46220</x:v>
      </x:c>
      <x:c r="H1596" s="14" t="str">
        <x:f>IF(E1596&lt;0,"Componente negativo — manter e investigar","OK")</x:f>
        <x:v>OK</x:v>
      </x:c>
    </x:row>
    <x:row r="1597">
      <x:c r="A1597" s="51" t="n">
        <x:v>43009</x:v>
      </x:c>
      <x:c r="B1597" s="14" t="str">
        <x:v>Norte</x:v>
      </x:c>
      <x:c r="C1597" s="14" t="str">
        <x:v>SUDESTE / CENTRO - OESTE</x:v>
      </x:c>
      <x:c r="D1597" s="53" t="str">
        <x:v>Cativo</x:v>
      </x:c>
      <x:c r="E1597" s="49" t="n">
        <x:v>139010</x:v>
      </x:c>
      <x:c r="F1597" s="52" t="n">
        <x:v>572898</x:v>
      </x:c>
      <x:c r="G1597" s="54" t="n">
        <x:v>46220</x:v>
      </x:c>
      <x:c r="H1597" s="14" t="str">
        <x:f>IF(E1597&lt;0,"Componente negativo — manter e investigar","OK")</x:f>
        <x:v>OK</x:v>
      </x:c>
    </x:row>
    <x:row r="1598">
      <x:c r="A1598" s="51" t="n">
        <x:v>43009</x:v>
      </x:c>
      <x:c r="B1598" s="14" t="str">
        <x:v>Sudeste</x:v>
      </x:c>
      <x:c r="C1598" s="14" t="str">
        <x:v>SUDESTE / CENTRO - OESTE</x:v>
      </x:c>
      <x:c r="D1598" s="53" t="str">
        <x:v>Cativo</x:v>
      </x:c>
      <x:c r="E1598" s="49" t="n">
        <x:v>5361311</x:v>
      </x:c>
      <x:c r="F1598" s="52" t="n">
        <x:v>31894503</x:v>
      </x:c>
      <x:c r="G1598" s="54" t="n">
        <x:v>46220</x:v>
      </x:c>
      <x:c r="H1598" s="14" t="str">
        <x:f>IF(E1598&lt;0,"Componente negativo — manter e investigar","OK")</x:f>
        <x:v>OK</x:v>
      </x:c>
    </x:row>
    <x:row r="1599">
      <x:c r="A1599" s="51" t="n">
        <x:v>43009</x:v>
      </x:c>
      <x:c r="B1599" s="14" t="str">
        <x:v>Sudeste</x:v>
      </x:c>
      <x:c r="C1599" s="14" t="str">
        <x:v>SUDESTE / CENTRO - OESTE</x:v>
      </x:c>
      <x:c r="D1599" s="53" t="str">
        <x:v>Livre</x:v>
      </x:c>
      <x:c r="E1599" s="49" t="n">
        <x:v>281</x:v>
      </x:c>
      <x:c r="F1599" s="52" t="n">
        <x:v>1</x:v>
      </x:c>
      <x:c r="G1599" s="54" t="n">
        <x:v>46220</x:v>
      </x:c>
      <x:c r="H1599" s="14" t="str">
        <x:f>IF(E1599&lt;0,"Componente negativo — manter e investigar","OK")</x:f>
        <x:v>OK</x:v>
      </x:c>
    </x:row>
    <x:row r="1600">
      <x:c r="A1600" s="51" t="n">
        <x:v>43009</x:v>
      </x:c>
      <x:c r="B1600" s="14" t="str">
        <x:v>Sul</x:v>
      </x:c>
      <x:c r="C1600" s="14" t="str">
        <x:v>SUL</x:v>
      </x:c>
      <x:c r="D1600" s="53" t="str">
        <x:v>Cativo</x:v>
      </x:c>
      <x:c r="E1600" s="49" t="n">
        <x:v>1678750</x:v>
      </x:c>
      <x:c r="F1600" s="52" t="n">
        <x:v>9920188</x:v>
      </x:c>
      <x:c r="G1600" s="54" t="n">
        <x:v>46220</x:v>
      </x:c>
      <x:c r="H1600" s="14" t="str">
        <x:f>IF(E1600&lt;0,"Componente negativo — manter e investigar","OK")</x:f>
        <x:v>OK</x:v>
      </x:c>
    </x:row>
    <x:row r="1601">
      <x:c r="A1601" s="51" t="n">
        <x:v>43040</x:v>
      </x:c>
      <x:c r="B1601" s="14" t="str">
        <x:v>Centro-Oeste</x:v>
      </x:c>
      <x:c r="C1601" s="14" t="str">
        <x:v>SISTEMAS ISOLADOS</x:v>
      </x:c>
      <x:c r="D1601" s="53" t="str">
        <x:v>Cativo</x:v>
      </x:c>
      <x:c r="E1601" s="49" t="n">
        <x:v>127</x:v>
      </x:c>
      <x:c r="F1601" s="52" t="n">
        <x:v>612</x:v>
      </x:c>
      <x:c r="G1601" s="54" t="n">
        <x:v>46220</x:v>
      </x:c>
      <x:c r="H1601" s="14" t="str">
        <x:f>IF(E1601&lt;0,"Componente negativo — manter e investigar","OK")</x:f>
        <x:v>OK</x:v>
      </x:c>
    </x:row>
    <x:row r="1602">
      <x:c r="A1602" s="51" t="n">
        <x:v>43040</x:v>
      </x:c>
      <x:c r="B1602" s="14" t="str">
        <x:v>Centro-Oeste</x:v>
      </x:c>
      <x:c r="C1602" s="14" t="str">
        <x:v>SUDESTE / CENTRO - OESTE</x:v>
      </x:c>
      <x:c r="D1602" s="53" t="str">
        <x:v>Cativo</x:v>
      </x:c>
      <x:c r="E1602" s="49" t="n">
        <x:v>1021085</x:v>
      </x:c>
      <x:c r="F1602" s="52" t="n">
        <x:v>5325295</x:v>
      </x:c>
      <x:c r="G1602" s="54" t="n">
        <x:v>46220</x:v>
      </x:c>
      <x:c r="H1602" s="14" t="str">
        <x:f>IF(E1602&lt;0,"Componente negativo — manter e investigar","OK")</x:f>
        <x:v>OK</x:v>
      </x:c>
    </x:row>
    <x:row r="1603">
      <x:c r="A1603" s="51" t="n">
        <x:v>43040</x:v>
      </x:c>
      <x:c r="B1603" s="14" t="str">
        <x:v>Nordeste</x:v>
      </x:c>
      <x:c r="C1603" s="14" t="str">
        <x:v>NORDESTE</x:v>
      </x:c>
      <x:c r="D1603" s="53" t="str">
        <x:v>Cativo</x:v>
      </x:c>
      <x:c r="E1603" s="49" t="n">
        <x:v>2060154</x:v>
      </x:c>
      <x:c r="F1603" s="52" t="n">
        <x:v>16676851</x:v>
      </x:c>
      <x:c r="G1603" s="54" t="n">
        <x:v>46220</x:v>
      </x:c>
      <x:c r="H1603" s="14" t="str">
        <x:f>IF(E1603&lt;0,"Componente negativo — manter e investigar","OK")</x:f>
        <x:v>OK</x:v>
      </x:c>
    </x:row>
    <x:row r="1604">
      <x:c r="A1604" s="51" t="n">
        <x:v>43040</x:v>
      </x:c>
      <x:c r="B1604" s="14" t="str">
        <x:v>Nordeste</x:v>
      </x:c>
      <x:c r="C1604" s="14" t="str">
        <x:v>NORTE INTERLIGADO</x:v>
      </x:c>
      <x:c r="D1604" s="53" t="str">
        <x:v>Cativo</x:v>
      </x:c>
      <x:c r="E1604" s="49" t="n">
        <x:v>297139</x:v>
      </x:c>
      <x:c r="F1604" s="52" t="n">
        <x:v>2176789</x:v>
      </x:c>
      <x:c r="G1604" s="54" t="n">
        <x:v>46220</x:v>
      </x:c>
      <x:c r="H1604" s="14" t="str">
        <x:f>IF(E1604&lt;0,"Componente negativo — manter e investigar","OK")</x:f>
        <x:v>OK</x:v>
      </x:c>
    </x:row>
    <x:row r="1605">
      <x:c r="A1605" s="51" t="n">
        <x:v>43040</x:v>
      </x:c>
      <x:c r="B1605" s="14" t="str">
        <x:v>Nordeste</x:v>
      </x:c>
      <x:c r="C1605" s="14" t="str">
        <x:v>SISTEMAS ISOLADOS</x:v>
      </x:c>
      <x:c r="D1605" s="53" t="str">
        <x:v>Cativo</x:v>
      </x:c>
      <x:c r="E1605" s="49" t="n">
        <x:v>481</x:v>
      </x:c>
      <x:c r="F1605" s="52" t="n">
        <x:v>588</x:v>
      </x:c>
      <x:c r="G1605" s="54" t="n">
        <x:v>46220</x:v>
      </x:c>
      <x:c r="H1605" s="14" t="str">
        <x:f>IF(E1605&lt;0,"Componente negativo — manter e investigar","OK")</x:f>
        <x:v>OK</x:v>
      </x:c>
    </x:row>
    <x:row r="1606">
      <x:c r="A1606" s="51" t="n">
        <x:v>43040</x:v>
      </x:c>
      <x:c r="B1606" s="14" t="str">
        <x:v>Norte</x:v>
      </x:c>
      <x:c r="C1606" s="14" t="str">
        <x:v>NORTE INTERLIGADO</x:v>
      </x:c>
      <x:c r="D1606" s="53" t="str">
        <x:v>Cativo</x:v>
      </x:c>
      <x:c r="E1606" s="49" t="n">
        <x:v>584498</x:v>
      </x:c>
      <x:c r="F1606" s="52" t="n">
        <x:v>3281052</x:v>
      </x:c>
      <x:c r="G1606" s="54" t="n">
        <x:v>46220</x:v>
      </x:c>
      <x:c r="H1606" s="14" t="str">
        <x:f>IF(E1606&lt;0,"Componente negativo — manter e investigar","OK")</x:f>
        <x:v>OK</x:v>
      </x:c>
    </x:row>
    <x:row r="1607">
      <x:c r="A1607" s="51" t="n">
        <x:v>43040</x:v>
      </x:c>
      <x:c r="B1607" s="14" t="str">
        <x:v>Norte</x:v>
      </x:c>
      <x:c r="C1607" s="14" t="str">
        <x:v>SISTEMAS ISOLADOS</x:v>
      </x:c>
      <x:c r="D1607" s="53" t="str">
        <x:v>Cativo</x:v>
      </x:c>
      <x:c r="E1607" s="49" t="n">
        <x:v>132114</x:v>
      </x:c>
      <x:c r="F1607" s="52" t="n">
        <x:v>650571</x:v>
      </x:c>
      <x:c r="G1607" s="54" t="n">
        <x:v>46220</x:v>
      </x:c>
      <x:c r="H1607" s="14" t="str">
        <x:f>IF(E1607&lt;0,"Componente negativo — manter e investigar","OK")</x:f>
        <x:v>OK</x:v>
      </x:c>
    </x:row>
    <x:row r="1608">
      <x:c r="A1608" s="51" t="n">
        <x:v>43040</x:v>
      </x:c>
      <x:c r="B1608" s="14" t="str">
        <x:v>Norte</x:v>
      </x:c>
      <x:c r="C1608" s="14" t="str">
        <x:v>SUDESTE / CENTRO - OESTE</x:v>
      </x:c>
      <x:c r="D1608" s="53" t="str">
        <x:v>Cativo</x:v>
      </x:c>
      <x:c r="E1608" s="49" t="n">
        <x:v>135075</x:v>
      </x:c>
      <x:c r="F1608" s="52" t="n">
        <x:v>571827</x:v>
      </x:c>
      <x:c r="G1608" s="54" t="n">
        <x:v>46220</x:v>
      </x:c>
      <x:c r="H1608" s="14" t="str">
        <x:f>IF(E1608&lt;0,"Componente negativo — manter e investigar","OK")</x:f>
        <x:v>OK</x:v>
      </x:c>
    </x:row>
    <x:row r="1609">
      <x:c r="A1609" s="51" t="n">
        <x:v>43040</x:v>
      </x:c>
      <x:c r="B1609" s="14" t="str">
        <x:v>Sudeste</x:v>
      </x:c>
      <x:c r="C1609" s="14" t="str">
        <x:v>SUDESTE / CENTRO - OESTE</x:v>
      </x:c>
      <x:c r="D1609" s="53" t="str">
        <x:v>Cativo</x:v>
      </x:c>
      <x:c r="E1609" s="49" t="n">
        <x:v>5537125</x:v>
      </x:c>
      <x:c r="F1609" s="52" t="n">
        <x:v>32053894</x:v>
      </x:c>
      <x:c r="G1609" s="54" t="n">
        <x:v>46220</x:v>
      </x:c>
      <x:c r="H1609" s="14" t="str">
        <x:f>IF(E1609&lt;0,"Componente negativo — manter e investigar","OK")</x:f>
        <x:v>OK</x:v>
      </x:c>
    </x:row>
    <x:row r="1610">
      <x:c r="A1610" s="51" t="n">
        <x:v>43040</x:v>
      </x:c>
      <x:c r="B1610" s="14" t="str">
        <x:v>Sudeste</x:v>
      </x:c>
      <x:c r="C1610" s="14" t="str">
        <x:v>SUDESTE / CENTRO - OESTE</x:v>
      </x:c>
      <x:c r="D1610" s="53" t="str">
        <x:v>Livre</x:v>
      </x:c>
      <x:c r="E1610" s="49" t="n">
        <x:v>357</x:v>
      </x:c>
      <x:c r="F1610" s="52" t="n">
        <x:v>1</x:v>
      </x:c>
      <x:c r="G1610" s="54" t="n">
        <x:v>46220</x:v>
      </x:c>
      <x:c r="H1610" s="14" t="str">
        <x:f>IF(E1610&lt;0,"Componente negativo — manter e investigar","OK")</x:f>
        <x:v>OK</x:v>
      </x:c>
    </x:row>
    <x:row r="1611">
      <x:c r="A1611" s="51" t="n">
        <x:v>43040</x:v>
      </x:c>
      <x:c r="B1611" s="14" t="str">
        <x:v>Sul</x:v>
      </x:c>
      <x:c r="C1611" s="14" t="str">
        <x:v>SUL</x:v>
      </x:c>
      <x:c r="D1611" s="53" t="str">
        <x:v>Cativo</x:v>
      </x:c>
      <x:c r="E1611" s="49" t="n">
        <x:v>1693977</x:v>
      </x:c>
      <x:c r="F1611" s="52" t="n">
        <x:v>9944621</x:v>
      </x:c>
      <x:c r="G1611" s="54" t="n">
        <x:v>46220</x:v>
      </x:c>
      <x:c r="H1611" s="14" t="str">
        <x:f>IF(E1611&lt;0,"Componente negativo — manter e investigar","OK")</x:f>
        <x:v>OK</x:v>
      </x:c>
    </x:row>
    <x:row r="1612">
      <x:c r="A1612" s="51" t="n">
        <x:v>43070</x:v>
      </x:c>
      <x:c r="B1612" s="14" t="str">
        <x:v>Centro-Oeste</x:v>
      </x:c>
      <x:c r="C1612" s="14" t="str">
        <x:v>SISTEMAS ISOLADOS</x:v>
      </x:c>
      <x:c r="D1612" s="53" t="str">
        <x:v>Cativo</x:v>
      </x:c>
      <x:c r="E1612" s="49" t="n">
        <x:v>122</x:v>
      </x:c>
      <x:c r="F1612" s="52" t="n">
        <x:v>620</x:v>
      </x:c>
      <x:c r="G1612" s="54" t="n">
        <x:v>46220</x:v>
      </x:c>
      <x:c r="H1612" s="14" t="str">
        <x:f>IF(E1612&lt;0,"Componente negativo — manter e investigar","OK")</x:f>
        <x:v>OK</x:v>
      </x:c>
    </x:row>
    <x:row r="1613">
      <x:c r="A1613" s="51" t="n">
        <x:v>43070</x:v>
      </x:c>
      <x:c r="B1613" s="14" t="str">
        <x:v>Centro-Oeste</x:v>
      </x:c>
      <x:c r="C1613" s="14" t="str">
        <x:v>SUDESTE / CENTRO - OESTE</x:v>
      </x:c>
      <x:c r="D1613" s="53" t="str">
        <x:v>Cativo</x:v>
      </x:c>
      <x:c r="E1613" s="49" t="n">
        <x:v>938499</x:v>
      </x:c>
      <x:c r="F1613" s="52" t="n">
        <x:v>5341266</x:v>
      </x:c>
      <x:c r="G1613" s="54" t="n">
        <x:v>46220</x:v>
      </x:c>
      <x:c r="H1613" s="14" t="str">
        <x:f>IF(E1613&lt;0,"Componente negativo — manter e investigar","OK")</x:f>
        <x:v>OK</x:v>
      </x:c>
    </x:row>
    <x:row r="1614">
      <x:c r="A1614" s="51" t="n">
        <x:v>43070</x:v>
      </x:c>
      <x:c r="B1614" s="14" t="str">
        <x:v>Nordeste</x:v>
      </x:c>
      <x:c r="C1614" s="14" t="str">
        <x:v>NORDESTE</x:v>
      </x:c>
      <x:c r="D1614" s="53" t="str">
        <x:v>Cativo</x:v>
      </x:c>
      <x:c r="E1614" s="49" t="n">
        <x:v>2092392</x:v>
      </x:c>
      <x:c r="F1614" s="52" t="n">
        <x:v>16685601</x:v>
      </x:c>
      <x:c r="G1614" s="54" t="n">
        <x:v>46220</x:v>
      </x:c>
      <x:c r="H1614" s="14" t="str">
        <x:f>IF(E1614&lt;0,"Componente negativo — manter e investigar","OK")</x:f>
        <x:v>OK</x:v>
      </x:c>
    </x:row>
    <x:row r="1615">
      <x:c r="A1615" s="51" t="n">
        <x:v>43070</x:v>
      </x:c>
      <x:c r="B1615" s="14" t="str">
        <x:v>Nordeste</x:v>
      </x:c>
      <x:c r="C1615" s="14" t="str">
        <x:v>NORTE INTERLIGADO</x:v>
      </x:c>
      <x:c r="D1615" s="53" t="str">
        <x:v>Cativo</x:v>
      </x:c>
      <x:c r="E1615" s="49" t="n">
        <x:v>286075</x:v>
      </x:c>
      <x:c r="F1615" s="52" t="n">
        <x:v>2178275</x:v>
      </x:c>
      <x:c r="G1615" s="54" t="n">
        <x:v>46220</x:v>
      </x:c>
      <x:c r="H1615" s="14" t="str">
        <x:f>IF(E1615&lt;0,"Componente negativo — manter e investigar","OK")</x:f>
        <x:v>OK</x:v>
      </x:c>
    </x:row>
    <x:row r="1616">
      <x:c r="A1616" s="51" t="n">
        <x:v>43070</x:v>
      </x:c>
      <x:c r="B1616" s="14" t="str">
        <x:v>Nordeste</x:v>
      </x:c>
      <x:c r="C1616" s="14" t="str">
        <x:v>SISTEMAS ISOLADOS</x:v>
      </x:c>
      <x:c r="D1616" s="53" t="str">
        <x:v>Cativo</x:v>
      </x:c>
      <x:c r="E1616" s="49" t="n">
        <x:v>487</x:v>
      </x:c>
      <x:c r="F1616" s="52" t="n">
        <x:v>587</x:v>
      </x:c>
      <x:c r="G1616" s="54" t="n">
        <x:v>46220</x:v>
      </x:c>
      <x:c r="H1616" s="14" t="str">
        <x:f>IF(E1616&lt;0,"Componente negativo — manter e investigar","OK")</x:f>
        <x:v>OK</x:v>
      </x:c>
    </x:row>
    <x:row r="1617">
      <x:c r="A1617" s="51" t="n">
        <x:v>43070</x:v>
      </x:c>
      <x:c r="B1617" s="14" t="str">
        <x:v>Norte</x:v>
      </x:c>
      <x:c r="C1617" s="14" t="str">
        <x:v>NORTE INTERLIGADO</x:v>
      </x:c>
      <x:c r="D1617" s="53" t="str">
        <x:v>Cativo</x:v>
      </x:c>
      <x:c r="E1617" s="49" t="n">
        <x:v>569804</x:v>
      </x:c>
      <x:c r="F1617" s="52" t="n">
        <x:v>3295322</x:v>
      </x:c>
      <x:c r="G1617" s="54" t="n">
        <x:v>46220</x:v>
      </x:c>
      <x:c r="H1617" s="14" t="str">
        <x:f>IF(E1617&lt;0,"Componente negativo — manter e investigar","OK")</x:f>
        <x:v>OK</x:v>
      </x:c>
    </x:row>
    <x:row r="1618">
      <x:c r="A1618" s="51" t="n">
        <x:v>43070</x:v>
      </x:c>
      <x:c r="B1618" s="14" t="str">
        <x:v>Norte</x:v>
      </x:c>
      <x:c r="C1618" s="14" t="str">
        <x:v>SISTEMAS ISOLADOS</x:v>
      </x:c>
      <x:c r="D1618" s="53" t="str">
        <x:v>Cativo</x:v>
      </x:c>
      <x:c r="E1618" s="49" t="n">
        <x:v>125513</x:v>
      </x:c>
      <x:c r="F1618" s="52" t="n">
        <x:v>651247</x:v>
      </x:c>
      <x:c r="G1618" s="54" t="n">
        <x:v>46220</x:v>
      </x:c>
      <x:c r="H1618" s="14" t="str">
        <x:f>IF(E1618&lt;0,"Componente negativo — manter e investigar","OK")</x:f>
        <x:v>OK</x:v>
      </x:c>
    </x:row>
    <x:row r="1619">
      <x:c r="A1619" s="51" t="n">
        <x:v>43070</x:v>
      </x:c>
      <x:c r="B1619" s="14" t="str">
        <x:v>Norte</x:v>
      </x:c>
      <x:c r="C1619" s="14" t="str">
        <x:v>SUDESTE / CENTRO - OESTE</x:v>
      </x:c>
      <x:c r="D1619" s="53" t="str">
        <x:v>Cativo</x:v>
      </x:c>
      <x:c r="E1619" s="49" t="n">
        <x:v>128199</x:v>
      </x:c>
      <x:c r="F1619" s="52" t="n">
        <x:v>571704</x:v>
      </x:c>
      <x:c r="G1619" s="54" t="n">
        <x:v>46220</x:v>
      </x:c>
      <x:c r="H1619" s="14" t="str">
        <x:f>IF(E1619&lt;0,"Componente negativo — manter e investigar","OK")</x:f>
        <x:v>OK</x:v>
      </x:c>
    </x:row>
    <x:row r="1620">
      <x:c r="A1620" s="51" t="n">
        <x:v>43070</x:v>
      </x:c>
      <x:c r="B1620" s="14" t="str">
        <x:v>Sudeste</x:v>
      </x:c>
      <x:c r="C1620" s="14" t="str">
        <x:v>SUDESTE / CENTRO - OESTE</x:v>
      </x:c>
      <x:c r="D1620" s="53" t="str">
        <x:v>Cativo</x:v>
      </x:c>
      <x:c r="E1620" s="49" t="n">
        <x:v>5544448</x:v>
      </x:c>
      <x:c r="F1620" s="52" t="n">
        <x:v>32179789</x:v>
      </x:c>
      <x:c r="G1620" s="54" t="n">
        <x:v>46220</x:v>
      </x:c>
      <x:c r="H1620" s="14" t="str">
        <x:f>IF(E1620&lt;0,"Componente negativo — manter e investigar","OK")</x:f>
        <x:v>OK</x:v>
      </x:c>
    </x:row>
    <x:row r="1621">
      <x:c r="A1621" s="51" t="n">
        <x:v>43070</x:v>
      </x:c>
      <x:c r="B1621" s="14" t="str">
        <x:v>Sudeste</x:v>
      </x:c>
      <x:c r="C1621" s="14" t="str">
        <x:v>SUDESTE / CENTRO - OESTE</x:v>
      </x:c>
      <x:c r="D1621" s="53" t="str">
        <x:v>Livre</x:v>
      </x:c>
      <x:c r="E1621" s="49" t="n">
        <x:v>352</x:v>
      </x:c>
      <x:c r="F1621" s="52" t="n">
        <x:v>1</x:v>
      </x:c>
      <x:c r="G1621" s="54" t="n">
        <x:v>46220</x:v>
      </x:c>
      <x:c r="H1621" s="14" t="str">
        <x:f>IF(E1621&lt;0,"Componente negativo — manter e investigar","OK")</x:f>
        <x:v>OK</x:v>
      </x:c>
    </x:row>
    <x:row r="1622">
      <x:c r="A1622" s="51" t="n">
        <x:v>43070</x:v>
      </x:c>
      <x:c r="B1622" s="14" t="str">
        <x:v>Sul</x:v>
      </x:c>
      <x:c r="C1622" s="14" t="str">
        <x:v>SUL</x:v>
      </x:c>
      <x:c r="D1622" s="53" t="str">
        <x:v>Cativo</x:v>
      </x:c>
      <x:c r="E1622" s="49" t="n">
        <x:v>1755588</x:v>
      </x:c>
      <x:c r="F1622" s="52" t="n">
        <x:v>10002105</x:v>
      </x:c>
      <x:c r="G1622" s="54" t="n">
        <x:v>46220</x:v>
      </x:c>
      <x:c r="H1622" s="14" t="str">
        <x:f>IF(E1622&lt;0,"Componente negativo — manter e investigar","OK")</x:f>
        <x:v>OK</x:v>
      </x:c>
    </x:row>
    <x:row r="1623">
      <x:c r="A1623" s="51" t="n">
        <x:v>43101</x:v>
      </x:c>
      <x:c r="B1623" s="14" t="str">
        <x:v>Centro-Oeste</x:v>
      </x:c>
      <x:c r="C1623" s="14" t="str">
        <x:v>SISTEMAS ISOLADOS</x:v>
      </x:c>
      <x:c r="D1623" s="53" t="str">
        <x:v>Cativo</x:v>
      </x:c>
      <x:c r="E1623" s="49" t="n">
        <x:v>190.388</x:v>
      </x:c>
      <x:c r="F1623" s="52" t="n">
        <x:v>618</x:v>
      </x:c>
      <x:c r="G1623" s="54" t="n">
        <x:v>46220</x:v>
      </x:c>
      <x:c r="H1623" s="14" t="str">
        <x:f>IF(E1623&lt;0,"Componente negativo — manter e investigar","OK")</x:f>
        <x:v>OK</x:v>
      </x:c>
    </x:row>
    <x:row r="1624">
      <x:c r="A1624" s="51" t="n">
        <x:v>43101</x:v>
      </x:c>
      <x:c r="B1624" s="14" t="str">
        <x:v>Centro-Oeste</x:v>
      </x:c>
      <x:c r="C1624" s="14" t="str">
        <x:v>SUDESTE / CENTRO - OESTE</x:v>
      </x:c>
      <x:c r="D1624" s="53" t="str">
        <x:v>Cativo</x:v>
      </x:c>
      <x:c r="E1624" s="49" t="n">
        <x:v>990996.771</x:v>
      </x:c>
      <x:c r="F1624" s="52" t="n">
        <x:v>5344822</x:v>
      </x:c>
      <x:c r="G1624" s="54" t="n">
        <x:v>46220</x:v>
      </x:c>
      <x:c r="H1624" s="14" t="str">
        <x:f>IF(E1624&lt;0,"Componente negativo — manter e investigar","OK")</x:f>
        <x:v>OK</x:v>
      </x:c>
    </x:row>
    <x:row r="1625">
      <x:c r="A1625" s="51" t="n">
        <x:v>43101</x:v>
      </x:c>
      <x:c r="B1625" s="14" t="str">
        <x:v>Nordeste</x:v>
      </x:c>
      <x:c r="C1625" s="14" t="str">
        <x:v>NORDESTE</x:v>
      </x:c>
      <x:c r="D1625" s="53" t="str">
        <x:v>Cativo</x:v>
      </x:c>
      <x:c r="E1625" s="49" t="n">
        <x:v>2096845.289</x:v>
      </x:c>
      <x:c r="F1625" s="52" t="n">
        <x:v>16675837</x:v>
      </x:c>
      <x:c r="G1625" s="54" t="n">
        <x:v>46220</x:v>
      </x:c>
      <x:c r="H1625" s="14" t="str">
        <x:f>IF(E1625&lt;0,"Componente negativo — manter e investigar","OK")</x:f>
        <x:v>OK</x:v>
      </x:c>
    </x:row>
    <x:row r="1626">
      <x:c r="A1626" s="51" t="n">
        <x:v>43101</x:v>
      </x:c>
      <x:c r="B1626" s="14" t="str">
        <x:v>Nordeste</x:v>
      </x:c>
      <x:c r="C1626" s="14" t="str">
        <x:v>NORTE INTERLIGADO</x:v>
      </x:c>
      <x:c r="D1626" s="53" t="str">
        <x:v>Cativo</x:v>
      </x:c>
      <x:c r="E1626" s="49" t="n">
        <x:v>264547.957</x:v>
      </x:c>
      <x:c r="F1626" s="52" t="n">
        <x:v>2187285</x:v>
      </x:c>
      <x:c r="G1626" s="54" t="n">
        <x:v>46220</x:v>
      </x:c>
      <x:c r="H1626" s="14" t="str">
        <x:f>IF(E1626&lt;0,"Componente negativo — manter e investigar","OK")</x:f>
        <x:v>OK</x:v>
      </x:c>
    </x:row>
    <x:row r="1627">
      <x:c r="A1627" s="51" t="n">
        <x:v>43101</x:v>
      </x:c>
      <x:c r="B1627" s="14" t="str">
        <x:v>Nordeste</x:v>
      </x:c>
      <x:c r="C1627" s="14" t="str">
        <x:v>SISTEMAS ISOLADOS</x:v>
      </x:c>
      <x:c r="D1627" s="53" t="str">
        <x:v>Cativo</x:v>
      </x:c>
      <x:c r="E1627" s="49" t="n">
        <x:v>512</x:v>
      </x:c>
      <x:c r="F1627" s="52" t="n">
        <x:v>593</x:v>
      </x:c>
      <x:c r="G1627" s="54" t="n">
        <x:v>46220</x:v>
      </x:c>
      <x:c r="H1627" s="14" t="str">
        <x:f>IF(E1627&lt;0,"Componente negativo — manter e investigar","OK")</x:f>
        <x:v>OK</x:v>
      </x:c>
    </x:row>
    <x:row r="1628">
      <x:c r="A1628" s="51" t="n">
        <x:v>43101</x:v>
      </x:c>
      <x:c r="B1628" s="14" t="str">
        <x:v>Norte</x:v>
      </x:c>
      <x:c r="C1628" s="14" t="str">
        <x:v>NORTE INTERLIGADO</x:v>
      </x:c>
      <x:c r="D1628" s="53" t="str">
        <x:v>Cativo</x:v>
      </x:c>
      <x:c r="E1628" s="49" t="n">
        <x:v>509854.487</x:v>
      </x:c>
      <x:c r="F1628" s="52" t="n">
        <x:v>3282453</x:v>
      </x:c>
      <x:c r="G1628" s="54" t="n">
        <x:v>46220</x:v>
      </x:c>
      <x:c r="H1628" s="14" t="str">
        <x:f>IF(E1628&lt;0,"Componente negativo — manter e investigar","OK")</x:f>
        <x:v>OK</x:v>
      </x:c>
    </x:row>
    <x:row r="1629">
      <x:c r="A1629" s="51" t="n">
        <x:v>43101</x:v>
      </x:c>
      <x:c r="B1629" s="14" t="str">
        <x:v>Norte</x:v>
      </x:c>
      <x:c r="C1629" s="14" t="str">
        <x:v>SISTEMAS ISOLADOS</x:v>
      </x:c>
      <x:c r="D1629" s="53" t="str">
        <x:v>Cativo</x:v>
      </x:c>
      <x:c r="E1629" s="49" t="n">
        <x:v>115683.904</x:v>
      </x:c>
      <x:c r="F1629" s="52" t="n">
        <x:v>652745</x:v>
      </x:c>
      <x:c r="G1629" s="54" t="n">
        <x:v>46220</x:v>
      </x:c>
      <x:c r="H1629" s="14" t="str">
        <x:f>IF(E1629&lt;0,"Componente negativo — manter e investigar","OK")</x:f>
        <x:v>OK</x:v>
      </x:c>
    </x:row>
    <x:row r="1630">
      <x:c r="A1630" s="51" t="n">
        <x:v>43101</x:v>
      </x:c>
      <x:c r="B1630" s="14" t="str">
        <x:v>Norte</x:v>
      </x:c>
      <x:c r="C1630" s="14" t="str">
        <x:v>SUDESTE / CENTRO - OESTE</x:v>
      </x:c>
      <x:c r="D1630" s="53" t="str">
        <x:v>Cativo</x:v>
      </x:c>
      <x:c r="E1630" s="49" t="n">
        <x:v>123883.058</x:v>
      </x:c>
      <x:c r="F1630" s="52" t="n">
        <x:v>572301</x:v>
      </x:c>
      <x:c r="G1630" s="54" t="n">
        <x:v>46220</x:v>
      </x:c>
      <x:c r="H1630" s="14" t="str">
        <x:f>IF(E1630&lt;0,"Componente negativo — manter e investigar","OK")</x:f>
        <x:v>OK</x:v>
      </x:c>
    </x:row>
    <x:row r="1631">
      <x:c r="A1631" s="51" t="n">
        <x:v>43101</x:v>
      </x:c>
      <x:c r="B1631" s="14" t="str">
        <x:v>Sudeste</x:v>
      </x:c>
      <x:c r="C1631" s="14" t="str">
        <x:v>SUDESTE / CENTRO - OESTE</x:v>
      </x:c>
      <x:c r="D1631" s="53" t="str">
        <x:v>Cativo</x:v>
      </x:c>
      <x:c r="E1631" s="49" t="n">
        <x:v>5863005.333000001</x:v>
      </x:c>
      <x:c r="F1631" s="52" t="n">
        <x:v>32107093</x:v>
      </x:c>
      <x:c r="G1631" s="54" t="n">
        <x:v>46220</x:v>
      </x:c>
      <x:c r="H1631" s="14" t="str">
        <x:f>IF(E1631&lt;0,"Componente negativo — manter e investigar","OK")</x:f>
        <x:v>OK</x:v>
      </x:c>
    </x:row>
    <x:row r="1632">
      <x:c r="A1632" s="51" t="n">
        <x:v>43101</x:v>
      </x:c>
      <x:c r="B1632" s="14" t="str">
        <x:v>Sudeste</x:v>
      </x:c>
      <x:c r="C1632" s="14" t="str">
        <x:v>SUDESTE / CENTRO - OESTE</x:v>
      </x:c>
      <x:c r="D1632" s="53" t="str">
        <x:v>Livre</x:v>
      </x:c>
      <x:c r="E1632" s="49" t="n">
        <x:v>369.525</x:v>
      </x:c>
      <x:c r="F1632" s="52" t="n">
        <x:v>1</x:v>
      </x:c>
      <x:c r="G1632" s="54" t="n">
        <x:v>46220</x:v>
      </x:c>
      <x:c r="H1632" s="14" t="str">
        <x:f>IF(E1632&lt;0,"Componente negativo — manter e investigar","OK")</x:f>
        <x:v>OK</x:v>
      </x:c>
    </x:row>
    <x:row r="1633">
      <x:c r="A1633" s="51" t="n">
        <x:v>43101</x:v>
      </x:c>
      <x:c r="B1633" s="14" t="str">
        <x:v>Sul</x:v>
      </x:c>
      <x:c r="C1633" s="14" t="str">
        <x:v>SUL</x:v>
      </x:c>
      <x:c r="D1633" s="53" t="str">
        <x:v>Cativo</x:v>
      </x:c>
      <x:c r="E1633" s="49" t="n">
        <x:v>1991357.7410000002</x:v>
      </x:c>
      <x:c r="F1633" s="52" t="n">
        <x:v>10022248</x:v>
      </x:c>
      <x:c r="G1633" s="54" t="n">
        <x:v>46220</x:v>
      </x:c>
      <x:c r="H1633" s="14" t="str">
        <x:f>IF(E1633&lt;0,"Componente negativo — manter e investigar","OK")</x:f>
        <x:v>OK</x:v>
      </x:c>
    </x:row>
    <x:row r="1634">
      <x:c r="A1634" s="51" t="n">
        <x:v>43132</x:v>
      </x:c>
      <x:c r="B1634" s="14" t="str">
        <x:v>Centro-Oeste</x:v>
      </x:c>
      <x:c r="C1634" s="14" t="str">
        <x:v>SISTEMAS ISOLADOS</x:v>
      </x:c>
      <x:c r="D1634" s="53" t="str">
        <x:v>Cativo</x:v>
      </x:c>
      <x:c r="E1634" s="49" t="n">
        <x:v>115.097</x:v>
      </x:c>
      <x:c r="F1634" s="52" t="n">
        <x:v>620</x:v>
      </x:c>
      <x:c r="G1634" s="54" t="n">
        <x:v>46220</x:v>
      </x:c>
      <x:c r="H1634" s="14" t="str">
        <x:f>IF(E1634&lt;0,"Componente negativo — manter e investigar","OK")</x:f>
        <x:v>OK</x:v>
      </x:c>
    </x:row>
    <x:row r="1635">
      <x:c r="A1635" s="51" t="n">
        <x:v>43132</x:v>
      </x:c>
      <x:c r="B1635" s="14" t="str">
        <x:v>Centro-Oeste</x:v>
      </x:c>
      <x:c r="C1635" s="14" t="str">
        <x:v>SUDESTE / CENTRO - OESTE</x:v>
      </x:c>
      <x:c r="D1635" s="53" t="str">
        <x:v>Cativo</x:v>
      </x:c>
      <x:c r="E1635" s="49" t="n">
        <x:v>973650.0619999999</x:v>
      </x:c>
      <x:c r="F1635" s="52" t="n">
        <x:v>5351840</x:v>
      </x:c>
      <x:c r="G1635" s="54" t="n">
        <x:v>46220</x:v>
      </x:c>
      <x:c r="H1635" s="14" t="str">
        <x:f>IF(E1635&lt;0,"Componente negativo — manter e investigar","OK")</x:f>
        <x:v>OK</x:v>
      </x:c>
    </x:row>
    <x:row r="1636">
      <x:c r="A1636" s="51" t="n">
        <x:v>43132</x:v>
      </x:c>
      <x:c r="B1636" s="14" t="str">
        <x:v>Nordeste</x:v>
      </x:c>
      <x:c r="C1636" s="14" t="str">
        <x:v>NORDESTE</x:v>
      </x:c>
      <x:c r="D1636" s="53" t="str">
        <x:v>Cativo</x:v>
      </x:c>
      <x:c r="E1636" s="49" t="n">
        <x:v>2050647.4079999998</x:v>
      </x:c>
      <x:c r="F1636" s="52" t="n">
        <x:v>16704024</x:v>
      </x:c>
      <x:c r="G1636" s="54" t="n">
        <x:v>46220</x:v>
      </x:c>
      <x:c r="H1636" s="14" t="str">
        <x:f>IF(E1636&lt;0,"Componente negativo — manter e investigar","OK")</x:f>
        <x:v>OK</x:v>
      </x:c>
    </x:row>
    <x:row r="1637">
      <x:c r="A1637" s="51" t="n">
        <x:v>43132</x:v>
      </x:c>
      <x:c r="B1637" s="14" t="str">
        <x:v>Nordeste</x:v>
      </x:c>
      <x:c r="C1637" s="14" t="str">
        <x:v>NORTE INTERLIGADO</x:v>
      </x:c>
      <x:c r="D1637" s="53" t="str">
        <x:v>Cativo</x:v>
      </x:c>
      <x:c r="E1637" s="49" t="n">
        <x:v>247329.177</x:v>
      </x:c>
      <x:c r="F1637" s="52" t="n">
        <x:v>2184615</x:v>
      </x:c>
      <x:c r="G1637" s="54" t="n">
        <x:v>46220</x:v>
      </x:c>
      <x:c r="H1637" s="14" t="str">
        <x:f>IF(E1637&lt;0,"Componente negativo — manter e investigar","OK")</x:f>
        <x:v>OK</x:v>
      </x:c>
    </x:row>
    <x:row r="1638">
      <x:c r="A1638" s="51" t="n">
        <x:v>43132</x:v>
      </x:c>
      <x:c r="B1638" s="14" t="str">
        <x:v>Nordeste</x:v>
      </x:c>
      <x:c r="C1638" s="14" t="str">
        <x:v>SISTEMAS ISOLADOS</x:v>
      </x:c>
      <x:c r="D1638" s="53" t="str">
        <x:v>Cativo</x:v>
      </x:c>
      <x:c r="E1638" s="49" t="n">
        <x:v>512</x:v>
      </x:c>
      <x:c r="F1638" s="52" t="n">
        <x:v>595</x:v>
      </x:c>
      <x:c r="G1638" s="54" t="n">
        <x:v>46220</x:v>
      </x:c>
      <x:c r="H1638" s="14" t="str">
        <x:f>IF(E1638&lt;0,"Componente negativo — manter e investigar","OK")</x:f>
        <x:v>OK</x:v>
      </x:c>
    </x:row>
    <x:row r="1639">
      <x:c r="A1639" s="51" t="n">
        <x:v>43132</x:v>
      </x:c>
      <x:c r="B1639" s="14" t="str">
        <x:v>Norte</x:v>
      </x:c>
      <x:c r="C1639" s="14" t="str">
        <x:v>NORTE INTERLIGADO</x:v>
      </x:c>
      <x:c r="D1639" s="53" t="str">
        <x:v>Cativo</x:v>
      </x:c>
      <x:c r="E1639" s="49" t="n">
        <x:v>486033.1679999999</x:v>
      </x:c>
      <x:c r="F1639" s="52" t="n">
        <x:v>3279414</x:v>
      </x:c>
      <x:c r="G1639" s="54" t="n">
        <x:v>46220</x:v>
      </x:c>
      <x:c r="H1639" s="14" t="str">
        <x:f>IF(E1639&lt;0,"Componente negativo — manter e investigar","OK")</x:f>
        <x:v>OK</x:v>
      </x:c>
    </x:row>
    <x:row r="1640">
      <x:c r="A1640" s="51" t="n">
        <x:v>43132</x:v>
      </x:c>
      <x:c r="B1640" s="14" t="str">
        <x:v>Norte</x:v>
      </x:c>
      <x:c r="C1640" s="14" t="str">
        <x:v>SISTEMAS ISOLADOS</x:v>
      </x:c>
      <x:c r="D1640" s="53" t="str">
        <x:v>Cativo</x:v>
      </x:c>
      <x:c r="E1640" s="49" t="n">
        <x:v>117079.849</x:v>
      </x:c>
      <x:c r="F1640" s="52" t="n">
        <x:v>655244</x:v>
      </x:c>
      <x:c r="G1640" s="54" t="n">
        <x:v>46220</x:v>
      </x:c>
      <x:c r="H1640" s="14" t="str">
        <x:f>IF(E1640&lt;0,"Componente negativo — manter e investigar","OK")</x:f>
        <x:v>OK</x:v>
      </x:c>
    </x:row>
    <x:row r="1641">
      <x:c r="A1641" s="51" t="n">
        <x:v>43132</x:v>
      </x:c>
      <x:c r="B1641" s="14" t="str">
        <x:v>Norte</x:v>
      </x:c>
      <x:c r="C1641" s="14" t="str">
        <x:v>SUDESTE / CENTRO - OESTE</x:v>
      </x:c>
      <x:c r="D1641" s="53" t="str">
        <x:v>Cativo</x:v>
      </x:c>
      <x:c r="E1641" s="49" t="n">
        <x:v>118816.308</x:v>
      </x:c>
      <x:c r="F1641" s="52" t="n">
        <x:v>571944</x:v>
      </x:c>
      <x:c r="G1641" s="54" t="n">
        <x:v>46220</x:v>
      </x:c>
      <x:c r="H1641" s="14" t="str">
        <x:f>IF(E1641&lt;0,"Componente negativo — manter e investigar","OK")</x:f>
        <x:v>OK</x:v>
      </x:c>
    </x:row>
    <x:row r="1642">
      <x:c r="A1642" s="51" t="n">
        <x:v>43132</x:v>
      </x:c>
      <x:c r="B1642" s="14" t="str">
        <x:v>Sudeste</x:v>
      </x:c>
      <x:c r="C1642" s="14" t="str">
        <x:v>SUDESTE / CENTRO - OESTE</x:v>
      </x:c>
      <x:c r="D1642" s="53" t="str">
        <x:v>Cativo</x:v>
      </x:c>
      <x:c r="E1642" s="49" t="n">
        <x:v>5718025.908000001</x:v>
      </x:c>
      <x:c r="F1642" s="52" t="n">
        <x:v>32126044</x:v>
      </x:c>
      <x:c r="G1642" s="54" t="n">
        <x:v>46220</x:v>
      </x:c>
      <x:c r="H1642" s="14" t="str">
        <x:f>IF(E1642&lt;0,"Componente negativo — manter e investigar","OK")</x:f>
        <x:v>OK</x:v>
      </x:c>
    </x:row>
    <x:row r="1643">
      <x:c r="A1643" s="51" t="n">
        <x:v>43132</x:v>
      </x:c>
      <x:c r="B1643" s="14" t="str">
        <x:v>Sudeste</x:v>
      </x:c>
      <x:c r="C1643" s="14" t="str">
        <x:v>SUDESTE / CENTRO - OESTE</x:v>
      </x:c>
      <x:c r="D1643" s="53" t="str">
        <x:v>Livre</x:v>
      </x:c>
      <x:c r="E1643" s="49" t="n">
        <x:v>320.753</x:v>
      </x:c>
      <x:c r="F1643" s="52" t="n">
        <x:v>1</x:v>
      </x:c>
      <x:c r="G1643" s="54" t="n">
        <x:v>46220</x:v>
      </x:c>
      <x:c r="H1643" s="14" t="str">
        <x:f>IF(E1643&lt;0,"Componente negativo — manter e investigar","OK")</x:f>
        <x:v>OK</x:v>
      </x:c>
    </x:row>
    <x:row r="1644">
      <x:c r="A1644" s="51" t="n">
        <x:v>43132</x:v>
      </x:c>
      <x:c r="B1644" s="14" t="str">
        <x:v>Sul</x:v>
      </x:c>
      <x:c r="C1644" s="14" t="str">
        <x:v>SUL</x:v>
      </x:c>
      <x:c r="D1644" s="53" t="str">
        <x:v>Cativo</x:v>
      </x:c>
      <x:c r="E1644" s="49" t="n">
        <x:v>1946358.4860000003</x:v>
      </x:c>
      <x:c r="F1644" s="52" t="n">
        <x:v>10054464</x:v>
      </x:c>
      <x:c r="G1644" s="54" t="n">
        <x:v>46220</x:v>
      </x:c>
      <x:c r="H1644" s="14" t="str">
        <x:f>IF(E1644&lt;0,"Componente negativo — manter e investigar","OK")</x:f>
        <x:v>OK</x:v>
      </x:c>
    </x:row>
    <x:row r="1645">
      <x:c r="A1645" s="51" t="n">
        <x:v>43160</x:v>
      </x:c>
      <x:c r="B1645" s="14" t="str">
        <x:v>Centro-Oeste</x:v>
      </x:c>
      <x:c r="C1645" s="14" t="str">
        <x:v>SISTEMAS ISOLADOS</x:v>
      </x:c>
      <x:c r="D1645" s="53" t="str">
        <x:v>Cativo</x:v>
      </x:c>
      <x:c r="E1645" s="49" t="n">
        <x:v>119.448</x:v>
      </x:c>
      <x:c r="F1645" s="52" t="n">
        <x:v>620</x:v>
      </x:c>
      <x:c r="G1645" s="54" t="n">
        <x:v>46220</x:v>
      </x:c>
      <x:c r="H1645" s="14" t="str">
        <x:f>IF(E1645&lt;0,"Componente negativo — manter e investigar","OK")</x:f>
        <x:v>OK</x:v>
      </x:c>
    </x:row>
    <x:row r="1646">
      <x:c r="A1646" s="51" t="n">
        <x:v>43160</x:v>
      </x:c>
      <x:c r="B1646" s="14" t="str">
        <x:v>Centro-Oeste</x:v>
      </x:c>
      <x:c r="C1646" s="14" t="str">
        <x:v>SUDESTE / CENTRO - OESTE</x:v>
      </x:c>
      <x:c r="D1646" s="53" t="str">
        <x:v>Cativo</x:v>
      </x:c>
      <x:c r="E1646" s="49" t="n">
        <x:v>989782.226</x:v>
      </x:c>
      <x:c r="F1646" s="52" t="n">
        <x:v>5366412</x:v>
      </x:c>
      <x:c r="G1646" s="54" t="n">
        <x:v>46220</x:v>
      </x:c>
      <x:c r="H1646" s="14" t="str">
        <x:f>IF(E1646&lt;0,"Componente negativo — manter e investigar","OK")</x:f>
        <x:v>OK</x:v>
      </x:c>
    </x:row>
    <x:row r="1647">
      <x:c r="A1647" s="51" t="n">
        <x:v>43160</x:v>
      </x:c>
      <x:c r="B1647" s="14" t="str">
        <x:v>Nordeste</x:v>
      </x:c>
      <x:c r="C1647" s="14" t="str">
        <x:v>NORDESTE</x:v>
      </x:c>
      <x:c r="D1647" s="53" t="str">
        <x:v>Cativo</x:v>
      </x:c>
      <x:c r="E1647" s="49" t="n">
        <x:v>2083719.7440000002</x:v>
      </x:c>
      <x:c r="F1647" s="52" t="n">
        <x:v>16735500</x:v>
      </x:c>
      <x:c r="G1647" s="54" t="n">
        <x:v>46220</x:v>
      </x:c>
      <x:c r="H1647" s="14" t="str">
        <x:f>IF(E1647&lt;0,"Componente negativo — manter e investigar","OK")</x:f>
        <x:v>OK</x:v>
      </x:c>
    </x:row>
    <x:row r="1648">
      <x:c r="A1648" s="51" t="n">
        <x:v>43160</x:v>
      </x:c>
      <x:c r="B1648" s="14" t="str">
        <x:v>Nordeste</x:v>
      </x:c>
      <x:c r="C1648" s="14" t="str">
        <x:v>NORTE INTERLIGADO</x:v>
      </x:c>
      <x:c r="D1648" s="53" t="str">
        <x:v>Cativo</x:v>
      </x:c>
      <x:c r="E1648" s="49" t="n">
        <x:v>251610.892</x:v>
      </x:c>
      <x:c r="F1648" s="52" t="n">
        <x:v>2195090</x:v>
      </x:c>
      <x:c r="G1648" s="54" t="n">
        <x:v>46220</x:v>
      </x:c>
      <x:c r="H1648" s="14" t="str">
        <x:f>IF(E1648&lt;0,"Componente negativo — manter e investigar","OK")</x:f>
        <x:v>OK</x:v>
      </x:c>
    </x:row>
    <x:row r="1649">
      <x:c r="A1649" s="51" t="n">
        <x:v>43160</x:v>
      </x:c>
      <x:c r="B1649" s="14" t="str">
        <x:v>Nordeste</x:v>
      </x:c>
      <x:c r="C1649" s="14" t="str">
        <x:v>SISTEMAS ISOLADOS</x:v>
      </x:c>
      <x:c r="D1649" s="53" t="str">
        <x:v>Cativo</x:v>
      </x:c>
      <x:c r="E1649" s="49" t="n">
        <x:v>484</x:v>
      </x:c>
      <x:c r="F1649" s="52" t="n">
        <x:v>595</x:v>
      </x:c>
      <x:c r="G1649" s="54" t="n">
        <x:v>46220</x:v>
      </x:c>
      <x:c r="H1649" s="14" t="str">
        <x:f>IF(E1649&lt;0,"Componente negativo — manter e investigar","OK")</x:f>
        <x:v>OK</x:v>
      </x:c>
    </x:row>
    <x:row r="1650">
      <x:c r="A1650" s="51" t="n">
        <x:v>43160</x:v>
      </x:c>
      <x:c r="B1650" s="14" t="str">
        <x:v>Norte</x:v>
      </x:c>
      <x:c r="C1650" s="14" t="str">
        <x:v>NORTE INTERLIGADO</x:v>
      </x:c>
      <x:c r="D1650" s="53" t="str">
        <x:v>Cativo</x:v>
      </x:c>
      <x:c r="E1650" s="49" t="n">
        <x:v>511141.414</x:v>
      </x:c>
      <x:c r="F1650" s="52" t="n">
        <x:v>3314435</x:v>
      </x:c>
      <x:c r="G1650" s="54" t="n">
        <x:v>46220</x:v>
      </x:c>
      <x:c r="H1650" s="14" t="str">
        <x:f>IF(E1650&lt;0,"Componente negativo — manter e investigar","OK")</x:f>
        <x:v>OK</x:v>
      </x:c>
    </x:row>
    <x:row r="1651">
      <x:c r="A1651" s="51" t="n">
        <x:v>43160</x:v>
      </x:c>
      <x:c r="B1651" s="14" t="str">
        <x:v>Norte</x:v>
      </x:c>
      <x:c r="C1651" s="14" t="str">
        <x:v>SISTEMAS ISOLADOS</x:v>
      </x:c>
      <x:c r="D1651" s="53" t="str">
        <x:v>Cativo</x:v>
      </x:c>
      <x:c r="E1651" s="49" t="n">
        <x:v>115028.897</x:v>
      </x:c>
      <x:c r="F1651" s="52" t="n">
        <x:v>658047</x:v>
      </x:c>
      <x:c r="G1651" s="54" t="n">
        <x:v>46220</x:v>
      </x:c>
      <x:c r="H1651" s="14" t="str">
        <x:f>IF(E1651&lt;0,"Componente negativo — manter e investigar","OK")</x:f>
        <x:v>OK</x:v>
      </x:c>
    </x:row>
    <x:row r="1652">
      <x:c r="A1652" s="51" t="n">
        <x:v>43160</x:v>
      </x:c>
      <x:c r="B1652" s="14" t="str">
        <x:v>Norte</x:v>
      </x:c>
      <x:c r="C1652" s="14" t="str">
        <x:v>SUDESTE / CENTRO - OESTE</x:v>
      </x:c>
      <x:c r="D1652" s="53" t="str">
        <x:v>Cativo</x:v>
      </x:c>
      <x:c r="E1652" s="49" t="n">
        <x:v>123138.516</x:v>
      </x:c>
      <x:c r="F1652" s="52" t="n">
        <x:v>574256</x:v>
      </x:c>
      <x:c r="G1652" s="54" t="n">
        <x:v>46220</x:v>
      </x:c>
      <x:c r="H1652" s="14" t="str">
        <x:f>IF(E1652&lt;0,"Componente negativo — manter e investigar","OK")</x:f>
        <x:v>OK</x:v>
      </x:c>
    </x:row>
    <x:row r="1653">
      <x:c r="A1653" s="51" t="n">
        <x:v>43160</x:v>
      </x:c>
      <x:c r="B1653" s="14" t="str">
        <x:v>Sudeste</x:v>
      </x:c>
      <x:c r="C1653" s="14" t="str">
        <x:v>SUDESTE / CENTRO - OESTE</x:v>
      </x:c>
      <x:c r="D1653" s="53" t="str">
        <x:v>Cativo</x:v>
      </x:c>
      <x:c r="E1653" s="49" t="n">
        <x:v>5957253.971</x:v>
      </x:c>
      <x:c r="F1653" s="52" t="n">
        <x:v>32240235</x:v>
      </x:c>
      <x:c r="G1653" s="54" t="n">
        <x:v>46220</x:v>
      </x:c>
      <x:c r="H1653" s="14" t="str">
        <x:f>IF(E1653&lt;0,"Componente negativo — manter e investigar","OK")</x:f>
        <x:v>OK</x:v>
      </x:c>
    </x:row>
    <x:row r="1654">
      <x:c r="A1654" s="51" t="n">
        <x:v>43160</x:v>
      </x:c>
      <x:c r="B1654" s="14" t="str">
        <x:v>Sudeste</x:v>
      </x:c>
      <x:c r="C1654" s="14" t="str">
        <x:v>SUDESTE / CENTRO - OESTE</x:v>
      </x:c>
      <x:c r="D1654" s="53" t="str">
        <x:v>Livre</x:v>
      </x:c>
      <x:c r="E1654" s="49" t="n">
        <x:v>398.253</x:v>
      </x:c>
      <x:c r="F1654" s="52" t="n">
        <x:v>1</x:v>
      </x:c>
      <x:c r="G1654" s="54" t="n">
        <x:v>46220</x:v>
      </x:c>
      <x:c r="H1654" s="14" t="str">
        <x:f>IF(E1654&lt;0,"Componente negativo — manter e investigar","OK")</x:f>
        <x:v>OK</x:v>
      </x:c>
    </x:row>
    <x:row r="1655">
      <x:c r="A1655" s="51" t="n">
        <x:v>43160</x:v>
      </x:c>
      <x:c r="B1655" s="14" t="str">
        <x:v>Sul</x:v>
      </x:c>
      <x:c r="C1655" s="14" t="str">
        <x:v>SUL</x:v>
      </x:c>
      <x:c r="D1655" s="53" t="str">
        <x:v>Cativo</x:v>
      </x:c>
      <x:c r="E1655" s="49" t="n">
        <x:v>1917646.5039999997</x:v>
      </x:c>
      <x:c r="F1655" s="52" t="n">
        <x:v>10080823</x:v>
      </x:c>
      <x:c r="G1655" s="54" t="n">
        <x:v>46220</x:v>
      </x:c>
      <x:c r="H1655" s="14" t="str">
        <x:f>IF(E1655&lt;0,"Componente negativo — manter e investigar","OK")</x:f>
        <x:v>OK</x:v>
      </x:c>
    </x:row>
    <x:row r="1656">
      <x:c r="A1656" s="51" t="n">
        <x:v>43191</x:v>
      </x:c>
      <x:c r="B1656" s="14" t="str">
        <x:v>Centro-Oeste</x:v>
      </x:c>
      <x:c r="C1656" s="14" t="str">
        <x:v>SISTEMAS ISOLADOS</x:v>
      </x:c>
      <x:c r="D1656" s="53" t="str">
        <x:v>Cativo</x:v>
      </x:c>
      <x:c r="E1656" s="49" t="n">
        <x:v>128.011</x:v>
      </x:c>
      <x:c r="F1656" s="52" t="n">
        <x:v>630</x:v>
      </x:c>
      <x:c r="G1656" s="54" t="n">
        <x:v>46220</x:v>
      </x:c>
      <x:c r="H1656" s="14" t="str">
        <x:f>IF(E1656&lt;0,"Componente negativo — manter e investigar","OK")</x:f>
        <x:v>OK</x:v>
      </x:c>
    </x:row>
    <x:row r="1657">
      <x:c r="A1657" s="51" t="n">
        <x:v>43191</x:v>
      </x:c>
      <x:c r="B1657" s="14" t="str">
        <x:v>Centro-Oeste</x:v>
      </x:c>
      <x:c r="C1657" s="14" t="str">
        <x:v>SUDESTE / CENTRO - OESTE</x:v>
      </x:c>
      <x:c r="D1657" s="53" t="str">
        <x:v>Cativo</x:v>
      </x:c>
      <x:c r="E1657" s="49" t="n">
        <x:v>1010520.4919999999</x:v>
      </x:c>
      <x:c r="F1657" s="52" t="n">
        <x:v>5380478</x:v>
      </x:c>
      <x:c r="G1657" s="54" t="n">
        <x:v>46220</x:v>
      </x:c>
      <x:c r="H1657" s="14" t="str">
        <x:f>IF(E1657&lt;0,"Componente negativo — manter e investigar","OK")</x:f>
        <x:v>OK</x:v>
      </x:c>
    </x:row>
    <x:row r="1658">
      <x:c r="A1658" s="51" t="n">
        <x:v>43191</x:v>
      </x:c>
      <x:c r="B1658" s="14" t="str">
        <x:v>Nordeste</x:v>
      </x:c>
      <x:c r="C1658" s="14" t="str">
        <x:v>NORDESTE</x:v>
      </x:c>
      <x:c r="D1658" s="53" t="str">
        <x:v>Cativo</x:v>
      </x:c>
      <x:c r="E1658" s="49" t="n">
        <x:v>2108675.721</x:v>
      </x:c>
      <x:c r="F1658" s="52" t="n">
        <x:v>16767645</x:v>
      </x:c>
      <x:c r="G1658" s="54" t="n">
        <x:v>46220</x:v>
      </x:c>
      <x:c r="H1658" s="14" t="str">
        <x:f>IF(E1658&lt;0,"Componente negativo — manter e investigar","OK")</x:f>
        <x:v>OK</x:v>
      </x:c>
    </x:row>
    <x:row r="1659">
      <x:c r="A1659" s="51" t="n">
        <x:v>43191</x:v>
      </x:c>
      <x:c r="B1659" s="14" t="str">
        <x:v>Nordeste</x:v>
      </x:c>
      <x:c r="C1659" s="14" t="str">
        <x:v>NORTE INTERLIGADO</x:v>
      </x:c>
      <x:c r="D1659" s="53" t="str">
        <x:v>Cativo</x:v>
      </x:c>
      <x:c r="E1659" s="49" t="n">
        <x:v>257660.036</x:v>
      </x:c>
      <x:c r="F1659" s="52" t="n">
        <x:v>2199587</x:v>
      </x:c>
      <x:c r="G1659" s="54" t="n">
        <x:v>46220</x:v>
      </x:c>
      <x:c r="H1659" s="14" t="str">
        <x:f>IF(E1659&lt;0,"Componente negativo — manter e investigar","OK")</x:f>
        <x:v>OK</x:v>
      </x:c>
    </x:row>
    <x:row r="1660">
      <x:c r="A1660" s="51" t="n">
        <x:v>43191</x:v>
      </x:c>
      <x:c r="B1660" s="14" t="str">
        <x:v>Nordeste</x:v>
      </x:c>
      <x:c r="C1660" s="14" t="str">
        <x:v>SISTEMAS ISOLADOS</x:v>
      </x:c>
      <x:c r="D1660" s="53" t="str">
        <x:v>Cativo</x:v>
      </x:c>
      <x:c r="E1660" s="49" t="n">
        <x:v>547</x:v>
      </x:c>
      <x:c r="F1660" s="52" t="n">
        <x:v>595</x:v>
      </x:c>
      <x:c r="G1660" s="54" t="n">
        <x:v>46220</x:v>
      </x:c>
      <x:c r="H1660" s="14" t="str">
        <x:f>IF(E1660&lt;0,"Componente negativo — manter e investigar","OK")</x:f>
        <x:v>OK</x:v>
      </x:c>
    </x:row>
    <x:row r="1661">
      <x:c r="A1661" s="51" t="n">
        <x:v>43191</x:v>
      </x:c>
      <x:c r="B1661" s="14" t="str">
        <x:v>Norte</x:v>
      </x:c>
      <x:c r="C1661" s="14" t="str">
        <x:v>NORTE INTERLIGADO</x:v>
      </x:c>
      <x:c r="D1661" s="53" t="str">
        <x:v>Cativo</x:v>
      </x:c>
      <x:c r="E1661" s="49" t="n">
        <x:v>522758.351</x:v>
      </x:c>
      <x:c r="F1661" s="52" t="n">
        <x:v>3314348</x:v>
      </x:c>
      <x:c r="G1661" s="54" t="n">
        <x:v>46220</x:v>
      </x:c>
      <x:c r="H1661" s="14" t="str">
        <x:f>IF(E1661&lt;0,"Componente negativo — manter e investigar","OK")</x:f>
        <x:v>OK</x:v>
      </x:c>
    </x:row>
    <x:row r="1662">
      <x:c r="A1662" s="51" t="n">
        <x:v>43191</x:v>
      </x:c>
      <x:c r="B1662" s="14" t="str">
        <x:v>Norte</x:v>
      </x:c>
      <x:c r="C1662" s="14" t="str">
        <x:v>SISTEMAS ISOLADOS</x:v>
      </x:c>
      <x:c r="D1662" s="53" t="str">
        <x:v>Cativo</x:v>
      </x:c>
      <x:c r="E1662" s="49" t="n">
        <x:v>120890.062</x:v>
      </x:c>
      <x:c r="F1662" s="52" t="n">
        <x:v>660020</x:v>
      </x:c>
      <x:c r="G1662" s="54" t="n">
        <x:v>46220</x:v>
      </x:c>
      <x:c r="H1662" s="14" t="str">
        <x:f>IF(E1662&lt;0,"Componente negativo — manter e investigar","OK")</x:f>
        <x:v>OK</x:v>
      </x:c>
    </x:row>
    <x:row r="1663">
      <x:c r="A1663" s="51" t="n">
        <x:v>43191</x:v>
      </x:c>
      <x:c r="B1663" s="14" t="str">
        <x:v>Norte</x:v>
      </x:c>
      <x:c r="C1663" s="14" t="str">
        <x:v>SUDESTE / CENTRO - OESTE</x:v>
      </x:c>
      <x:c r="D1663" s="53" t="str">
        <x:v>Cativo</x:v>
      </x:c>
      <x:c r="E1663" s="49" t="n">
        <x:v>117444.225</x:v>
      </x:c>
      <x:c r="F1663" s="52" t="n">
        <x:v>576820</x:v>
      </x:c>
      <x:c r="G1663" s="54" t="n">
        <x:v>46220</x:v>
      </x:c>
      <x:c r="H1663" s="14" t="str">
        <x:f>IF(E1663&lt;0,"Componente negativo — manter e investigar","OK")</x:f>
        <x:v>OK</x:v>
      </x:c>
    </x:row>
    <x:row r="1664">
      <x:c r="A1664" s="51" t="n">
        <x:v>43191</x:v>
      </x:c>
      <x:c r="B1664" s="14" t="str">
        <x:v>Sudeste</x:v>
      </x:c>
      <x:c r="C1664" s="14" t="str">
        <x:v>SUDESTE / CENTRO - OESTE</x:v>
      </x:c>
      <x:c r="D1664" s="53" t="str">
        <x:v>Cativo</x:v>
      </x:c>
      <x:c r="E1664" s="49" t="n">
        <x:v>5957363.013</x:v>
      </x:c>
      <x:c r="F1664" s="52" t="n">
        <x:v>32304506</x:v>
      </x:c>
      <x:c r="G1664" s="54" t="n">
        <x:v>46220</x:v>
      </x:c>
      <x:c r="H1664" s="14" t="str">
        <x:f>IF(E1664&lt;0,"Componente negativo — manter e investigar","OK")</x:f>
        <x:v>OK</x:v>
      </x:c>
    </x:row>
    <x:row r="1665">
      <x:c r="A1665" s="51" t="n">
        <x:v>43191</x:v>
      </x:c>
      <x:c r="B1665" s="14" t="str">
        <x:v>Sudeste</x:v>
      </x:c>
      <x:c r="C1665" s="14" t="str">
        <x:v>SUDESTE / CENTRO - OESTE</x:v>
      </x:c>
      <x:c r="D1665" s="53" t="str">
        <x:v>Livre</x:v>
      </x:c>
      <x:c r="E1665" s="49" t="n">
        <x:v>383.451</x:v>
      </x:c>
      <x:c r="F1665" s="52" t="n">
        <x:v>1</x:v>
      </x:c>
      <x:c r="G1665" s="54" t="n">
        <x:v>46220</x:v>
      </x:c>
      <x:c r="H1665" s="14" t="str">
        <x:f>IF(E1665&lt;0,"Componente negativo — manter e investigar","OK")</x:f>
        <x:v>OK</x:v>
      </x:c>
    </x:row>
    <x:row r="1666">
      <x:c r="A1666" s="51" t="n">
        <x:v>43191</x:v>
      </x:c>
      <x:c r="B1666" s="14" t="str">
        <x:v>Sul</x:v>
      </x:c>
      <x:c r="C1666" s="14" t="str">
        <x:v>SUL</x:v>
      </x:c>
      <x:c r="D1666" s="53" t="str">
        <x:v>Cativo</x:v>
      </x:c>
      <x:c r="E1666" s="49" t="n">
        <x:v>1836582.889</x:v>
      </x:c>
      <x:c r="F1666" s="52" t="n">
        <x:v>10092700</x:v>
      </x:c>
      <x:c r="G1666" s="54" t="n">
        <x:v>46220</x:v>
      </x:c>
      <x:c r="H1666" s="14" t="str">
        <x:f>IF(E1666&lt;0,"Componente negativo — manter e investigar","OK")</x:f>
        <x:v>OK</x:v>
      </x:c>
    </x:row>
    <x:row r="1667">
      <x:c r="A1667" s="51" t="n">
        <x:v>43221</x:v>
      </x:c>
      <x:c r="B1667" s="14" t="str">
        <x:v>Centro-Oeste</x:v>
      </x:c>
      <x:c r="C1667" s="14" t="str">
        <x:v>SISTEMAS ISOLADOS</x:v>
      </x:c>
      <x:c r="D1667" s="53" t="str">
        <x:v>Cativo</x:v>
      </x:c>
      <x:c r="E1667" s="49" t="n">
        <x:v>137.226</x:v>
      </x:c>
      <x:c r="F1667" s="52" t="n">
        <x:v>635</x:v>
      </x:c>
      <x:c r="G1667" s="54" t="n">
        <x:v>46220</x:v>
      </x:c>
      <x:c r="H1667" s="14" t="str">
        <x:f>IF(E1667&lt;0,"Componente negativo — manter e investigar","OK")</x:f>
        <x:v>OK</x:v>
      </x:c>
    </x:row>
    <x:row r="1668">
      <x:c r="A1668" s="51" t="n">
        <x:v>43221</x:v>
      </x:c>
      <x:c r="B1668" s="14" t="str">
        <x:v>Centro-Oeste</x:v>
      </x:c>
      <x:c r="C1668" s="14" t="str">
        <x:v>SUDESTE / CENTRO - OESTE</x:v>
      </x:c>
      <x:c r="D1668" s="53" t="str">
        <x:v>Cativo</x:v>
      </x:c>
      <x:c r="E1668" s="49" t="n">
        <x:v>973343.6410000001</x:v>
      </x:c>
      <x:c r="F1668" s="52" t="n">
        <x:v>5394577</x:v>
      </x:c>
      <x:c r="G1668" s="54" t="n">
        <x:v>46220</x:v>
      </x:c>
      <x:c r="H1668" s="14" t="str">
        <x:f>IF(E1668&lt;0,"Componente negativo — manter e investigar","OK")</x:f>
        <x:v>OK</x:v>
      </x:c>
    </x:row>
    <x:row r="1669">
      <x:c r="A1669" s="51" t="n">
        <x:v>43221</x:v>
      </x:c>
      <x:c r="B1669" s="14" t="str">
        <x:v>Nordeste</x:v>
      </x:c>
      <x:c r="C1669" s="14" t="str">
        <x:v>NORDESTE</x:v>
      </x:c>
      <x:c r="D1669" s="53" t="str">
        <x:v>Cativo</x:v>
      </x:c>
      <x:c r="E1669" s="49" t="n">
        <x:v>2021117.366</x:v>
      </x:c>
      <x:c r="F1669" s="52" t="n">
        <x:v>16794683</x:v>
      </x:c>
      <x:c r="G1669" s="54" t="n">
        <x:v>46220</x:v>
      </x:c>
      <x:c r="H1669" s="14" t="str">
        <x:f>IF(E1669&lt;0,"Componente negativo — manter e investigar","OK")</x:f>
        <x:v>OK</x:v>
      </x:c>
    </x:row>
    <x:row r="1670">
      <x:c r="A1670" s="51" t="n">
        <x:v>43221</x:v>
      </x:c>
      <x:c r="B1670" s="14" t="str">
        <x:v>Nordeste</x:v>
      </x:c>
      <x:c r="C1670" s="14" t="str">
        <x:v>NORTE INTERLIGADO</x:v>
      </x:c>
      <x:c r="D1670" s="53" t="str">
        <x:v>Cativo</x:v>
      </x:c>
      <x:c r="E1670" s="49" t="n">
        <x:v>258473.479</x:v>
      </x:c>
      <x:c r="F1670" s="52" t="n">
        <x:v>2202128</x:v>
      </x:c>
      <x:c r="G1670" s="54" t="n">
        <x:v>46220</x:v>
      </x:c>
      <x:c r="H1670" s="14" t="str">
        <x:f>IF(E1670&lt;0,"Componente negativo — manter e investigar","OK")</x:f>
        <x:v>OK</x:v>
      </x:c>
    </x:row>
    <x:row r="1671">
      <x:c r="A1671" s="51" t="n">
        <x:v>43221</x:v>
      </x:c>
      <x:c r="B1671" s="14" t="str">
        <x:v>Nordeste</x:v>
      </x:c>
      <x:c r="C1671" s="14" t="str">
        <x:v>SISTEMAS ISOLADOS</x:v>
      </x:c>
      <x:c r="D1671" s="53" t="str">
        <x:v>Cativo</x:v>
      </x:c>
      <x:c r="E1671" s="49" t="n">
        <x:v>529</x:v>
      </x:c>
      <x:c r="F1671" s="52" t="n">
        <x:v>600</x:v>
      </x:c>
      <x:c r="G1671" s="54" t="n">
        <x:v>46220</x:v>
      </x:c>
      <x:c r="H1671" s="14" t="str">
        <x:f>IF(E1671&lt;0,"Componente negativo — manter e investigar","OK")</x:f>
        <x:v>OK</x:v>
      </x:c>
    </x:row>
    <x:row r="1672">
      <x:c r="A1672" s="51" t="n">
        <x:v>43221</x:v>
      </x:c>
      <x:c r="B1672" s="14" t="str">
        <x:v>Norte</x:v>
      </x:c>
      <x:c r="C1672" s="14" t="str">
        <x:v>NORTE INTERLIGADO</x:v>
      </x:c>
      <x:c r="D1672" s="53" t="str">
        <x:v>Cativo</x:v>
      </x:c>
      <x:c r="E1672" s="49" t="n">
        <x:v>542668.6</x:v>
      </x:c>
      <x:c r="F1672" s="52" t="n">
        <x:v>3322733</x:v>
      </x:c>
      <x:c r="G1672" s="54" t="n">
        <x:v>46220</x:v>
      </x:c>
      <x:c r="H1672" s="14" t="str">
        <x:f>IF(E1672&lt;0,"Componente negativo — manter e investigar","OK")</x:f>
        <x:v>OK</x:v>
      </x:c>
    </x:row>
    <x:row r="1673">
      <x:c r="A1673" s="51" t="n">
        <x:v>43221</x:v>
      </x:c>
      <x:c r="B1673" s="14" t="str">
        <x:v>Norte</x:v>
      </x:c>
      <x:c r="C1673" s="14" t="str">
        <x:v>SISTEMAS ISOLADOS</x:v>
      </x:c>
      <x:c r="D1673" s="53" t="str">
        <x:v>Cativo</x:v>
      </x:c>
      <x:c r="E1673" s="49" t="n">
        <x:v>113577.977</x:v>
      </x:c>
      <x:c r="F1673" s="52" t="n">
        <x:v>662865</x:v>
      </x:c>
      <x:c r="G1673" s="54" t="n">
        <x:v>46220</x:v>
      </x:c>
      <x:c r="H1673" s="14" t="str">
        <x:f>IF(E1673&lt;0,"Componente negativo — manter e investigar","OK")</x:f>
        <x:v>OK</x:v>
      </x:c>
    </x:row>
    <x:row r="1674">
      <x:c r="A1674" s="51" t="n">
        <x:v>43221</x:v>
      </x:c>
      <x:c r="B1674" s="14" t="str">
        <x:v>Norte</x:v>
      </x:c>
      <x:c r="C1674" s="14" t="str">
        <x:v>SUDESTE / CENTRO - OESTE</x:v>
      </x:c>
      <x:c r="D1674" s="53" t="str">
        <x:v>Cativo</x:v>
      </x:c>
      <x:c r="E1674" s="49" t="n">
        <x:v>128201.733</x:v>
      </x:c>
      <x:c r="F1674" s="52" t="n">
        <x:v>577856</x:v>
      </x:c>
      <x:c r="G1674" s="54" t="n">
        <x:v>46220</x:v>
      </x:c>
      <x:c r="H1674" s="14" t="str">
        <x:f>IF(E1674&lt;0,"Componente negativo — manter e investigar","OK")</x:f>
        <x:v>OK</x:v>
      </x:c>
    </x:row>
    <x:row r="1675">
      <x:c r="A1675" s="51" t="n">
        <x:v>43221</x:v>
      </x:c>
      <x:c r="B1675" s="14" t="str">
        <x:v>Sudeste</x:v>
      </x:c>
      <x:c r="C1675" s="14" t="str">
        <x:v>SUDESTE / CENTRO - OESTE</x:v>
      </x:c>
      <x:c r="D1675" s="53" t="str">
        <x:v>Cativo</x:v>
      </x:c>
      <x:c r="E1675" s="49" t="n">
        <x:v>5536148.696</x:v>
      </x:c>
      <x:c r="F1675" s="52" t="n">
        <x:v>32319048</x:v>
      </x:c>
      <x:c r="G1675" s="54" t="n">
        <x:v>46220</x:v>
      </x:c>
      <x:c r="H1675" s="14" t="str">
        <x:f>IF(E1675&lt;0,"Componente negativo — manter e investigar","OK")</x:f>
        <x:v>OK</x:v>
      </x:c>
    </x:row>
    <x:row r="1676">
      <x:c r="A1676" s="51" t="n">
        <x:v>43221</x:v>
      </x:c>
      <x:c r="B1676" s="14" t="str">
        <x:v>Sudeste</x:v>
      </x:c>
      <x:c r="C1676" s="14" t="str">
        <x:v>SUDESTE / CENTRO - OESTE</x:v>
      </x:c>
      <x:c r="D1676" s="53" t="str">
        <x:v>Livre</x:v>
      </x:c>
      <x:c r="E1676" s="49" t="n">
        <x:v>374.941</x:v>
      </x:c>
      <x:c r="F1676" s="52" t="n">
        <x:v>1</x:v>
      </x:c>
      <x:c r="G1676" s="54" t="n">
        <x:v>46220</x:v>
      </x:c>
      <x:c r="H1676" s="14" t="str">
        <x:f>IF(E1676&lt;0,"Componente negativo — manter e investigar","OK")</x:f>
        <x:v>OK</x:v>
      </x:c>
    </x:row>
    <x:row r="1677">
      <x:c r="A1677" s="51" t="n">
        <x:v>43221</x:v>
      </x:c>
      <x:c r="B1677" s="14" t="str">
        <x:v>Sul</x:v>
      </x:c>
      <x:c r="C1677" s="14" t="str">
        <x:v>SUL</x:v>
      </x:c>
      <x:c r="D1677" s="53" t="str">
        <x:v>Cativo</x:v>
      </x:c>
      <x:c r="E1677" s="49" t="n">
        <x:v>1826147.832</x:v>
      </x:c>
      <x:c r="F1677" s="52" t="n">
        <x:v>10115773</x:v>
      </x:c>
      <x:c r="G1677" s="54" t="n">
        <x:v>46220</x:v>
      </x:c>
      <x:c r="H1677" s="14" t="str">
        <x:f>IF(E1677&lt;0,"Componente negativo — manter e investigar","OK")</x:f>
        <x:v>OK</x:v>
      </x:c>
    </x:row>
    <x:row r="1678">
      <x:c r="A1678" s="51" t="n">
        <x:v>43252</x:v>
      </x:c>
      <x:c r="B1678" s="14" t="str">
        <x:v>Centro-Oeste</x:v>
      </x:c>
      <x:c r="C1678" s="14" t="str">
        <x:v>SISTEMAS ISOLADOS</x:v>
      </x:c>
      <x:c r="D1678" s="53" t="str">
        <x:v>Cativo</x:v>
      </x:c>
      <x:c r="E1678" s="49" t="n">
        <x:v>121.619</x:v>
      </x:c>
      <x:c r="F1678" s="52" t="n">
        <x:v>642</x:v>
      </x:c>
      <x:c r="G1678" s="54" t="n">
        <x:v>46220</x:v>
      </x:c>
      <x:c r="H1678" s="14" t="str">
        <x:f>IF(E1678&lt;0,"Componente negativo — manter e investigar","OK")</x:f>
        <x:v>OK</x:v>
      </x:c>
    </x:row>
    <x:row r="1679">
      <x:c r="A1679" s="51" t="n">
        <x:v>43252</x:v>
      </x:c>
      <x:c r="B1679" s="14" t="str">
        <x:v>Centro-Oeste</x:v>
      </x:c>
      <x:c r="C1679" s="14" t="str">
        <x:v>SUDESTE / CENTRO - OESTE</x:v>
      </x:c>
      <x:c r="D1679" s="53" t="str">
        <x:v>Cativo</x:v>
      </x:c>
      <x:c r="E1679" s="49" t="n">
        <x:v>908560.647</x:v>
      </x:c>
      <x:c r="F1679" s="52" t="n">
        <x:v>5402822</x:v>
      </x:c>
      <x:c r="G1679" s="54" t="n">
        <x:v>46220</x:v>
      </x:c>
      <x:c r="H1679" s="14" t="str">
        <x:f>IF(E1679&lt;0,"Componente negativo — manter e investigar","OK")</x:f>
        <x:v>OK</x:v>
      </x:c>
    </x:row>
    <x:row r="1680">
      <x:c r="A1680" s="51" t="n">
        <x:v>43252</x:v>
      </x:c>
      <x:c r="B1680" s="14" t="str">
        <x:v>Nordeste</x:v>
      </x:c>
      <x:c r="C1680" s="14" t="str">
        <x:v>NORDESTE</x:v>
      </x:c>
      <x:c r="D1680" s="53" t="str">
        <x:v>Cativo</x:v>
      </x:c>
      <x:c r="E1680" s="49" t="n">
        <x:v>2011535.493</x:v>
      </x:c>
      <x:c r="F1680" s="52" t="n">
        <x:v>16814998</x:v>
      </x:c>
      <x:c r="G1680" s="54" t="n">
        <x:v>46220</x:v>
      </x:c>
      <x:c r="H1680" s="14" t="str">
        <x:f>IF(E1680&lt;0,"Componente negativo — manter e investigar","OK")</x:f>
        <x:v>OK</x:v>
      </x:c>
    </x:row>
    <x:row r="1681">
      <x:c r="A1681" s="51" t="n">
        <x:v>43252</x:v>
      </x:c>
      <x:c r="B1681" s="14" t="str">
        <x:v>Nordeste</x:v>
      </x:c>
      <x:c r="C1681" s="14" t="str">
        <x:v>NORTE INTERLIGADO</x:v>
      </x:c>
      <x:c r="D1681" s="53" t="str">
        <x:v>Cativo</x:v>
      </x:c>
      <x:c r="E1681" s="49" t="n">
        <x:v>266036.347</x:v>
      </x:c>
      <x:c r="F1681" s="52" t="n">
        <x:v>2212116</x:v>
      </x:c>
      <x:c r="G1681" s="54" t="n">
        <x:v>46220</x:v>
      </x:c>
      <x:c r="H1681" s="14" t="str">
        <x:f>IF(E1681&lt;0,"Componente negativo — manter e investigar","OK")</x:f>
        <x:v>OK</x:v>
      </x:c>
    </x:row>
    <x:row r="1682">
      <x:c r="A1682" s="51" t="n">
        <x:v>43252</x:v>
      </x:c>
      <x:c r="B1682" s="14" t="str">
        <x:v>Nordeste</x:v>
      </x:c>
      <x:c r="C1682" s="14" t="str">
        <x:v>SISTEMAS ISOLADOS</x:v>
      </x:c>
      <x:c r="D1682" s="53" t="str">
        <x:v>Cativo</x:v>
      </x:c>
      <x:c r="E1682" s="49" t="n">
        <x:v>499</x:v>
      </x:c>
      <x:c r="F1682" s="52" t="n">
        <x:v>597</x:v>
      </x:c>
      <x:c r="G1682" s="54" t="n">
        <x:v>46220</x:v>
      </x:c>
      <x:c r="H1682" s="14" t="str">
        <x:f>IF(E1682&lt;0,"Componente negativo — manter e investigar","OK")</x:f>
        <x:v>OK</x:v>
      </x:c>
    </x:row>
    <x:row r="1683">
      <x:c r="A1683" s="51" t="n">
        <x:v>43252</x:v>
      </x:c>
      <x:c r="B1683" s="14" t="str">
        <x:v>Norte</x:v>
      </x:c>
      <x:c r="C1683" s="14" t="str">
        <x:v>NORTE INTERLIGADO</x:v>
      </x:c>
      <x:c r="D1683" s="53" t="str">
        <x:v>Cativo</x:v>
      </x:c>
      <x:c r="E1683" s="49" t="n">
        <x:v>549773.682</x:v>
      </x:c>
      <x:c r="F1683" s="52" t="n">
        <x:v>3328508</x:v>
      </x:c>
      <x:c r="G1683" s="54" t="n">
        <x:v>46220</x:v>
      </x:c>
      <x:c r="H1683" s="14" t="str">
        <x:f>IF(E1683&lt;0,"Componente negativo — manter e investigar","OK")</x:f>
        <x:v>OK</x:v>
      </x:c>
    </x:row>
    <x:row r="1684">
      <x:c r="A1684" s="51" t="n">
        <x:v>43252</x:v>
      </x:c>
      <x:c r="B1684" s="14" t="str">
        <x:v>Norte</x:v>
      </x:c>
      <x:c r="C1684" s="14" t="str">
        <x:v>SISTEMAS ISOLADOS</x:v>
      </x:c>
      <x:c r="D1684" s="53" t="str">
        <x:v>Cativo</x:v>
      </x:c>
      <x:c r="E1684" s="49" t="n">
        <x:v>111676.087</x:v>
      </x:c>
      <x:c r="F1684" s="52" t="n">
        <x:v>665346</x:v>
      </x:c>
      <x:c r="G1684" s="54" t="n">
        <x:v>46220</x:v>
      </x:c>
      <x:c r="H1684" s="14" t="str">
        <x:f>IF(E1684&lt;0,"Componente negativo — manter e investigar","OK")</x:f>
        <x:v>OK</x:v>
      </x:c>
    </x:row>
    <x:row r="1685">
      <x:c r="A1685" s="51" t="n">
        <x:v>43252</x:v>
      </x:c>
      <x:c r="B1685" s="14" t="str">
        <x:v>Norte</x:v>
      </x:c>
      <x:c r="C1685" s="14" t="str">
        <x:v>SUDESTE / CENTRO - OESTE</x:v>
      </x:c>
      <x:c r="D1685" s="53" t="str">
        <x:v>Cativo</x:v>
      </x:c>
      <x:c r="E1685" s="49" t="n">
        <x:v>115526.542</x:v>
      </x:c>
      <x:c r="F1685" s="52" t="n">
        <x:v>577217</x:v>
      </x:c>
      <x:c r="G1685" s="54" t="n">
        <x:v>46220</x:v>
      </x:c>
      <x:c r="H1685" s="14" t="str">
        <x:f>IF(E1685&lt;0,"Componente negativo — manter e investigar","OK")</x:f>
        <x:v>OK</x:v>
      </x:c>
    </x:row>
    <x:row r="1686">
      <x:c r="A1686" s="51" t="n">
        <x:v>43252</x:v>
      </x:c>
      <x:c r="B1686" s="14" t="str">
        <x:v>Sudeste</x:v>
      </x:c>
      <x:c r="C1686" s="14" t="str">
        <x:v>SUDESTE / CENTRO - OESTE</x:v>
      </x:c>
      <x:c r="D1686" s="53" t="str">
        <x:v>Cativo</x:v>
      </x:c>
      <x:c r="E1686" s="49" t="n">
        <x:v>5320252.640000001</x:v>
      </x:c>
      <x:c r="F1686" s="52" t="n">
        <x:v>32359780</x:v>
      </x:c>
      <x:c r="G1686" s="54" t="n">
        <x:v>46220</x:v>
      </x:c>
      <x:c r="H1686" s="14" t="str">
        <x:f>IF(E1686&lt;0,"Componente negativo — manter e investigar","OK")</x:f>
        <x:v>OK</x:v>
      </x:c>
    </x:row>
    <x:row r="1687">
      <x:c r="A1687" s="51" t="n">
        <x:v>43252</x:v>
      </x:c>
      <x:c r="B1687" s="14" t="str">
        <x:v>Sudeste</x:v>
      </x:c>
      <x:c r="C1687" s="14" t="str">
        <x:v>SUDESTE / CENTRO - OESTE</x:v>
      </x:c>
      <x:c r="D1687" s="53" t="str">
        <x:v>Livre</x:v>
      </x:c>
      <x:c r="E1687" s="49" t="n">
        <x:v>364.981</x:v>
      </x:c>
      <x:c r="F1687" s="52" t="n">
        <x:v>1</x:v>
      </x:c>
      <x:c r="G1687" s="54" t="n">
        <x:v>46220</x:v>
      </x:c>
      <x:c r="H1687" s="14" t="str">
        <x:f>IF(E1687&lt;0,"Componente negativo — manter e investigar","OK")</x:f>
        <x:v>OK</x:v>
      </x:c>
    </x:row>
    <x:row r="1688">
      <x:c r="A1688" s="51" t="n">
        <x:v>43252</x:v>
      </x:c>
      <x:c r="B1688" s="14" t="str">
        <x:v>Sul</x:v>
      </x:c>
      <x:c r="C1688" s="14" t="str">
        <x:v>SUL</x:v>
      </x:c>
      <x:c r="D1688" s="53" t="str">
        <x:v>Cativo</x:v>
      </x:c>
      <x:c r="E1688" s="49" t="n">
        <x:v>1781848.3900000001</x:v>
      </x:c>
      <x:c r="F1688" s="52" t="n">
        <x:v>10128463</x:v>
      </x:c>
      <x:c r="G1688" s="54" t="n">
        <x:v>46220</x:v>
      </x:c>
      <x:c r="H1688" s="14" t="str">
        <x:f>IF(E1688&lt;0,"Componente negativo — manter e investigar","OK")</x:f>
        <x:v>OK</x:v>
      </x:c>
    </x:row>
    <x:row r="1689">
      <x:c r="A1689" s="51" t="n">
        <x:v>43282</x:v>
      </x:c>
      <x:c r="B1689" s="14" t="str">
        <x:v>Centro-Oeste</x:v>
      </x:c>
      <x:c r="C1689" s="14" t="str">
        <x:v>SISTEMAS ISOLADOS</x:v>
      </x:c>
      <x:c r="D1689" s="53" t="str">
        <x:v>Cativo</x:v>
      </x:c>
      <x:c r="E1689" s="49" t="n">
        <x:v>152.393</x:v>
      </x:c>
      <x:c r="F1689" s="52" t="n">
        <x:v>653</x:v>
      </x:c>
      <x:c r="G1689" s="54" t="n">
        <x:v>46220</x:v>
      </x:c>
      <x:c r="H1689" s="14" t="str">
        <x:f>IF(E1689&lt;0,"Componente negativo — manter e investigar","OK")</x:f>
        <x:v>OK</x:v>
      </x:c>
    </x:row>
    <x:row r="1690">
      <x:c r="A1690" s="51" t="n">
        <x:v>43282</x:v>
      </x:c>
      <x:c r="B1690" s="14" t="str">
        <x:v>Centro-Oeste</x:v>
      </x:c>
      <x:c r="C1690" s="14" t="str">
        <x:v>SUDESTE / CENTRO - OESTE</x:v>
      </x:c>
      <x:c r="D1690" s="53" t="str">
        <x:v>Cativo</x:v>
      </x:c>
      <x:c r="E1690" s="49" t="n">
        <x:v>908270.15</x:v>
      </x:c>
      <x:c r="F1690" s="52" t="n">
        <x:v>5418279</x:v>
      </x:c>
      <x:c r="G1690" s="54" t="n">
        <x:v>46220</x:v>
      </x:c>
      <x:c r="H1690" s="14" t="str">
        <x:f>IF(E1690&lt;0,"Componente negativo — manter e investigar","OK")</x:f>
        <x:v>OK</x:v>
      </x:c>
    </x:row>
    <x:row r="1691">
      <x:c r="A1691" s="51" t="n">
        <x:v>43282</x:v>
      </x:c>
      <x:c r="B1691" s="14" t="str">
        <x:v>Nordeste</x:v>
      </x:c>
      <x:c r="C1691" s="14" t="str">
        <x:v>NORDESTE</x:v>
      </x:c>
      <x:c r="D1691" s="53" t="str">
        <x:v>Cativo</x:v>
      </x:c>
      <x:c r="E1691" s="49" t="n">
        <x:v>1882605.648</x:v>
      </x:c>
      <x:c r="F1691" s="52" t="n">
        <x:v>16868957</x:v>
      </x:c>
      <x:c r="G1691" s="54" t="n">
        <x:v>46220</x:v>
      </x:c>
      <x:c r="H1691" s="14" t="str">
        <x:f>IF(E1691&lt;0,"Componente negativo — manter e investigar","OK")</x:f>
        <x:v>OK</x:v>
      </x:c>
    </x:row>
    <x:row r="1692">
      <x:c r="A1692" s="51" t="n">
        <x:v>43282</x:v>
      </x:c>
      <x:c r="B1692" s="14" t="str">
        <x:v>Nordeste</x:v>
      </x:c>
      <x:c r="C1692" s="14" t="str">
        <x:v>NORTE INTERLIGADO</x:v>
      </x:c>
      <x:c r="D1692" s="53" t="str">
        <x:v>Cativo</x:v>
      </x:c>
      <x:c r="E1692" s="49" t="n">
        <x:v>261625.592</x:v>
      </x:c>
      <x:c r="F1692" s="52" t="n">
        <x:v>2215263</x:v>
      </x:c>
      <x:c r="G1692" s="54" t="n">
        <x:v>46220</x:v>
      </x:c>
      <x:c r="H1692" s="14" t="str">
        <x:f>IF(E1692&lt;0,"Componente negativo — manter e investigar","OK")</x:f>
        <x:v>OK</x:v>
      </x:c>
    </x:row>
    <x:row r="1693">
      <x:c r="A1693" s="51" t="n">
        <x:v>43282</x:v>
      </x:c>
      <x:c r="B1693" s="14" t="str">
        <x:v>Nordeste</x:v>
      </x:c>
      <x:c r="C1693" s="14" t="str">
        <x:v>SISTEMAS ISOLADOS</x:v>
      </x:c>
      <x:c r="D1693" s="53" t="str">
        <x:v>Cativo</x:v>
      </x:c>
      <x:c r="E1693" s="49" t="n">
        <x:v>438</x:v>
      </x:c>
      <x:c r="F1693" s="52" t="n">
        <x:v>596</x:v>
      </x:c>
      <x:c r="G1693" s="54" t="n">
        <x:v>46220</x:v>
      </x:c>
      <x:c r="H1693" s="14" t="str">
        <x:f>IF(E1693&lt;0,"Componente negativo — manter e investigar","OK")</x:f>
        <x:v>OK</x:v>
      </x:c>
    </x:row>
    <x:row r="1694">
      <x:c r="A1694" s="51" t="n">
        <x:v>43282</x:v>
      </x:c>
      <x:c r="B1694" s="14" t="str">
        <x:v>Norte</x:v>
      </x:c>
      <x:c r="C1694" s="14" t="str">
        <x:v>NORTE INTERLIGADO</x:v>
      </x:c>
      <x:c r="D1694" s="53" t="str">
        <x:v>Cativo</x:v>
      </x:c>
      <x:c r="E1694" s="49" t="n">
        <x:v>546676.048</x:v>
      </x:c>
      <x:c r="F1694" s="52" t="n">
        <x:v>3334222</x:v>
      </x:c>
      <x:c r="G1694" s="54" t="n">
        <x:v>46220</x:v>
      </x:c>
      <x:c r="H1694" s="14" t="str">
        <x:f>IF(E1694&lt;0,"Componente negativo — manter e investigar","OK")</x:f>
        <x:v>OK</x:v>
      </x:c>
    </x:row>
    <x:row r="1695">
      <x:c r="A1695" s="51" t="n">
        <x:v>43282</x:v>
      </x:c>
      <x:c r="B1695" s="14" t="str">
        <x:v>Norte</x:v>
      </x:c>
      <x:c r="C1695" s="14" t="str">
        <x:v>SISTEMAS ISOLADOS</x:v>
      </x:c>
      <x:c r="D1695" s="53" t="str">
        <x:v>Cativo</x:v>
      </x:c>
      <x:c r="E1695" s="49" t="n">
        <x:v>112095.721</x:v>
      </x:c>
      <x:c r="F1695" s="52" t="n">
        <x:v>669131</x:v>
      </x:c>
      <x:c r="G1695" s="54" t="n">
        <x:v>46220</x:v>
      </x:c>
      <x:c r="H1695" s="14" t="str">
        <x:f>IF(E1695&lt;0,"Componente negativo — manter e investigar","OK")</x:f>
        <x:v>OK</x:v>
      </x:c>
    </x:row>
    <x:row r="1696">
      <x:c r="A1696" s="51" t="n">
        <x:v>43282</x:v>
      </x:c>
      <x:c r="B1696" s="14" t="str">
        <x:v>Norte</x:v>
      </x:c>
      <x:c r="C1696" s="14" t="str">
        <x:v>SUDESTE / CENTRO - OESTE</x:v>
      </x:c>
      <x:c r="D1696" s="53" t="str">
        <x:v>Cativo</x:v>
      </x:c>
      <x:c r="E1696" s="49" t="n">
        <x:v>123273.832</x:v>
      </x:c>
      <x:c r="F1696" s="52" t="n">
        <x:v>579705</x:v>
      </x:c>
      <x:c r="G1696" s="54" t="n">
        <x:v>46220</x:v>
      </x:c>
      <x:c r="H1696" s="14" t="str">
        <x:f>IF(E1696&lt;0,"Componente negativo — manter e investigar","OK")</x:f>
        <x:v>OK</x:v>
      </x:c>
    </x:row>
    <x:row r="1697">
      <x:c r="A1697" s="51" t="n">
        <x:v>43282</x:v>
      </x:c>
      <x:c r="B1697" s="14" t="str">
        <x:v>Sudeste</x:v>
      </x:c>
      <x:c r="C1697" s="14" t="str">
        <x:v>SUDESTE / CENTRO - OESTE</x:v>
      </x:c>
      <x:c r="D1697" s="53" t="str">
        <x:v>Cativo</x:v>
      </x:c>
      <x:c r="E1697" s="49" t="n">
        <x:v>5186434.7360000005</x:v>
      </x:c>
      <x:c r="F1697" s="52" t="n">
        <x:v>32422642</x:v>
      </x:c>
      <x:c r="G1697" s="54" t="n">
        <x:v>46220</x:v>
      </x:c>
      <x:c r="H1697" s="14" t="str">
        <x:f>IF(E1697&lt;0,"Componente negativo — manter e investigar","OK")</x:f>
        <x:v>OK</x:v>
      </x:c>
    </x:row>
    <x:row r="1698">
      <x:c r="A1698" s="51" t="n">
        <x:v>43282</x:v>
      </x:c>
      <x:c r="B1698" s="14" t="str">
        <x:v>Sudeste</x:v>
      </x:c>
      <x:c r="C1698" s="14" t="str">
        <x:v>SUDESTE / CENTRO - OESTE</x:v>
      </x:c>
      <x:c r="D1698" s="53" t="str">
        <x:v>Livre</x:v>
      </x:c>
      <x:c r="E1698" s="49" t="n">
        <x:v>428.329</x:v>
      </x:c>
      <x:c r="F1698" s="52" t="n">
        <x:v>1</x:v>
      </x:c>
      <x:c r="G1698" s="54" t="n">
        <x:v>46220</x:v>
      </x:c>
      <x:c r="H1698" s="14" t="str">
        <x:f>IF(E1698&lt;0,"Componente negativo — manter e investigar","OK")</x:f>
        <x:v>OK</x:v>
      </x:c>
    </x:row>
    <x:row r="1699">
      <x:c r="A1699" s="51" t="n">
        <x:v>43282</x:v>
      </x:c>
      <x:c r="B1699" s="14" t="str">
        <x:v>Sul</x:v>
      </x:c>
      <x:c r="C1699" s="14" t="str">
        <x:v>SUL</x:v>
      </x:c>
      <x:c r="D1699" s="53" t="str">
        <x:v>Cativo</x:v>
      </x:c>
      <x:c r="E1699" s="49" t="n">
        <x:v>1768601.602</x:v>
      </x:c>
      <x:c r="F1699" s="52" t="n">
        <x:v>10147695</x:v>
      </x:c>
      <x:c r="G1699" s="54" t="n">
        <x:v>46220</x:v>
      </x:c>
      <x:c r="H1699" s="14" t="str">
        <x:f>IF(E1699&lt;0,"Componente negativo — manter e investigar","OK")</x:f>
        <x:v>OK</x:v>
      </x:c>
    </x:row>
    <x:row r="1700">
      <x:c r="A1700" s="51" t="n">
        <x:v>43313</x:v>
      </x:c>
      <x:c r="B1700" s="14" t="str">
        <x:v>Centro-Oeste</x:v>
      </x:c>
      <x:c r="C1700" s="14" t="str">
        <x:v>SISTEMAS ISOLADOS</x:v>
      </x:c>
      <x:c r="D1700" s="53" t="str">
        <x:v>Cativo</x:v>
      </x:c>
      <x:c r="E1700" s="49" t="n">
        <x:v>165.164</x:v>
      </x:c>
      <x:c r="F1700" s="52" t="n">
        <x:v>668</x:v>
      </x:c>
      <x:c r="G1700" s="54" t="n">
        <x:v>46220</x:v>
      </x:c>
      <x:c r="H1700" s="14" t="str">
        <x:f>IF(E1700&lt;0,"Componente negativo — manter e investigar","OK")</x:f>
        <x:v>OK</x:v>
      </x:c>
    </x:row>
    <x:row r="1701">
      <x:c r="A1701" s="51" t="n">
        <x:v>43313</x:v>
      </x:c>
      <x:c r="B1701" s="14" t="str">
        <x:v>Centro-Oeste</x:v>
      </x:c>
      <x:c r="C1701" s="14" t="str">
        <x:v>SUDESTE / CENTRO - OESTE</x:v>
      </x:c>
      <x:c r="D1701" s="53" t="str">
        <x:v>Cativo</x:v>
      </x:c>
      <x:c r="E1701" s="49" t="n">
        <x:v>931463.1439999999</x:v>
      </x:c>
      <x:c r="F1701" s="52" t="n">
        <x:v>5415810</x:v>
      </x:c>
      <x:c r="G1701" s="54" t="n">
        <x:v>46220</x:v>
      </x:c>
      <x:c r="H1701" s="14" t="str">
        <x:f>IF(E1701&lt;0,"Componente negativo — manter e investigar","OK")</x:f>
        <x:v>OK</x:v>
      </x:c>
    </x:row>
    <x:row r="1702">
      <x:c r="A1702" s="51" t="n">
        <x:v>43313</x:v>
      </x:c>
      <x:c r="B1702" s="14" t="str">
        <x:v>Nordeste</x:v>
      </x:c>
      <x:c r="C1702" s="14" t="str">
        <x:v>NORDESTE</x:v>
      </x:c>
      <x:c r="D1702" s="53" t="str">
        <x:v>Cativo</x:v>
      </x:c>
      <x:c r="E1702" s="49" t="n">
        <x:v>1943341.484</x:v>
      </x:c>
      <x:c r="F1702" s="52" t="n">
        <x:v>16871173</x:v>
      </x:c>
      <x:c r="G1702" s="54" t="n">
        <x:v>46220</x:v>
      </x:c>
      <x:c r="H1702" s="14" t="str">
        <x:f>IF(E1702&lt;0,"Componente negativo — manter e investigar","OK")</x:f>
        <x:v>OK</x:v>
      </x:c>
    </x:row>
    <x:row r="1703">
      <x:c r="A1703" s="51" t="n">
        <x:v>43313</x:v>
      </x:c>
      <x:c r="B1703" s="14" t="str">
        <x:v>Nordeste</x:v>
      </x:c>
      <x:c r="C1703" s="14" t="str">
        <x:v>NORTE INTERLIGADO</x:v>
      </x:c>
      <x:c r="D1703" s="53" t="str">
        <x:v>Cativo</x:v>
      </x:c>
      <x:c r="E1703" s="49" t="n">
        <x:v>271727.353</x:v>
      </x:c>
      <x:c r="F1703" s="52" t="n">
        <x:v>2223631</x:v>
      </x:c>
      <x:c r="G1703" s="54" t="n">
        <x:v>46220</x:v>
      </x:c>
      <x:c r="H1703" s="14" t="str">
        <x:f>IF(E1703&lt;0,"Componente negativo — manter e investigar","OK")</x:f>
        <x:v>OK</x:v>
      </x:c>
    </x:row>
    <x:row r="1704">
      <x:c r="A1704" s="51" t="n">
        <x:v>43313</x:v>
      </x:c>
      <x:c r="B1704" s="14" t="str">
        <x:v>Nordeste</x:v>
      </x:c>
      <x:c r="C1704" s="14" t="str">
        <x:v>SISTEMAS ISOLADOS</x:v>
      </x:c>
      <x:c r="D1704" s="53" t="str">
        <x:v>Cativo</x:v>
      </x:c>
      <x:c r="E1704" s="49" t="n">
        <x:v>481</x:v>
      </x:c>
      <x:c r="F1704" s="52" t="n">
        <x:v>602</x:v>
      </x:c>
      <x:c r="G1704" s="54" t="n">
        <x:v>46220</x:v>
      </x:c>
      <x:c r="H1704" s="14" t="str">
        <x:f>IF(E1704&lt;0,"Componente negativo — manter e investigar","OK")</x:f>
        <x:v>OK</x:v>
      </x:c>
    </x:row>
    <x:row r="1705">
      <x:c r="A1705" s="51" t="n">
        <x:v>43313</x:v>
      </x:c>
      <x:c r="B1705" s="14" t="str">
        <x:v>Norte</x:v>
      </x:c>
      <x:c r="C1705" s="14" t="str">
        <x:v>NORTE INTERLIGADO</x:v>
      </x:c>
      <x:c r="D1705" s="53" t="str">
        <x:v>Cativo</x:v>
      </x:c>
      <x:c r="E1705" s="49" t="n">
        <x:v>547521.1229999999</x:v>
      </x:c>
      <x:c r="F1705" s="52" t="n">
        <x:v>3347633</x:v>
      </x:c>
      <x:c r="G1705" s="54" t="n">
        <x:v>46220</x:v>
      </x:c>
      <x:c r="H1705" s="14" t="str">
        <x:f>IF(E1705&lt;0,"Componente negativo — manter e investigar","OK")</x:f>
        <x:v>OK</x:v>
      </x:c>
    </x:row>
    <x:row r="1706">
      <x:c r="A1706" s="51" t="n">
        <x:v>43313</x:v>
      </x:c>
      <x:c r="B1706" s="14" t="str">
        <x:v>Norte</x:v>
      </x:c>
      <x:c r="C1706" s="14" t="str">
        <x:v>SISTEMAS ISOLADOS</x:v>
      </x:c>
      <x:c r="D1706" s="53" t="str">
        <x:v>Cativo</x:v>
      </x:c>
      <x:c r="E1706" s="49" t="n">
        <x:v>117957.01</x:v>
      </x:c>
      <x:c r="F1706" s="52" t="n">
        <x:v>667676</x:v>
      </x:c>
      <x:c r="G1706" s="54" t="n">
        <x:v>46220</x:v>
      </x:c>
      <x:c r="H1706" s="14" t="str">
        <x:f>IF(E1706&lt;0,"Componente negativo — manter e investigar","OK")</x:f>
        <x:v>OK</x:v>
      </x:c>
    </x:row>
    <x:row r="1707">
      <x:c r="A1707" s="51" t="n">
        <x:v>43313</x:v>
      </x:c>
      <x:c r="B1707" s="14" t="str">
        <x:v>Norte</x:v>
      </x:c>
      <x:c r="C1707" s="14" t="str">
        <x:v>SUDESTE / CENTRO - OESTE</x:v>
      </x:c>
      <x:c r="D1707" s="53" t="str">
        <x:v>Cativo</x:v>
      </x:c>
      <x:c r="E1707" s="49" t="n">
        <x:v>131710.351</x:v>
      </x:c>
      <x:c r="F1707" s="52" t="n">
        <x:v>580807</x:v>
      </x:c>
      <x:c r="G1707" s="54" t="n">
        <x:v>46220</x:v>
      </x:c>
      <x:c r="H1707" s="14" t="str">
        <x:f>IF(E1707&lt;0,"Componente negativo — manter e investigar","OK")</x:f>
        <x:v>OK</x:v>
      </x:c>
    </x:row>
    <x:row r="1708">
      <x:c r="A1708" s="51" t="n">
        <x:v>43313</x:v>
      </x:c>
      <x:c r="B1708" s="14" t="str">
        <x:v>Sudeste</x:v>
      </x:c>
      <x:c r="C1708" s="14" t="str">
        <x:v>SUDESTE / CENTRO - OESTE</x:v>
      </x:c>
      <x:c r="D1708" s="53" t="str">
        <x:v>Cativo</x:v>
      </x:c>
      <x:c r="E1708" s="49" t="n">
        <x:v>5116005.865</x:v>
      </x:c>
      <x:c r="F1708" s="52" t="n">
        <x:v>32443965</x:v>
      </x:c>
      <x:c r="G1708" s="54" t="n">
        <x:v>46220</x:v>
      </x:c>
      <x:c r="H1708" s="14" t="str">
        <x:f>IF(E1708&lt;0,"Componente negativo — manter e investigar","OK")</x:f>
        <x:v>OK</x:v>
      </x:c>
    </x:row>
    <x:row r="1709">
      <x:c r="A1709" s="51" t="n">
        <x:v>43313</x:v>
      </x:c>
      <x:c r="B1709" s="14" t="str">
        <x:v>Sudeste</x:v>
      </x:c>
      <x:c r="C1709" s="14" t="str">
        <x:v>SUDESTE / CENTRO - OESTE</x:v>
      </x:c>
      <x:c r="D1709" s="53" t="str">
        <x:v>Livre</x:v>
      </x:c>
      <x:c r="E1709" s="49" t="n">
        <x:v>352.26</x:v>
      </x:c>
      <x:c r="F1709" s="52" t="n">
        <x:v>1</x:v>
      </x:c>
      <x:c r="G1709" s="54" t="n">
        <x:v>46220</x:v>
      </x:c>
      <x:c r="H1709" s="14" t="str">
        <x:f>IF(E1709&lt;0,"Componente negativo — manter e investigar","OK")</x:f>
        <x:v>OK</x:v>
      </x:c>
    </x:row>
    <x:row r="1710">
      <x:c r="A1710" s="51" t="n">
        <x:v>43313</x:v>
      </x:c>
      <x:c r="B1710" s="14" t="str">
        <x:v>Sul</x:v>
      </x:c>
      <x:c r="C1710" s="14" t="str">
        <x:v>SUL</x:v>
      </x:c>
      <x:c r="D1710" s="53" t="str">
        <x:v>Cativo</x:v>
      </x:c>
      <x:c r="E1710" s="49" t="n">
        <x:v>1748057.7130000002</x:v>
      </x:c>
      <x:c r="F1710" s="52" t="n">
        <x:v>10158073</x:v>
      </x:c>
      <x:c r="G1710" s="54" t="n">
        <x:v>46220</x:v>
      </x:c>
      <x:c r="H1710" s="14" t="str">
        <x:f>IF(E1710&lt;0,"Componente negativo — manter e investigar","OK")</x:f>
        <x:v>OK</x:v>
      </x:c>
    </x:row>
    <x:row r="1711">
      <x:c r="A1711" s="51" t="n">
        <x:v>43344</x:v>
      </x:c>
      <x:c r="B1711" s="14" t="str">
        <x:v>Centro-Oeste</x:v>
      </x:c>
      <x:c r="C1711" s="14" t="str">
        <x:v>SISTEMAS ISOLADOS</x:v>
      </x:c>
      <x:c r="D1711" s="53" t="str">
        <x:v>Cativo</x:v>
      </x:c>
      <x:c r="E1711" s="49" t="n">
        <x:v>160.697</x:v>
      </x:c>
      <x:c r="F1711" s="52" t="n">
        <x:v>668</x:v>
      </x:c>
      <x:c r="G1711" s="54" t="n">
        <x:v>46220</x:v>
      </x:c>
      <x:c r="H1711" s="14" t="str">
        <x:f>IF(E1711&lt;0,"Componente negativo — manter e investigar","OK")</x:f>
        <x:v>OK</x:v>
      </x:c>
    </x:row>
    <x:row r="1712">
      <x:c r="A1712" s="51" t="n">
        <x:v>43344</x:v>
      </x:c>
      <x:c r="B1712" s="14" t="str">
        <x:v>Centro-Oeste</x:v>
      </x:c>
      <x:c r="C1712" s="14" t="str">
        <x:v>SUDESTE / CENTRO - OESTE</x:v>
      </x:c>
      <x:c r="D1712" s="53" t="str">
        <x:v>Cativo</x:v>
      </x:c>
      <x:c r="E1712" s="49" t="n">
        <x:v>981762.7449999999</x:v>
      </x:c>
      <x:c r="F1712" s="52" t="n">
        <x:v>5427533</x:v>
      </x:c>
      <x:c r="G1712" s="54" t="n">
        <x:v>46220</x:v>
      </x:c>
      <x:c r="H1712" s="14" t="str">
        <x:f>IF(E1712&lt;0,"Componente negativo — manter e investigar","OK")</x:f>
        <x:v>OK</x:v>
      </x:c>
    </x:row>
    <x:row r="1713">
      <x:c r="A1713" s="51" t="n">
        <x:v>43344</x:v>
      </x:c>
      <x:c r="B1713" s="14" t="str">
        <x:v>Nordeste</x:v>
      </x:c>
      <x:c r="C1713" s="14" t="str">
        <x:v>NORDESTE</x:v>
      </x:c>
      <x:c r="D1713" s="53" t="str">
        <x:v>Cativo</x:v>
      </x:c>
      <x:c r="E1713" s="49" t="n">
        <x:v>1951846.2789999999</x:v>
      </x:c>
      <x:c r="F1713" s="52" t="n">
        <x:v>16901883</x:v>
      </x:c>
      <x:c r="G1713" s="54" t="n">
        <x:v>46220</x:v>
      </x:c>
      <x:c r="H1713" s="14" t="str">
        <x:f>IF(E1713&lt;0,"Componente negativo — manter e investigar","OK")</x:f>
        <x:v>OK</x:v>
      </x:c>
    </x:row>
    <x:row r="1714">
      <x:c r="A1714" s="51" t="n">
        <x:v>43344</x:v>
      </x:c>
      <x:c r="B1714" s="14" t="str">
        <x:v>Nordeste</x:v>
      </x:c>
      <x:c r="C1714" s="14" t="str">
        <x:v>NORTE INTERLIGADO</x:v>
      </x:c>
      <x:c r="D1714" s="53" t="str">
        <x:v>Cativo</x:v>
      </x:c>
      <x:c r="E1714" s="49" t="n">
        <x:v>278277.712</x:v>
      </x:c>
      <x:c r="F1714" s="52" t="n">
        <x:v>2223626</x:v>
      </x:c>
      <x:c r="G1714" s="54" t="n">
        <x:v>46220</x:v>
      </x:c>
      <x:c r="H1714" s="14" t="str">
        <x:f>IF(E1714&lt;0,"Componente negativo — manter e investigar","OK")</x:f>
        <x:v>OK</x:v>
      </x:c>
    </x:row>
    <x:row r="1715">
      <x:c r="A1715" s="51" t="n">
        <x:v>43344</x:v>
      </x:c>
      <x:c r="B1715" s="14" t="str">
        <x:v>Nordeste</x:v>
      </x:c>
      <x:c r="C1715" s="14" t="str">
        <x:v>SISTEMAS ISOLADOS</x:v>
      </x:c>
      <x:c r="D1715" s="53" t="str">
        <x:v>Cativo</x:v>
      </x:c>
      <x:c r="E1715" s="49" t="n">
        <x:v>472</x:v>
      </x:c>
      <x:c r="F1715" s="52" t="n">
        <x:v>600</x:v>
      </x:c>
      <x:c r="G1715" s="54" t="n">
        <x:v>46220</x:v>
      </x:c>
      <x:c r="H1715" s="14" t="str">
        <x:f>IF(E1715&lt;0,"Componente negativo — manter e investigar","OK")</x:f>
        <x:v>OK</x:v>
      </x:c>
    </x:row>
    <x:row r="1716">
      <x:c r="A1716" s="51" t="n">
        <x:v>43344</x:v>
      </x:c>
      <x:c r="B1716" s="14" t="str">
        <x:v>Norte</x:v>
      </x:c>
      <x:c r="C1716" s="14" t="str">
        <x:v>NORTE INTERLIGADO</x:v>
      </x:c>
      <x:c r="D1716" s="53" t="str">
        <x:v>Cativo</x:v>
      </x:c>
      <x:c r="E1716" s="49" t="n">
        <x:v>556685.709</x:v>
      </x:c>
      <x:c r="F1716" s="52" t="n">
        <x:v>3339843</x:v>
      </x:c>
      <x:c r="G1716" s="54" t="n">
        <x:v>46220</x:v>
      </x:c>
      <x:c r="H1716" s="14" t="str">
        <x:f>IF(E1716&lt;0,"Componente negativo — manter e investigar","OK")</x:f>
        <x:v>OK</x:v>
      </x:c>
    </x:row>
    <x:row r="1717">
      <x:c r="A1717" s="51" t="n">
        <x:v>43344</x:v>
      </x:c>
      <x:c r="B1717" s="14" t="str">
        <x:v>Norte</x:v>
      </x:c>
      <x:c r="C1717" s="14" t="str">
        <x:v>SISTEMAS ISOLADOS</x:v>
      </x:c>
      <x:c r="D1717" s="53" t="str">
        <x:v>Cativo</x:v>
      </x:c>
      <x:c r="E1717" s="49" t="n">
        <x:v>120034.715</x:v>
      </x:c>
      <x:c r="F1717" s="52" t="n">
        <x:v>668699</x:v>
      </x:c>
      <x:c r="G1717" s="54" t="n">
        <x:v>46220</x:v>
      </x:c>
      <x:c r="H1717" s="14" t="str">
        <x:f>IF(E1717&lt;0,"Componente negativo — manter e investigar","OK")</x:f>
        <x:v>OK</x:v>
      </x:c>
    </x:row>
    <x:row r="1718">
      <x:c r="A1718" s="51" t="n">
        <x:v>43344</x:v>
      </x:c>
      <x:c r="B1718" s="14" t="str">
        <x:v>Norte</x:v>
      </x:c>
      <x:c r="C1718" s="14" t="str">
        <x:v>SUDESTE / CENTRO - OESTE</x:v>
      </x:c>
      <x:c r="D1718" s="53" t="str">
        <x:v>Cativo</x:v>
      </x:c>
      <x:c r="E1718" s="49" t="n">
        <x:v>128212.068</x:v>
      </x:c>
      <x:c r="F1718" s="52" t="n">
        <x:v>580050</x:v>
      </x:c>
      <x:c r="G1718" s="54" t="n">
        <x:v>46220</x:v>
      </x:c>
      <x:c r="H1718" s="14" t="str">
        <x:f>IF(E1718&lt;0,"Componente negativo — manter e investigar","OK")</x:f>
        <x:v>OK</x:v>
      </x:c>
    </x:row>
    <x:row r="1719">
      <x:c r="A1719" s="51" t="n">
        <x:v>43344</x:v>
      </x:c>
      <x:c r="B1719" s="14" t="str">
        <x:v>Sudeste</x:v>
      </x:c>
      <x:c r="C1719" s="14" t="str">
        <x:v>SUDESTE / CENTRO - OESTE</x:v>
      </x:c>
      <x:c r="D1719" s="53" t="str">
        <x:v>Cativo</x:v>
      </x:c>
      <x:c r="E1719" s="49" t="n">
        <x:v>5360485.222999999</x:v>
      </x:c>
      <x:c r="F1719" s="52" t="n">
        <x:v>32483380</x:v>
      </x:c>
      <x:c r="G1719" s="54" t="n">
        <x:v>46220</x:v>
      </x:c>
      <x:c r="H1719" s="14" t="str">
        <x:f>IF(E1719&lt;0,"Componente negativo — manter e investigar","OK")</x:f>
        <x:v>OK</x:v>
      </x:c>
    </x:row>
    <x:row r="1720">
      <x:c r="A1720" s="51" t="n">
        <x:v>43344</x:v>
      </x:c>
      <x:c r="B1720" s="14" t="str">
        <x:v>Sudeste</x:v>
      </x:c>
      <x:c r="C1720" s="14" t="str">
        <x:v>SUDESTE / CENTRO - OESTE</x:v>
      </x:c>
      <x:c r="D1720" s="53" t="str">
        <x:v>Livre</x:v>
      </x:c>
      <x:c r="E1720" s="49" t="n">
        <x:v>355.978</x:v>
      </x:c>
      <x:c r="F1720" s="52" t="n">
        <x:v>1</x:v>
      </x:c>
      <x:c r="G1720" s="54" t="n">
        <x:v>46220</x:v>
      </x:c>
      <x:c r="H1720" s="14" t="str">
        <x:f>IF(E1720&lt;0,"Componente negativo — manter e investigar","OK")</x:f>
        <x:v>OK</x:v>
      </x:c>
    </x:row>
    <x:row r="1721">
      <x:c r="A1721" s="51" t="n">
        <x:v>43344</x:v>
      </x:c>
      <x:c r="B1721" s="14" t="str">
        <x:v>Sul</x:v>
      </x:c>
      <x:c r="C1721" s="14" t="str">
        <x:v>SUL</x:v>
      </x:c>
      <x:c r="D1721" s="53" t="str">
        <x:v>Cativo</x:v>
      </x:c>
      <x:c r="E1721" s="49" t="n">
        <x:v>1751268.021</x:v>
      </x:c>
      <x:c r="F1721" s="52" t="n">
        <x:v>10174399</x:v>
      </x:c>
      <x:c r="G1721" s="54" t="n">
        <x:v>46220</x:v>
      </x:c>
      <x:c r="H1721" s="14" t="str">
        <x:f>IF(E1721&lt;0,"Componente negativo — manter e investigar","OK")</x:f>
        <x:v>OK</x:v>
      </x:c>
    </x:row>
    <x:row r="1722">
      <x:c r="A1722" s="51" t="n">
        <x:v>43374</x:v>
      </x:c>
      <x:c r="B1722" s="14" t="str">
        <x:v>Centro-Oeste</x:v>
      </x:c>
      <x:c r="C1722" s="14" t="str">
        <x:v>SISTEMAS ISOLADOS</x:v>
      </x:c>
      <x:c r="D1722" s="53" t="str">
        <x:v>Cativo</x:v>
      </x:c>
      <x:c r="E1722" s="49" t="n">
        <x:v>178.331</x:v>
      </x:c>
      <x:c r="F1722" s="52" t="n">
        <x:v>678</x:v>
      </x:c>
      <x:c r="G1722" s="54" t="n">
        <x:v>46220</x:v>
      </x:c>
      <x:c r="H1722" s="14" t="str">
        <x:f>IF(E1722&lt;0,"Componente negativo — manter e investigar","OK")</x:f>
        <x:v>OK</x:v>
      </x:c>
    </x:row>
    <x:row r="1723">
      <x:c r="A1723" s="51" t="n">
        <x:v>43374</x:v>
      </x:c>
      <x:c r="B1723" s="14" t="str">
        <x:v>Centro-Oeste</x:v>
      </x:c>
      <x:c r="C1723" s="14" t="str">
        <x:v>SUDESTE / CENTRO - OESTE</x:v>
      </x:c>
      <x:c r="D1723" s="53" t="str">
        <x:v>Cativo</x:v>
      </x:c>
      <x:c r="E1723" s="49" t="n">
        <x:v>1074310.186</x:v>
      </x:c>
      <x:c r="F1723" s="52" t="n">
        <x:v>5443561</x:v>
      </x:c>
      <x:c r="G1723" s="54" t="n">
        <x:v>46220</x:v>
      </x:c>
      <x:c r="H1723" s="14" t="str">
        <x:f>IF(E1723&lt;0,"Componente negativo — manter e investigar","OK")</x:f>
        <x:v>OK</x:v>
      </x:c>
    </x:row>
    <x:row r="1724">
      <x:c r="A1724" s="51" t="n">
        <x:v>43374</x:v>
      </x:c>
      <x:c r="B1724" s="14" t="str">
        <x:v>Nordeste</x:v>
      </x:c>
      <x:c r="C1724" s="14" t="str">
        <x:v>NORDESTE</x:v>
      </x:c>
      <x:c r="D1724" s="53" t="str">
        <x:v>Cativo</x:v>
      </x:c>
      <x:c r="E1724" s="49" t="n">
        <x:v>2089938.5100000002</x:v>
      </x:c>
      <x:c r="F1724" s="52" t="n">
        <x:v>16925392</x:v>
      </x:c>
      <x:c r="G1724" s="54" t="n">
        <x:v>46220</x:v>
      </x:c>
      <x:c r="H1724" s="14" t="str">
        <x:f>IF(E1724&lt;0,"Componente negativo — manter e investigar","OK")</x:f>
        <x:v>OK</x:v>
      </x:c>
    </x:row>
    <x:row r="1725">
      <x:c r="A1725" s="51" t="n">
        <x:v>43374</x:v>
      </x:c>
      <x:c r="B1725" s="14" t="str">
        <x:v>Nordeste</x:v>
      </x:c>
      <x:c r="C1725" s="14" t="str">
        <x:v>NORTE INTERLIGADO</x:v>
      </x:c>
      <x:c r="D1725" s="53" t="str">
        <x:v>Cativo</x:v>
      </x:c>
      <x:c r="E1725" s="49" t="n">
        <x:v>288503.069</x:v>
      </x:c>
      <x:c r="F1725" s="52" t="n">
        <x:v>2237213</x:v>
      </x:c>
      <x:c r="G1725" s="54" t="n">
        <x:v>46220</x:v>
      </x:c>
      <x:c r="H1725" s="14" t="str">
        <x:f>IF(E1725&lt;0,"Componente negativo — manter e investigar","OK")</x:f>
        <x:v>OK</x:v>
      </x:c>
    </x:row>
    <x:row r="1726">
      <x:c r="A1726" s="51" t="n">
        <x:v>43374</x:v>
      </x:c>
      <x:c r="B1726" s="14" t="str">
        <x:v>Nordeste</x:v>
      </x:c>
      <x:c r="C1726" s="14" t="str">
        <x:v>SISTEMAS ISOLADOS</x:v>
      </x:c>
      <x:c r="D1726" s="53" t="str">
        <x:v>Cativo</x:v>
      </x:c>
      <x:c r="E1726" s="49" t="n">
        <x:v>548</x:v>
      </x:c>
      <x:c r="F1726" s="52" t="n">
        <x:v>602</x:v>
      </x:c>
      <x:c r="G1726" s="54" t="n">
        <x:v>46220</x:v>
      </x:c>
      <x:c r="H1726" s="14" t="str">
        <x:f>IF(E1726&lt;0,"Componente negativo — manter e investigar","OK")</x:f>
        <x:v>OK</x:v>
      </x:c>
    </x:row>
    <x:row r="1727">
      <x:c r="A1727" s="51" t="n">
        <x:v>43374</x:v>
      </x:c>
      <x:c r="B1727" s="14" t="str">
        <x:v>Norte</x:v>
      </x:c>
      <x:c r="C1727" s="14" t="str">
        <x:v>NORTE INTERLIGADO</x:v>
      </x:c>
      <x:c r="D1727" s="53" t="str">
        <x:v>Cativo</x:v>
      </x:c>
      <x:c r="E1727" s="49" t="n">
        <x:v>579274.679</x:v>
      </x:c>
      <x:c r="F1727" s="52" t="n">
        <x:v>3351902</x:v>
      </x:c>
      <x:c r="G1727" s="54" t="n">
        <x:v>46220</x:v>
      </x:c>
      <x:c r="H1727" s="14" t="str">
        <x:f>IF(E1727&lt;0,"Componente negativo — manter e investigar","OK")</x:f>
        <x:v>OK</x:v>
      </x:c>
    </x:row>
    <x:row r="1728">
      <x:c r="A1728" s="51" t="n">
        <x:v>43374</x:v>
      </x:c>
      <x:c r="B1728" s="14" t="str">
        <x:v>Norte</x:v>
      </x:c>
      <x:c r="C1728" s="14" t="str">
        <x:v>SISTEMAS ISOLADOS</x:v>
      </x:c>
      <x:c r="D1728" s="53" t="str">
        <x:v>Cativo</x:v>
      </x:c>
      <x:c r="E1728" s="49" t="n">
        <x:v>134499.453</x:v>
      </x:c>
      <x:c r="F1728" s="52" t="n">
        <x:v>672345</x:v>
      </x:c>
      <x:c r="G1728" s="54" t="n">
        <x:v>46220</x:v>
      </x:c>
      <x:c r="H1728" s="14" t="str">
        <x:f>IF(E1728&lt;0,"Componente negativo — manter e investigar","OK")</x:f>
        <x:v>OK</x:v>
      </x:c>
    </x:row>
    <x:row r="1729">
      <x:c r="A1729" s="51" t="n">
        <x:v>43374</x:v>
      </x:c>
      <x:c r="B1729" s="14" t="str">
        <x:v>Norte</x:v>
      </x:c>
      <x:c r="C1729" s="14" t="str">
        <x:v>SUDESTE / CENTRO - OESTE</x:v>
      </x:c>
      <x:c r="D1729" s="53" t="str">
        <x:v>Cativo</x:v>
      </x:c>
      <x:c r="E1729" s="49" t="n">
        <x:v>147800.194</x:v>
      </x:c>
      <x:c r="F1729" s="52" t="n">
        <x:v>580547</x:v>
      </x:c>
      <x:c r="G1729" s="54" t="n">
        <x:v>46220</x:v>
      </x:c>
      <x:c r="H1729" s="14" t="str">
        <x:f>IF(E1729&lt;0,"Componente negativo — manter e investigar","OK")</x:f>
        <x:v>OK</x:v>
      </x:c>
    </x:row>
    <x:row r="1730">
      <x:c r="A1730" s="51" t="n">
        <x:v>43374</x:v>
      </x:c>
      <x:c r="B1730" s="14" t="str">
        <x:v>Sudeste</x:v>
      </x:c>
      <x:c r="C1730" s="14" t="str">
        <x:v>SUDESTE / CENTRO - OESTE</x:v>
      </x:c>
      <x:c r="D1730" s="53" t="str">
        <x:v>Cativo</x:v>
      </x:c>
      <x:c r="E1730" s="49" t="n">
        <x:v>5481724.816</x:v>
      </x:c>
      <x:c r="F1730" s="52" t="n">
        <x:v>32513250</x:v>
      </x:c>
      <x:c r="G1730" s="54" t="n">
        <x:v>46220</x:v>
      </x:c>
      <x:c r="H1730" s="14" t="str">
        <x:f>IF(E1730&lt;0,"Componente negativo — manter e investigar","OK")</x:f>
        <x:v>OK</x:v>
      </x:c>
    </x:row>
    <x:row r="1731">
      <x:c r="A1731" s="51" t="n">
        <x:v>43374</x:v>
      </x:c>
      <x:c r="B1731" s="14" t="str">
        <x:v>Sudeste</x:v>
      </x:c>
      <x:c r="C1731" s="14" t="str">
        <x:v>SUDESTE / CENTRO - OESTE</x:v>
      </x:c>
      <x:c r="D1731" s="53" t="str">
        <x:v>Livre</x:v>
      </x:c>
      <x:c r="E1731" s="49" t="n">
        <x:v>361.238</x:v>
      </x:c>
      <x:c r="F1731" s="52" t="n">
        <x:v>1</x:v>
      </x:c>
      <x:c r="G1731" s="54" t="n">
        <x:v>46220</x:v>
      </x:c>
      <x:c r="H1731" s="14" t="str">
        <x:f>IF(E1731&lt;0,"Componente negativo — manter e investigar","OK")</x:f>
        <x:v>OK</x:v>
      </x:c>
    </x:row>
    <x:row r="1732">
      <x:c r="A1732" s="51" t="n">
        <x:v>43374</x:v>
      </x:c>
      <x:c r="B1732" s="14" t="str">
        <x:v>Sul</x:v>
      </x:c>
      <x:c r="C1732" s="14" t="str">
        <x:v>SUL</x:v>
      </x:c>
      <x:c r="D1732" s="53" t="str">
        <x:v>Cativo</x:v>
      </x:c>
      <x:c r="E1732" s="49" t="n">
        <x:v>1729765.913</x:v>
      </x:c>
      <x:c r="F1732" s="52" t="n">
        <x:v>10198571</x:v>
      </x:c>
      <x:c r="G1732" s="54" t="n">
        <x:v>46220</x:v>
      </x:c>
      <x:c r="H1732" s="14" t="str">
        <x:f>IF(E1732&lt;0,"Componente negativo — manter e investigar","OK")</x:f>
        <x:v>OK</x:v>
      </x:c>
    </x:row>
    <x:row r="1733">
      <x:c r="A1733" s="51" t="n">
        <x:v>43405</x:v>
      </x:c>
      <x:c r="B1733" s="14" t="str">
        <x:v>Centro-Oeste</x:v>
      </x:c>
      <x:c r="C1733" s="14" t="str">
        <x:v>SISTEMAS ISOLADOS</x:v>
      </x:c>
      <x:c r="D1733" s="53" t="str">
        <x:v>Cativo</x:v>
      </x:c>
      <x:c r="E1733" s="49" t="n">
        <x:v>171.27</x:v>
      </x:c>
      <x:c r="F1733" s="52" t="n">
        <x:v>687</x:v>
      </x:c>
      <x:c r="G1733" s="54" t="n">
        <x:v>46220</x:v>
      </x:c>
      <x:c r="H1733" s="14" t="str">
        <x:f>IF(E1733&lt;0,"Componente negativo — manter e investigar","OK")</x:f>
        <x:v>OK</x:v>
      </x:c>
    </x:row>
    <x:row r="1734">
      <x:c r="A1734" s="51" t="n">
        <x:v>43405</x:v>
      </x:c>
      <x:c r="B1734" s="14" t="str">
        <x:v>Centro-Oeste</x:v>
      </x:c>
      <x:c r="C1734" s="14" t="str">
        <x:v>SUDESTE / CENTRO - OESTE</x:v>
      </x:c>
      <x:c r="D1734" s="53" t="str">
        <x:v>Cativo</x:v>
      </x:c>
      <x:c r="E1734" s="49" t="n">
        <x:v>1041507.3409999999</x:v>
      </x:c>
      <x:c r="F1734" s="52" t="n">
        <x:v>5450006</x:v>
      </x:c>
      <x:c r="G1734" s="54" t="n">
        <x:v>46220</x:v>
      </x:c>
      <x:c r="H1734" s="14" t="str">
        <x:f>IF(E1734&lt;0,"Componente negativo — manter e investigar","OK")</x:f>
        <x:v>OK</x:v>
      </x:c>
    </x:row>
    <x:row r="1735">
      <x:c r="A1735" s="51" t="n">
        <x:v>43405</x:v>
      </x:c>
      <x:c r="B1735" s="14" t="str">
        <x:v>Nordeste</x:v>
      </x:c>
      <x:c r="C1735" s="14" t="str">
        <x:v>NORDESTE</x:v>
      </x:c>
      <x:c r="D1735" s="53" t="str">
        <x:v>Cativo</x:v>
      </x:c>
      <x:c r="E1735" s="49" t="n">
        <x:v>2224734.22</x:v>
      </x:c>
      <x:c r="F1735" s="52" t="n">
        <x:v>16945045</x:v>
      </x:c>
      <x:c r="G1735" s="54" t="n">
        <x:v>46220</x:v>
      </x:c>
      <x:c r="H1735" s="14" t="str">
        <x:f>IF(E1735&lt;0,"Componente negativo — manter e investigar","OK")</x:f>
        <x:v>OK</x:v>
      </x:c>
    </x:row>
    <x:row r="1736">
      <x:c r="A1736" s="51" t="n">
        <x:v>43405</x:v>
      </x:c>
      <x:c r="B1736" s="14" t="str">
        <x:v>Nordeste</x:v>
      </x:c>
      <x:c r="C1736" s="14" t="str">
        <x:v>NORTE INTERLIGADO</x:v>
      </x:c>
      <x:c r="D1736" s="53" t="str">
        <x:v>Cativo</x:v>
      </x:c>
      <x:c r="E1736" s="49" t="n">
        <x:v>293360.218</x:v>
      </x:c>
      <x:c r="F1736" s="52" t="n">
        <x:v>2236938</x:v>
      </x:c>
      <x:c r="G1736" s="54" t="n">
        <x:v>46220</x:v>
      </x:c>
      <x:c r="H1736" s="14" t="str">
        <x:f>IF(E1736&lt;0,"Componente negativo — manter e investigar","OK")</x:f>
        <x:v>OK</x:v>
      </x:c>
    </x:row>
    <x:row r="1737">
      <x:c r="A1737" s="51" t="n">
        <x:v>43405</x:v>
      </x:c>
      <x:c r="B1737" s="14" t="str">
        <x:v>Nordeste</x:v>
      </x:c>
      <x:c r="C1737" s="14" t="str">
        <x:v>SISTEMAS ISOLADOS</x:v>
      </x:c>
      <x:c r="D1737" s="53" t="str">
        <x:v>Cativo</x:v>
      </x:c>
      <x:c r="E1737" s="49" t="n">
        <x:v>581</x:v>
      </x:c>
      <x:c r="F1737" s="52" t="n">
        <x:v>604</x:v>
      </x:c>
      <x:c r="G1737" s="54" t="n">
        <x:v>46220</x:v>
      </x:c>
      <x:c r="H1737" s="14" t="str">
        <x:f>IF(E1737&lt;0,"Componente negativo — manter e investigar","OK")</x:f>
        <x:v>OK</x:v>
      </x:c>
    </x:row>
    <x:row r="1738">
      <x:c r="A1738" s="51" t="n">
        <x:v>43405</x:v>
      </x:c>
      <x:c r="B1738" s="14" t="str">
        <x:v>Norte</x:v>
      </x:c>
      <x:c r="C1738" s="14" t="str">
        <x:v>NORTE INTERLIGADO</x:v>
      </x:c>
      <x:c r="D1738" s="53" t="str">
        <x:v>Cativo</x:v>
      </x:c>
      <x:c r="E1738" s="49" t="n">
        <x:v>567569.4099999999</x:v>
      </x:c>
      <x:c r="F1738" s="52" t="n">
        <x:v>3356379</x:v>
      </x:c>
      <x:c r="G1738" s="54" t="n">
        <x:v>46220</x:v>
      </x:c>
      <x:c r="H1738" s="14" t="str">
        <x:f>IF(E1738&lt;0,"Componente negativo — manter e investigar","OK")</x:f>
        <x:v>OK</x:v>
      </x:c>
    </x:row>
    <x:row r="1739">
      <x:c r="A1739" s="51" t="n">
        <x:v>43405</x:v>
      </x:c>
      <x:c r="B1739" s="14" t="str">
        <x:v>Norte</x:v>
      </x:c>
      <x:c r="C1739" s="14" t="str">
        <x:v>SISTEMAS ISOLADOS</x:v>
      </x:c>
      <x:c r="D1739" s="53" t="str">
        <x:v>Cativo</x:v>
      </x:c>
      <x:c r="E1739" s="49" t="n">
        <x:v>132157.645</x:v>
      </x:c>
      <x:c r="F1739" s="52" t="n">
        <x:v>666839</x:v>
      </x:c>
      <x:c r="G1739" s="54" t="n">
        <x:v>46220</x:v>
      </x:c>
      <x:c r="H1739" s="14" t="str">
        <x:f>IF(E1739&lt;0,"Componente negativo — manter e investigar","OK")</x:f>
        <x:v>OK</x:v>
      </x:c>
    </x:row>
    <x:row r="1740">
      <x:c r="A1740" s="51" t="n">
        <x:v>43405</x:v>
      </x:c>
      <x:c r="B1740" s="14" t="str">
        <x:v>Norte</x:v>
      </x:c>
      <x:c r="C1740" s="14" t="str">
        <x:v>SUDESTE / CENTRO - OESTE</x:v>
      </x:c>
      <x:c r="D1740" s="53" t="str">
        <x:v>Cativo</x:v>
      </x:c>
      <x:c r="E1740" s="49" t="n">
        <x:v>141809.55</x:v>
      </x:c>
      <x:c r="F1740" s="52" t="n">
        <x:v>580753</x:v>
      </x:c>
      <x:c r="G1740" s="54" t="n">
        <x:v>46220</x:v>
      </x:c>
      <x:c r="H1740" s="14" t="str">
        <x:f>IF(E1740&lt;0,"Componente negativo — manter e investigar","OK")</x:f>
        <x:v>OK</x:v>
      </x:c>
    </x:row>
    <x:row r="1741">
      <x:c r="A1741" s="51" t="n">
        <x:v>43405</x:v>
      </x:c>
      <x:c r="B1741" s="14" t="str">
        <x:v>Sudeste</x:v>
      </x:c>
      <x:c r="C1741" s="14" t="str">
        <x:v>SUDESTE / CENTRO - OESTE</x:v>
      </x:c>
      <x:c r="D1741" s="53" t="str">
        <x:v>Cativo</x:v>
      </x:c>
      <x:c r="E1741" s="49" t="n">
        <x:v>5585482.255</x:v>
      </x:c>
      <x:c r="F1741" s="52" t="n">
        <x:v>32571609</x:v>
      </x:c>
      <x:c r="G1741" s="54" t="n">
        <x:v>46220</x:v>
      </x:c>
      <x:c r="H1741" s="14" t="str">
        <x:f>IF(E1741&lt;0,"Componente negativo — manter e investigar","OK")</x:f>
        <x:v>OK</x:v>
      </x:c>
    </x:row>
    <x:row r="1742">
      <x:c r="A1742" s="51" t="n">
        <x:v>43405</x:v>
      </x:c>
      <x:c r="B1742" s="14" t="str">
        <x:v>Sudeste</x:v>
      </x:c>
      <x:c r="C1742" s="14" t="str">
        <x:v>SUDESTE / CENTRO - OESTE</x:v>
      </x:c>
      <x:c r="D1742" s="53" t="str">
        <x:v>Livre</x:v>
      </x:c>
      <x:c r="E1742" s="49" t="n">
        <x:v>334.519</x:v>
      </x:c>
      <x:c r="F1742" s="52" t="n">
        <x:v>1</x:v>
      </x:c>
      <x:c r="G1742" s="54" t="n">
        <x:v>46220</x:v>
      </x:c>
      <x:c r="H1742" s="14" t="str">
        <x:f>IF(E1742&lt;0,"Componente negativo — manter e investigar","OK")</x:f>
        <x:v>OK</x:v>
      </x:c>
    </x:row>
    <x:row r="1743">
      <x:c r="A1743" s="51" t="n">
        <x:v>43405</x:v>
      </x:c>
      <x:c r="B1743" s="14" t="str">
        <x:v>Sul</x:v>
      </x:c>
      <x:c r="C1743" s="14" t="str">
        <x:v>SUL</x:v>
      </x:c>
      <x:c r="D1743" s="53" t="str">
        <x:v>Cativo</x:v>
      </x:c>
      <x:c r="E1743" s="49" t="n">
        <x:v>1771098.4780000004</x:v>
      </x:c>
      <x:c r="F1743" s="52" t="n">
        <x:v>10214236</x:v>
      </x:c>
      <x:c r="G1743" s="54" t="n">
        <x:v>46220</x:v>
      </x:c>
      <x:c r="H1743" s="14" t="str">
        <x:f>IF(E1743&lt;0,"Componente negativo — manter e investigar","OK")</x:f>
        <x:v>OK</x:v>
      </x:c>
    </x:row>
    <x:row r="1744">
      <x:c r="A1744" s="51" t="n">
        <x:v>43435</x:v>
      </x:c>
      <x:c r="B1744" s="14" t="str">
        <x:v>Centro-Oeste</x:v>
      </x:c>
      <x:c r="C1744" s="14" t="str">
        <x:v>SISTEMAS ISOLADOS</x:v>
      </x:c>
      <x:c r="D1744" s="53" t="str">
        <x:v>Cativo</x:v>
      </x:c>
      <x:c r="E1744" s="49" t="n">
        <x:v>141.235</x:v>
      </x:c>
      <x:c r="F1744" s="52" t="n">
        <x:v>691</x:v>
      </x:c>
      <x:c r="G1744" s="54" t="n">
        <x:v>46220</x:v>
      </x:c>
      <x:c r="H1744" s="14" t="str">
        <x:f>IF(E1744&lt;0,"Componente negativo — manter e investigar","OK")</x:f>
        <x:v>OK</x:v>
      </x:c>
    </x:row>
    <x:row r="1745">
      <x:c r="A1745" s="51" t="n">
        <x:v>43435</x:v>
      </x:c>
      <x:c r="B1745" s="14" t="str">
        <x:v>Centro-Oeste</x:v>
      </x:c>
      <x:c r="C1745" s="14" t="str">
        <x:v>SUDESTE / CENTRO - OESTE</x:v>
      </x:c>
      <x:c r="D1745" s="53" t="str">
        <x:v>Cativo</x:v>
      </x:c>
      <x:c r="E1745" s="49" t="n">
        <x:v>1026292.767</x:v>
      </x:c>
      <x:c r="F1745" s="52" t="n">
        <x:v>5460743</x:v>
      </x:c>
      <x:c r="G1745" s="54" t="n">
        <x:v>46220</x:v>
      </x:c>
      <x:c r="H1745" s="14" t="str">
        <x:f>IF(E1745&lt;0,"Componente negativo — manter e investigar","OK")</x:f>
        <x:v>OK</x:v>
      </x:c>
    </x:row>
    <x:row r="1746">
      <x:c r="A1746" s="51" t="n">
        <x:v>43435</x:v>
      </x:c>
      <x:c r="B1746" s="14" t="str">
        <x:v>Nordeste</x:v>
      </x:c>
      <x:c r="C1746" s="14" t="str">
        <x:v>NORDESTE</x:v>
      </x:c>
      <x:c r="D1746" s="53" t="str">
        <x:v>Cativo</x:v>
      </x:c>
      <x:c r="E1746" s="49" t="n">
        <x:v>2164393.561</x:v>
      </x:c>
      <x:c r="F1746" s="52" t="n">
        <x:v>16955269</x:v>
      </x:c>
      <x:c r="G1746" s="54" t="n">
        <x:v>46220</x:v>
      </x:c>
      <x:c r="H1746" s="14" t="str">
        <x:f>IF(E1746&lt;0,"Componente negativo — manter e investigar","OK")</x:f>
        <x:v>OK</x:v>
      </x:c>
    </x:row>
    <x:row r="1747">
      <x:c r="A1747" s="51" t="n">
        <x:v>43435</x:v>
      </x:c>
      <x:c r="B1747" s="14" t="str">
        <x:v>Nordeste</x:v>
      </x:c>
      <x:c r="C1747" s="14" t="str">
        <x:v>NORTE INTERLIGADO</x:v>
      </x:c>
      <x:c r="D1747" s="53" t="str">
        <x:v>Cativo</x:v>
      </x:c>
      <x:c r="E1747" s="49" t="n">
        <x:v>265918.547</x:v>
      </x:c>
      <x:c r="F1747" s="52" t="n">
        <x:v>2242555</x:v>
      </x:c>
      <x:c r="G1747" s="54" t="n">
        <x:v>46220</x:v>
      </x:c>
      <x:c r="H1747" s="14" t="str">
        <x:f>IF(E1747&lt;0,"Componente negativo — manter e investigar","OK")</x:f>
        <x:v>OK</x:v>
      </x:c>
    </x:row>
    <x:row r="1748">
      <x:c r="A1748" s="51" t="n">
        <x:v>43435</x:v>
      </x:c>
      <x:c r="B1748" s="14" t="str">
        <x:v>Nordeste</x:v>
      </x:c>
      <x:c r="C1748" s="14" t="str">
        <x:v>SISTEMAS ISOLADOS</x:v>
      </x:c>
      <x:c r="D1748" s="53" t="str">
        <x:v>Cativo</x:v>
      </x:c>
      <x:c r="E1748" s="49" t="n">
        <x:v>591</x:v>
      </x:c>
      <x:c r="F1748" s="52" t="n">
        <x:v>604</x:v>
      </x:c>
      <x:c r="G1748" s="54" t="n">
        <x:v>46220</x:v>
      </x:c>
      <x:c r="H1748" s="14" t="str">
        <x:f>IF(E1748&lt;0,"Componente negativo — manter e investigar","OK")</x:f>
        <x:v>OK</x:v>
      </x:c>
    </x:row>
    <x:row r="1749">
      <x:c r="A1749" s="51" t="n">
        <x:v>43435</x:v>
      </x:c>
      <x:c r="B1749" s="14" t="str">
        <x:v>Norte</x:v>
      </x:c>
      <x:c r="C1749" s="14" t="str">
        <x:v>NORTE INTERLIGADO</x:v>
      </x:c>
      <x:c r="D1749" s="53" t="str">
        <x:v>Cativo</x:v>
      </x:c>
      <x:c r="E1749" s="49" t="n">
        <x:v>501808.552</x:v>
      </x:c>
      <x:c r="F1749" s="52" t="n">
        <x:v>3364051</x:v>
      </x:c>
      <x:c r="G1749" s="54" t="n">
        <x:v>46220</x:v>
      </x:c>
      <x:c r="H1749" s="14" t="str">
        <x:f>IF(E1749&lt;0,"Componente negativo — manter e investigar","OK")</x:f>
        <x:v>OK</x:v>
      </x:c>
    </x:row>
    <x:row r="1750">
      <x:c r="A1750" s="51" t="n">
        <x:v>43435</x:v>
      </x:c>
      <x:c r="B1750" s="14" t="str">
        <x:v>Norte</x:v>
      </x:c>
      <x:c r="C1750" s="14" t="str">
        <x:v>SISTEMAS ISOLADOS</x:v>
      </x:c>
      <x:c r="D1750" s="53" t="str">
        <x:v>Cativo</x:v>
      </x:c>
      <x:c r="E1750" s="49" t="n">
        <x:v>115233.42</x:v>
      </x:c>
      <x:c r="F1750" s="52" t="n">
        <x:v>668068</x:v>
      </x:c>
      <x:c r="G1750" s="54" t="n">
        <x:v>46220</x:v>
      </x:c>
      <x:c r="H1750" s="14" t="str">
        <x:f>IF(E1750&lt;0,"Componente negativo — manter e investigar","OK")</x:f>
        <x:v>OK</x:v>
      </x:c>
    </x:row>
    <x:row r="1751">
      <x:c r="A1751" s="51" t="n">
        <x:v>43435</x:v>
      </x:c>
      <x:c r="B1751" s="14" t="str">
        <x:v>Norte</x:v>
      </x:c>
      <x:c r="C1751" s="14" t="str">
        <x:v>SUDESTE / CENTRO - OESTE</x:v>
      </x:c>
      <x:c r="D1751" s="53" t="str">
        <x:v>Cativo</x:v>
      </x:c>
      <x:c r="E1751" s="49" t="n">
        <x:v>121676.135</x:v>
      </x:c>
      <x:c r="F1751" s="52" t="n">
        <x:v>580250</x:v>
      </x:c>
      <x:c r="G1751" s="54" t="n">
        <x:v>46220</x:v>
      </x:c>
      <x:c r="H1751" s="14" t="str">
        <x:f>IF(E1751&lt;0,"Componente negativo — manter e investigar","OK")</x:f>
        <x:v>OK</x:v>
      </x:c>
    </x:row>
    <x:row r="1752">
      <x:c r="A1752" s="51" t="n">
        <x:v>43435</x:v>
      </x:c>
      <x:c r="B1752" s="14" t="str">
        <x:v>Sudeste</x:v>
      </x:c>
      <x:c r="C1752" s="14" t="str">
        <x:v>SUDESTE / CENTRO - OESTE</x:v>
      </x:c>
      <x:c r="D1752" s="53" t="str">
        <x:v>Cativo</x:v>
      </x:c>
      <x:c r="E1752" s="49" t="n">
        <x:v>5687073.867000001</x:v>
      </x:c>
      <x:c r="F1752" s="52" t="n">
        <x:v>32583722</x:v>
      </x:c>
      <x:c r="G1752" s="54" t="n">
        <x:v>46220</x:v>
      </x:c>
      <x:c r="H1752" s="14" t="str">
        <x:f>IF(E1752&lt;0,"Componente negativo — manter e investigar","OK")</x:f>
        <x:v>OK</x:v>
      </x:c>
    </x:row>
    <x:row r="1753">
      <x:c r="A1753" s="51" t="n">
        <x:v>43435</x:v>
      </x:c>
      <x:c r="B1753" s="14" t="str">
        <x:v>Sudeste</x:v>
      </x:c>
      <x:c r="C1753" s="14" t="str">
        <x:v>SUDESTE / CENTRO - OESTE</x:v>
      </x:c>
      <x:c r="D1753" s="53" t="str">
        <x:v>Livre</x:v>
      </x:c>
      <x:c r="E1753" s="49" t="n">
        <x:v>304.599</x:v>
      </x:c>
      <x:c r="F1753" s="52" t="n">
        <x:v>1</x:v>
      </x:c>
      <x:c r="G1753" s="54" t="n">
        <x:v>46220</x:v>
      </x:c>
      <x:c r="H1753" s="14" t="str">
        <x:f>IF(E1753&lt;0,"Componente negativo — manter e investigar","OK")</x:f>
        <x:v>OK</x:v>
      </x:c>
    </x:row>
    <x:row r="1754">
      <x:c r="A1754" s="51" t="n">
        <x:v>43435</x:v>
      </x:c>
      <x:c r="B1754" s="14" t="str">
        <x:v>Sul</x:v>
      </x:c>
      <x:c r="C1754" s="14" t="str">
        <x:v>SUL</x:v>
      </x:c>
      <x:c r="D1754" s="53" t="str">
        <x:v>Cativo</x:v>
      </x:c>
      <x:c r="E1754" s="49" t="n">
        <x:v>1835186.824</x:v>
      </x:c>
      <x:c r="F1754" s="52" t="n">
        <x:v>10225506</x:v>
      </x:c>
      <x:c r="G1754" s="54" t="n">
        <x:v>46220</x:v>
      </x:c>
      <x:c r="H1754" s="14" t="str">
        <x:f>IF(E1754&lt;0,"Componente negativo — manter e investigar","OK")</x:f>
        <x:v>OK</x:v>
      </x:c>
    </x:row>
    <x:row r="1755">
      <x:c r="A1755" s="51" t="n">
        <x:v>43466</x:v>
      </x:c>
      <x:c r="B1755" s="14" t="str">
        <x:v>Centro-Oeste</x:v>
      </x:c>
      <x:c r="C1755" s="14" t="str">
        <x:v>SISTEMAS ISOLADOS</x:v>
      </x:c>
      <x:c r="D1755" s="53" t="str">
        <x:v>Cativo</x:v>
      </x:c>
      <x:c r="E1755" s="49" t="n">
        <x:v>132.736</x:v>
      </x:c>
      <x:c r="F1755" s="52" t="n">
        <x:v>677</x:v>
      </x:c>
      <x:c r="G1755" s="54" t="n">
        <x:v>46220</x:v>
      </x:c>
      <x:c r="H1755" s="14" t="str">
        <x:f>IF(E1755&lt;0,"Componente negativo — manter e investigar","OK")</x:f>
        <x:v>OK</x:v>
      </x:c>
    </x:row>
    <x:row r="1756">
      <x:c r="A1756" s="51" t="n">
        <x:v>43466</x:v>
      </x:c>
      <x:c r="B1756" s="14" t="str">
        <x:v>Centro-Oeste</x:v>
      </x:c>
      <x:c r="C1756" s="14" t="str">
        <x:v>SUDESTE / CENTRO - OESTE</x:v>
      </x:c>
      <x:c r="D1756" s="53" t="str">
        <x:v>Cativo</x:v>
      </x:c>
      <x:c r="E1756" s="49" t="n">
        <x:v>1085335.389</x:v>
      </x:c>
      <x:c r="F1756" s="52" t="n">
        <x:v>5472483</x:v>
      </x:c>
      <x:c r="G1756" s="54" t="n">
        <x:v>46220</x:v>
      </x:c>
      <x:c r="H1756" s="14" t="str">
        <x:f>IF(E1756&lt;0,"Componente negativo — manter e investigar","OK")</x:f>
        <x:v>OK</x:v>
      </x:c>
    </x:row>
    <x:row r="1757">
      <x:c r="A1757" s="51" t="n">
        <x:v>43466</x:v>
      </x:c>
      <x:c r="B1757" s="14" t="str">
        <x:v>Nordeste</x:v>
      </x:c>
      <x:c r="C1757" s="14" t="str">
        <x:v>NORDESTE</x:v>
      </x:c>
      <x:c r="D1757" s="53" t="str">
        <x:v>Cativo</x:v>
      </x:c>
      <x:c r="E1757" s="49" t="n">
        <x:v>2167468.998</x:v>
      </x:c>
      <x:c r="F1757" s="52" t="n">
        <x:v>16971671</x:v>
      </x:c>
      <x:c r="G1757" s="54" t="n">
        <x:v>46220</x:v>
      </x:c>
      <x:c r="H1757" s="14" t="str">
        <x:f>IF(E1757&lt;0,"Componente negativo — manter e investigar","OK")</x:f>
        <x:v>OK</x:v>
      </x:c>
    </x:row>
    <x:row r="1758">
      <x:c r="A1758" s="51" t="n">
        <x:v>43466</x:v>
      </x:c>
      <x:c r="B1758" s="14" t="str">
        <x:v>Nordeste</x:v>
      </x:c>
      <x:c r="C1758" s="14" t="str">
        <x:v>NORTE INTERLIGADO</x:v>
      </x:c>
      <x:c r="D1758" s="53" t="str">
        <x:v>Cativo</x:v>
      </x:c>
      <x:c r="E1758" s="49" t="n">
        <x:v>265154.026</x:v>
      </x:c>
      <x:c r="F1758" s="52" t="n">
        <x:v>2248527</x:v>
      </x:c>
      <x:c r="G1758" s="54" t="n">
        <x:v>46220</x:v>
      </x:c>
      <x:c r="H1758" s="14" t="str">
        <x:f>IF(E1758&lt;0,"Componente negativo — manter e investigar","OK")</x:f>
        <x:v>OK</x:v>
      </x:c>
    </x:row>
    <x:row r="1759">
      <x:c r="A1759" s="51" t="n">
        <x:v>43466</x:v>
      </x:c>
      <x:c r="B1759" s="14" t="str">
        <x:v>Nordeste</x:v>
      </x:c>
      <x:c r="C1759" s="14" t="str">
        <x:v>SISTEMAS ISOLADOS</x:v>
      </x:c>
      <x:c r="D1759" s="53" t="str">
        <x:v>Cativo</x:v>
      </x:c>
      <x:c r="E1759" s="49" t="n">
        <x:v>607</x:v>
      </x:c>
      <x:c r="F1759" s="52" t="n">
        <x:v>605</x:v>
      </x:c>
      <x:c r="G1759" s="54" t="n">
        <x:v>46220</x:v>
      </x:c>
      <x:c r="H1759" s="14" t="str">
        <x:f>IF(E1759&lt;0,"Componente negativo — manter e investigar","OK")</x:f>
        <x:v>OK</x:v>
      </x:c>
    </x:row>
    <x:row r="1760">
      <x:c r="A1760" s="51" t="n">
        <x:v>43466</x:v>
      </x:c>
      <x:c r="B1760" s="14" t="str">
        <x:v>Norte</x:v>
      </x:c>
      <x:c r="C1760" s="14" t="str">
        <x:v>NORTE INTERLIGADO</x:v>
      </x:c>
      <x:c r="D1760" s="53" t="str">
        <x:v>Cativo</x:v>
      </x:c>
      <x:c r="E1760" s="49" t="n">
        <x:v>479844.336</x:v>
      </x:c>
      <x:c r="F1760" s="52" t="n">
        <x:v>3363587</x:v>
      </x:c>
      <x:c r="G1760" s="54" t="n">
        <x:v>46220</x:v>
      </x:c>
      <x:c r="H1760" s="14" t="str">
        <x:f>IF(E1760&lt;0,"Componente negativo — manter e investigar","OK")</x:f>
        <x:v>OK</x:v>
      </x:c>
    </x:row>
    <x:row r="1761">
      <x:c r="A1761" s="51" t="n">
        <x:v>43466</x:v>
      </x:c>
      <x:c r="B1761" s="14" t="str">
        <x:v>Norte</x:v>
      </x:c>
      <x:c r="C1761" s="14" t="str">
        <x:v>SISTEMAS ISOLADOS</x:v>
      </x:c>
      <x:c r="D1761" s="53" t="str">
        <x:v>Cativo</x:v>
      </x:c>
      <x:c r="E1761" s="49" t="n">
        <x:v>115512.368</x:v>
      </x:c>
      <x:c r="F1761" s="52" t="n">
        <x:v>670366</x:v>
      </x:c>
      <x:c r="G1761" s="54" t="n">
        <x:v>46220</x:v>
      </x:c>
      <x:c r="H1761" s="14" t="str">
        <x:f>IF(E1761&lt;0,"Componente negativo — manter e investigar","OK")</x:f>
        <x:v>OK</x:v>
      </x:c>
    </x:row>
    <x:row r="1762">
      <x:c r="A1762" s="51" t="n">
        <x:v>43466</x:v>
      </x:c>
      <x:c r="B1762" s="14" t="str">
        <x:v>Norte</x:v>
      </x:c>
      <x:c r="C1762" s="14" t="str">
        <x:v>SUDESTE / CENTRO - OESTE</x:v>
      </x:c>
      <x:c r="D1762" s="53" t="str">
        <x:v>Cativo</x:v>
      </x:c>
      <x:c r="E1762" s="49" t="n">
        <x:v>131517.146</x:v>
      </x:c>
      <x:c r="F1762" s="52" t="n">
        <x:v>578740</x:v>
      </x:c>
      <x:c r="G1762" s="54" t="n">
        <x:v>46220</x:v>
      </x:c>
      <x:c r="H1762" s="14" t="str">
        <x:f>IF(E1762&lt;0,"Componente negativo — manter e investigar","OK")</x:f>
        <x:v>OK</x:v>
      </x:c>
    </x:row>
    <x:row r="1763">
      <x:c r="A1763" s="51" t="n">
        <x:v>43466</x:v>
      </x:c>
      <x:c r="B1763" s="14" t="str">
        <x:v>Sudeste</x:v>
      </x:c>
      <x:c r="C1763" s="14" t="str">
        <x:v>SUDESTE / CENTRO - OESTE</x:v>
      </x:c>
      <x:c r="D1763" s="53" t="str">
        <x:v>Cativo</x:v>
      </x:c>
      <x:c r="E1763" s="49" t="n">
        <x:v>6389446.621000001</x:v>
      </x:c>
      <x:c r="F1763" s="52" t="n">
        <x:v>32653210</x:v>
      </x:c>
      <x:c r="G1763" s="54" t="n">
        <x:v>46220</x:v>
      </x:c>
      <x:c r="H1763" s="14" t="str">
        <x:f>IF(E1763&lt;0,"Componente negativo — manter e investigar","OK")</x:f>
        <x:v>OK</x:v>
      </x:c>
    </x:row>
    <x:row r="1764">
      <x:c r="A1764" s="51" t="n">
        <x:v>43466</x:v>
      </x:c>
      <x:c r="B1764" s="14" t="str">
        <x:v>Sudeste</x:v>
      </x:c>
      <x:c r="C1764" s="14" t="str">
        <x:v>SUDESTE / CENTRO - OESTE</x:v>
      </x:c>
      <x:c r="D1764" s="53" t="str">
        <x:v>Livre</x:v>
      </x:c>
      <x:c r="E1764" s="49" t="n">
        <x:v>267.069</x:v>
      </x:c>
      <x:c r="F1764" s="52" t="n">
        <x:v>1</x:v>
      </x:c>
      <x:c r="G1764" s="54" t="n">
        <x:v>46220</x:v>
      </x:c>
      <x:c r="H1764" s="14" t="str">
        <x:f>IF(E1764&lt;0,"Componente negativo — manter e investigar","OK")</x:f>
        <x:v>OK</x:v>
      </x:c>
    </x:row>
    <x:row r="1765">
      <x:c r="A1765" s="51" t="n">
        <x:v>43466</x:v>
      </x:c>
      <x:c r="B1765" s="14" t="str">
        <x:v>Sul</x:v>
      </x:c>
      <x:c r="C1765" s="14" t="str">
        <x:v>SUL</x:v>
      </x:c>
      <x:c r="D1765" s="53" t="str">
        <x:v>Cativo</x:v>
      </x:c>
      <x:c r="E1765" s="49" t="n">
        <x:v>2302787.404</x:v>
      </x:c>
      <x:c r="F1765" s="52" t="n">
        <x:v>10290338</x:v>
      </x:c>
      <x:c r="G1765" s="54" t="n">
        <x:v>46220</x:v>
      </x:c>
      <x:c r="H1765" s="14" t="str">
        <x:f>IF(E1765&lt;0,"Componente negativo — manter e investigar","OK")</x:f>
        <x:v>OK</x:v>
      </x:c>
    </x:row>
    <x:row r="1766">
      <x:c r="A1766" s="51" t="n">
        <x:v>43497</x:v>
      </x:c>
      <x:c r="B1766" s="14" t="str">
        <x:v>Centro-Oeste</x:v>
      </x:c>
      <x:c r="C1766" s="14" t="str">
        <x:v>SISTEMAS ISOLADOS</x:v>
      </x:c>
      <x:c r="D1766" s="53" t="str">
        <x:v>Cativo</x:v>
      </x:c>
      <x:c r="E1766" s="49" t="n">
        <x:v>151.263</x:v>
      </x:c>
      <x:c r="F1766" s="52" t="n">
        <x:v>701</x:v>
      </x:c>
      <x:c r="G1766" s="54" t="n">
        <x:v>46220</x:v>
      </x:c>
      <x:c r="H1766" s="14" t="str">
        <x:f>IF(E1766&lt;0,"Componente negativo — manter e investigar","OK")</x:f>
        <x:v>OK</x:v>
      </x:c>
    </x:row>
    <x:row r="1767">
      <x:c r="A1767" s="51" t="n">
        <x:v>43497</x:v>
      </x:c>
      <x:c r="B1767" s="14" t="str">
        <x:v>Centro-Oeste</x:v>
      </x:c>
      <x:c r="C1767" s="14" t="str">
        <x:v>SUDESTE / CENTRO - OESTE</x:v>
      </x:c>
      <x:c r="D1767" s="53" t="str">
        <x:v>Cativo</x:v>
      </x:c>
      <x:c r="E1767" s="49" t="n">
        <x:v>1075592.356</x:v>
      </x:c>
      <x:c r="F1767" s="52" t="n">
        <x:v>5481584</x:v>
      </x:c>
      <x:c r="G1767" s="54" t="n">
        <x:v>46220</x:v>
      </x:c>
      <x:c r="H1767" s="14" t="str">
        <x:f>IF(E1767&lt;0,"Componente negativo — manter e investigar","OK")</x:f>
        <x:v>OK</x:v>
      </x:c>
    </x:row>
    <x:row r="1768">
      <x:c r="A1768" s="51" t="n">
        <x:v>43497</x:v>
      </x:c>
      <x:c r="B1768" s="14" t="str">
        <x:v>Nordeste</x:v>
      </x:c>
      <x:c r="C1768" s="14" t="str">
        <x:v>NORDESTE</x:v>
      </x:c>
      <x:c r="D1768" s="53" t="str">
        <x:v>Cativo</x:v>
      </x:c>
      <x:c r="E1768" s="49" t="n">
        <x:v>2164893.533</x:v>
      </x:c>
      <x:c r="F1768" s="52" t="n">
        <x:v>16996559</x:v>
      </x:c>
      <x:c r="G1768" s="54" t="n">
        <x:v>46220</x:v>
      </x:c>
      <x:c r="H1768" s="14" t="str">
        <x:f>IF(E1768&lt;0,"Componente negativo — manter e investigar","OK")</x:f>
        <x:v>OK</x:v>
      </x:c>
    </x:row>
    <x:row r="1769">
      <x:c r="A1769" s="51" t="n">
        <x:v>43497</x:v>
      </x:c>
      <x:c r="B1769" s="14" t="str">
        <x:v>Nordeste</x:v>
      </x:c>
      <x:c r="C1769" s="14" t="str">
        <x:v>NORTE INTERLIGADO</x:v>
      </x:c>
      <x:c r="D1769" s="53" t="str">
        <x:v>Cativo</x:v>
      </x:c>
      <x:c r="E1769" s="49" t="n">
        <x:v>256349.548</x:v>
      </x:c>
      <x:c r="F1769" s="52" t="n">
        <x:v>2251539</x:v>
      </x:c>
      <x:c r="G1769" s="54" t="n">
        <x:v>46220</x:v>
      </x:c>
      <x:c r="H1769" s="14" t="str">
        <x:f>IF(E1769&lt;0,"Componente negativo — manter e investigar","OK")</x:f>
        <x:v>OK</x:v>
      </x:c>
    </x:row>
    <x:row r="1770">
      <x:c r="A1770" s="51" t="n">
        <x:v>43497</x:v>
      </x:c>
      <x:c r="B1770" s="14" t="str">
        <x:v>Nordeste</x:v>
      </x:c>
      <x:c r="C1770" s="14" t="str">
        <x:v>SISTEMAS ISOLADOS</x:v>
      </x:c>
      <x:c r="D1770" s="53" t="str">
        <x:v>Cativo</x:v>
      </x:c>
      <x:c r="E1770" s="49" t="n">
        <x:v>599</x:v>
      </x:c>
      <x:c r="F1770" s="52" t="n">
        <x:v>607</x:v>
      </x:c>
      <x:c r="G1770" s="54" t="n">
        <x:v>46220</x:v>
      </x:c>
      <x:c r="H1770" s="14" t="str">
        <x:f>IF(E1770&lt;0,"Componente negativo — manter e investigar","OK")</x:f>
        <x:v>OK</x:v>
      </x:c>
    </x:row>
    <x:row r="1771">
      <x:c r="A1771" s="51" t="n">
        <x:v>43497</x:v>
      </x:c>
      <x:c r="B1771" s="14" t="str">
        <x:v>Norte</x:v>
      </x:c>
      <x:c r="C1771" s="14" t="str">
        <x:v>NORTE INTERLIGADO</x:v>
      </x:c>
      <x:c r="D1771" s="53" t="str">
        <x:v>Cativo</x:v>
      </x:c>
      <x:c r="E1771" s="49" t="n">
        <x:v>481141.532</x:v>
      </x:c>
      <x:c r="F1771" s="52" t="n">
        <x:v>3396356</x:v>
      </x:c>
      <x:c r="G1771" s="54" t="n">
        <x:v>46220</x:v>
      </x:c>
      <x:c r="H1771" s="14" t="str">
        <x:f>IF(E1771&lt;0,"Componente negativo — manter e investigar","OK")</x:f>
        <x:v>OK</x:v>
      </x:c>
    </x:row>
    <x:row r="1772">
      <x:c r="A1772" s="51" t="n">
        <x:v>43497</x:v>
      </x:c>
      <x:c r="B1772" s="14" t="str">
        <x:v>Norte</x:v>
      </x:c>
      <x:c r="C1772" s="14" t="str">
        <x:v>SISTEMAS ISOLADOS</x:v>
      </x:c>
      <x:c r="D1772" s="53" t="str">
        <x:v>Cativo</x:v>
      </x:c>
      <x:c r="E1772" s="49" t="n">
        <x:v>108304.069</x:v>
      </x:c>
      <x:c r="F1772" s="52" t="n">
        <x:v>662420</x:v>
      </x:c>
      <x:c r="G1772" s="54" t="n">
        <x:v>46220</x:v>
      </x:c>
      <x:c r="H1772" s="14" t="str">
        <x:f>IF(E1772&lt;0,"Componente negativo — manter e investigar","OK")</x:f>
        <x:v>OK</x:v>
      </x:c>
    </x:row>
    <x:row r="1773">
      <x:c r="A1773" s="51" t="n">
        <x:v>43497</x:v>
      </x:c>
      <x:c r="B1773" s="14" t="str">
        <x:v>Norte</x:v>
      </x:c>
      <x:c r="C1773" s="14" t="str">
        <x:v>SUDESTE / CENTRO - OESTE</x:v>
      </x:c>
      <x:c r="D1773" s="53" t="str">
        <x:v>Cativo</x:v>
      </x:c>
      <x:c r="E1773" s="49" t="n">
        <x:v>124323.025</x:v>
      </x:c>
      <x:c r="F1773" s="52" t="n">
        <x:v>578132</x:v>
      </x:c>
      <x:c r="G1773" s="54" t="n">
        <x:v>46220</x:v>
      </x:c>
      <x:c r="H1773" s="14" t="str">
        <x:f>IF(E1773&lt;0,"Componente negativo — manter e investigar","OK")</x:f>
        <x:v>OK</x:v>
      </x:c>
    </x:row>
    <x:row r="1774">
      <x:c r="A1774" s="51" t="n">
        <x:v>43497</x:v>
      </x:c>
      <x:c r="B1774" s="14" t="str">
        <x:v>Sudeste</x:v>
      </x:c>
      <x:c r="C1774" s="14" t="str">
        <x:v>SUDESTE / CENTRO - OESTE</x:v>
      </x:c>
      <x:c r="D1774" s="53" t="str">
        <x:v>Cativo</x:v>
      </x:c>
      <x:c r="E1774" s="49" t="n">
        <x:v>6188467.120999998</x:v>
      </x:c>
      <x:c r="F1774" s="52" t="n">
        <x:v>32656915</x:v>
      </x:c>
      <x:c r="G1774" s="54" t="n">
        <x:v>46220</x:v>
      </x:c>
      <x:c r="H1774" s="14" t="str">
        <x:f>IF(E1774&lt;0,"Componente negativo — manter e investigar","OK")</x:f>
        <x:v>OK</x:v>
      </x:c>
    </x:row>
    <x:row r="1775">
      <x:c r="A1775" s="51" t="n">
        <x:v>43497</x:v>
      </x:c>
      <x:c r="B1775" s="14" t="str">
        <x:v>Sudeste</x:v>
      </x:c>
      <x:c r="C1775" s="14" t="str">
        <x:v>SUDESTE / CENTRO - OESTE</x:v>
      </x:c>
      <x:c r="D1775" s="53" t="str">
        <x:v>Livre</x:v>
      </x:c>
      <x:c r="E1775" s="49" t="n">
        <x:v>367.241</x:v>
      </x:c>
      <x:c r="F1775" s="52" t="n">
        <x:v>1</x:v>
      </x:c>
      <x:c r="G1775" s="54" t="n">
        <x:v>46220</x:v>
      </x:c>
      <x:c r="H1775" s="14" t="str">
        <x:f>IF(E1775&lt;0,"Componente negativo — manter e investigar","OK")</x:f>
        <x:v>OK</x:v>
      </x:c>
    </x:row>
    <x:row r="1776">
      <x:c r="A1776" s="51" t="n">
        <x:v>43497</x:v>
      </x:c>
      <x:c r="B1776" s="14" t="str">
        <x:v>Sul</x:v>
      </x:c>
      <x:c r="C1776" s="14" t="str">
        <x:v>SUL</x:v>
      </x:c>
      <x:c r="D1776" s="53" t="str">
        <x:v>Cativo</x:v>
      </x:c>
      <x:c r="E1776" s="49" t="n">
        <x:v>2226478.963</x:v>
      </x:c>
      <x:c r="F1776" s="52" t="n">
        <x:v>10310881</x:v>
      </x:c>
      <x:c r="G1776" s="54" t="n">
        <x:v>46220</x:v>
      </x:c>
      <x:c r="H1776" s="14" t="str">
        <x:f>IF(E1776&lt;0,"Componente negativo — manter e investigar","OK")</x:f>
        <x:v>OK</x:v>
      </x:c>
    </x:row>
    <x:row r="1777">
      <x:c r="A1777" s="51" t="n">
        <x:v>43525</x:v>
      </x:c>
      <x:c r="B1777" s="14" t="str">
        <x:v>Centro-Oeste</x:v>
      </x:c>
      <x:c r="C1777" s="14" t="str">
        <x:v>SISTEMAS ISOLADOS</x:v>
      </x:c>
      <x:c r="D1777" s="53" t="str">
        <x:v>Cativo</x:v>
      </x:c>
      <x:c r="E1777" s="49" t="n">
        <x:v>150.409</x:v>
      </x:c>
      <x:c r="F1777" s="52" t="n">
        <x:v>703</x:v>
      </x:c>
      <x:c r="G1777" s="54" t="n">
        <x:v>46220</x:v>
      </x:c>
      <x:c r="H1777" s="14" t="str">
        <x:f>IF(E1777&lt;0,"Componente negativo — manter e investigar","OK")</x:f>
        <x:v>OK</x:v>
      </x:c>
    </x:row>
    <x:row r="1778">
      <x:c r="A1778" s="51" t="n">
        <x:v>43525</x:v>
      </x:c>
      <x:c r="B1778" s="14" t="str">
        <x:v>Centro-Oeste</x:v>
      </x:c>
      <x:c r="C1778" s="14" t="str">
        <x:v>SUDESTE / CENTRO - OESTE</x:v>
      </x:c>
      <x:c r="D1778" s="53" t="str">
        <x:v>Cativo</x:v>
      </x:c>
      <x:c r="E1778" s="49" t="n">
        <x:v>1038656.049</x:v>
      </x:c>
      <x:c r="F1778" s="52" t="n">
        <x:v>5497970</x:v>
      </x:c>
      <x:c r="G1778" s="54" t="n">
        <x:v>46220</x:v>
      </x:c>
      <x:c r="H1778" s="14" t="str">
        <x:f>IF(E1778&lt;0,"Componente negativo — manter e investigar","OK")</x:f>
        <x:v>OK</x:v>
      </x:c>
    </x:row>
    <x:row r="1779">
      <x:c r="A1779" s="51" t="n">
        <x:v>43525</x:v>
      </x:c>
      <x:c r="B1779" s="14" t="str">
        <x:v>Nordeste</x:v>
      </x:c>
      <x:c r="C1779" s="14" t="str">
        <x:v>NORDESTE</x:v>
      </x:c>
      <x:c r="D1779" s="53" t="str">
        <x:v>Cativo</x:v>
      </x:c>
      <x:c r="E1779" s="49" t="n">
        <x:v>2282211.238</x:v>
      </x:c>
      <x:c r="F1779" s="52" t="n">
        <x:v>17022092</x:v>
      </x:c>
      <x:c r="G1779" s="54" t="n">
        <x:v>46220</x:v>
      </x:c>
      <x:c r="H1779" s="14" t="str">
        <x:f>IF(E1779&lt;0,"Componente negativo — manter e investigar","OK")</x:f>
        <x:v>OK</x:v>
      </x:c>
    </x:row>
    <x:row r="1780">
      <x:c r="A1780" s="51" t="n">
        <x:v>43525</x:v>
      </x:c>
      <x:c r="B1780" s="14" t="str">
        <x:v>Nordeste</x:v>
      </x:c>
      <x:c r="C1780" s="14" t="str">
        <x:v>NORTE INTERLIGADO</x:v>
      </x:c>
      <x:c r="D1780" s="53" t="str">
        <x:v>Cativo</x:v>
      </x:c>
      <x:c r="E1780" s="49" t="n">
        <x:v>258375.192</x:v>
      </x:c>
      <x:c r="F1780" s="52" t="n">
        <x:v>2255132</x:v>
      </x:c>
      <x:c r="G1780" s="54" t="n">
        <x:v>46220</x:v>
      </x:c>
      <x:c r="H1780" s="14" t="str">
        <x:f>IF(E1780&lt;0,"Componente negativo — manter e investigar","OK")</x:f>
        <x:v>OK</x:v>
      </x:c>
    </x:row>
    <x:row r="1781">
      <x:c r="A1781" s="51" t="n">
        <x:v>43525</x:v>
      </x:c>
      <x:c r="B1781" s="14" t="str">
        <x:v>Nordeste</x:v>
      </x:c>
      <x:c r="C1781" s="14" t="str">
        <x:v>SISTEMAS ISOLADOS</x:v>
      </x:c>
      <x:c r="D1781" s="53" t="str">
        <x:v>Cativo</x:v>
      </x:c>
      <x:c r="E1781" s="49" t="n">
        <x:v>661</x:v>
      </x:c>
      <x:c r="F1781" s="52" t="n">
        <x:v>610</x:v>
      </x:c>
      <x:c r="G1781" s="54" t="n">
        <x:v>46220</x:v>
      </x:c>
      <x:c r="H1781" s="14" t="str">
        <x:f>IF(E1781&lt;0,"Componente negativo — manter e investigar","OK")</x:f>
        <x:v>OK</x:v>
      </x:c>
    </x:row>
    <x:row r="1782">
      <x:c r="A1782" s="51" t="n">
        <x:v>43525</x:v>
      </x:c>
      <x:c r="B1782" s="14" t="str">
        <x:v>Norte</x:v>
      </x:c>
      <x:c r="C1782" s="14" t="str">
        <x:v>NORTE INTERLIGADO</x:v>
      </x:c>
      <x:c r="D1782" s="53" t="str">
        <x:v>Cativo</x:v>
      </x:c>
      <x:c r="E1782" s="49" t="n">
        <x:v>492091.767</x:v>
      </x:c>
      <x:c r="F1782" s="52" t="n">
        <x:v>3404593</x:v>
      </x:c>
      <x:c r="G1782" s="54" t="n">
        <x:v>46220</x:v>
      </x:c>
      <x:c r="H1782" s="14" t="str">
        <x:f>IF(E1782&lt;0,"Componente negativo — manter e investigar","OK")</x:f>
        <x:v>OK</x:v>
      </x:c>
    </x:row>
    <x:row r="1783">
      <x:c r="A1783" s="51" t="n">
        <x:v>43525</x:v>
      </x:c>
      <x:c r="B1783" s="14" t="str">
        <x:v>Norte</x:v>
      </x:c>
      <x:c r="C1783" s="14" t="str">
        <x:v>SISTEMAS ISOLADOS</x:v>
      </x:c>
      <x:c r="D1783" s="53" t="str">
        <x:v>Cativo</x:v>
      </x:c>
      <x:c r="E1783" s="49" t="n">
        <x:v>117402.359</x:v>
      </x:c>
      <x:c r="F1783" s="52" t="n">
        <x:v>641123</x:v>
      </x:c>
      <x:c r="G1783" s="54" t="n">
        <x:v>46220</x:v>
      </x:c>
      <x:c r="H1783" s="14" t="str">
        <x:f>IF(E1783&lt;0,"Componente negativo — manter e investigar","OK")</x:f>
        <x:v>OK</x:v>
      </x:c>
    </x:row>
    <x:row r="1784">
      <x:c r="A1784" s="51" t="n">
        <x:v>43525</x:v>
      </x:c>
      <x:c r="B1784" s="14" t="str">
        <x:v>Norte</x:v>
      </x:c>
      <x:c r="C1784" s="14" t="str">
        <x:v>SUDESTE / CENTRO - OESTE</x:v>
      </x:c>
      <x:c r="D1784" s="53" t="str">
        <x:v>Cativo</x:v>
      </x:c>
      <x:c r="E1784" s="49" t="n">
        <x:v>122250.97</x:v>
      </x:c>
      <x:c r="F1784" s="52" t="n">
        <x:v>578423</x:v>
      </x:c>
      <x:c r="G1784" s="54" t="n">
        <x:v>46220</x:v>
      </x:c>
      <x:c r="H1784" s="14" t="str">
        <x:f>IF(E1784&lt;0,"Componente negativo — manter e investigar","OK")</x:f>
        <x:v>OK</x:v>
      </x:c>
    </x:row>
    <x:row r="1785">
      <x:c r="A1785" s="51" t="n">
        <x:v>43525</x:v>
      </x:c>
      <x:c r="B1785" s="14" t="str">
        <x:v>Sudeste</x:v>
      </x:c>
      <x:c r="C1785" s="14" t="str">
        <x:v>SUDESTE / CENTRO - OESTE</x:v>
      </x:c>
      <x:c r="D1785" s="53" t="str">
        <x:v>Cativo</x:v>
      </x:c>
      <x:c r="E1785" s="49" t="n">
        <x:v>6071988.4120000005</x:v>
      </x:c>
      <x:c r="F1785" s="52" t="n">
        <x:v>32732013</x:v>
      </x:c>
      <x:c r="G1785" s="54" t="n">
        <x:v>46220</x:v>
      </x:c>
      <x:c r="H1785" s="14" t="str">
        <x:f>IF(E1785&lt;0,"Componente negativo — manter e investigar","OK")</x:f>
        <x:v>OK</x:v>
      </x:c>
    </x:row>
    <x:row r="1786">
      <x:c r="A1786" s="51" t="n">
        <x:v>43525</x:v>
      </x:c>
      <x:c r="B1786" s="14" t="str">
        <x:v>Sudeste</x:v>
      </x:c>
      <x:c r="C1786" s="14" t="str">
        <x:v>SUDESTE / CENTRO - OESTE</x:v>
      </x:c>
      <x:c r="D1786" s="53" t="str">
        <x:v>Livre</x:v>
      </x:c>
      <x:c r="E1786" s="49" t="n">
        <x:v>338.281</x:v>
      </x:c>
      <x:c r="F1786" s="52" t="n">
        <x:v>1</x:v>
      </x:c>
      <x:c r="G1786" s="54" t="n">
        <x:v>46220</x:v>
      </x:c>
      <x:c r="H1786" s="14" t="str">
        <x:f>IF(E1786&lt;0,"Componente negativo — manter e investigar","OK")</x:f>
        <x:v>OK</x:v>
      </x:c>
    </x:row>
    <x:row r="1787">
      <x:c r="A1787" s="51" t="n">
        <x:v>43525</x:v>
      </x:c>
      <x:c r="B1787" s="14" t="str">
        <x:v>Sul</x:v>
      </x:c>
      <x:c r="C1787" s="14" t="str">
        <x:v>SUL</x:v>
      </x:c>
      <x:c r="D1787" s="53" t="str">
        <x:v>Cativo</x:v>
      </x:c>
      <x:c r="E1787" s="49" t="n">
        <x:v>1999924.0720000002</x:v>
      </x:c>
      <x:c r="F1787" s="52" t="n">
        <x:v>10333704</x:v>
      </x:c>
      <x:c r="G1787" s="54" t="n">
        <x:v>46220</x:v>
      </x:c>
      <x:c r="H1787" s="14" t="str">
        <x:f>IF(E1787&lt;0,"Componente negativo — manter e investigar","OK")</x:f>
        <x:v>OK</x:v>
      </x:c>
    </x:row>
    <x:row r="1788">
      <x:c r="A1788" s="51" t="n">
        <x:v>43556</x:v>
      </x:c>
      <x:c r="B1788" s="14" t="str">
        <x:v>Centro-Oeste</x:v>
      </x:c>
      <x:c r="C1788" s="14" t="str">
        <x:v>SISTEMAS ISOLADOS</x:v>
      </x:c>
      <x:c r="D1788" s="53" t="str">
        <x:v>Cativo</x:v>
      </x:c>
      <x:c r="E1788" s="49" t="n">
        <x:v>159.686</x:v>
      </x:c>
      <x:c r="F1788" s="52" t="n">
        <x:v>703</x:v>
      </x:c>
      <x:c r="G1788" s="54" t="n">
        <x:v>46220</x:v>
      </x:c>
      <x:c r="H1788" s="14" t="str">
        <x:f>IF(E1788&lt;0,"Componente negativo — manter e investigar","OK")</x:f>
        <x:v>OK</x:v>
      </x:c>
    </x:row>
    <x:row r="1789">
      <x:c r="A1789" s="51" t="n">
        <x:v>43556</x:v>
      </x:c>
      <x:c r="B1789" s="14" t="str">
        <x:v>Centro-Oeste</x:v>
      </x:c>
      <x:c r="C1789" s="14" t="str">
        <x:v>SUDESTE / CENTRO - OESTE</x:v>
      </x:c>
      <x:c r="D1789" s="53" t="str">
        <x:v>Cativo</x:v>
      </x:c>
      <x:c r="E1789" s="49" t="n">
        <x:v>1019046.842</x:v>
      </x:c>
      <x:c r="F1789" s="52" t="n">
        <x:v>5512659</x:v>
      </x:c>
      <x:c r="G1789" s="54" t="n">
        <x:v>46220</x:v>
      </x:c>
      <x:c r="H1789" s="14" t="str">
        <x:f>IF(E1789&lt;0,"Componente negativo — manter e investigar","OK")</x:f>
        <x:v>OK</x:v>
      </x:c>
    </x:row>
    <x:row r="1790">
      <x:c r="A1790" s="51" t="n">
        <x:v>43556</x:v>
      </x:c>
      <x:c r="B1790" s="14" t="str">
        <x:v>Nordeste</x:v>
      </x:c>
      <x:c r="C1790" s="14" t="str">
        <x:v>NORDESTE</x:v>
      </x:c>
      <x:c r="D1790" s="53" t="str">
        <x:v>Cativo</x:v>
      </x:c>
      <x:c r="E1790" s="49" t="n">
        <x:v>2121324.024</x:v>
      </x:c>
      <x:c r="F1790" s="52" t="n">
        <x:v>17051218</x:v>
      </x:c>
      <x:c r="G1790" s="54" t="n">
        <x:v>46220</x:v>
      </x:c>
      <x:c r="H1790" s="14" t="str">
        <x:f>IF(E1790&lt;0,"Componente negativo — manter e investigar","OK")</x:f>
        <x:v>OK</x:v>
      </x:c>
    </x:row>
    <x:row r="1791">
      <x:c r="A1791" s="51" t="n">
        <x:v>43556</x:v>
      </x:c>
      <x:c r="B1791" s="14" t="str">
        <x:v>Nordeste</x:v>
      </x:c>
      <x:c r="C1791" s="14" t="str">
        <x:v>NORTE INTERLIGADO</x:v>
      </x:c>
      <x:c r="D1791" s="53" t="str">
        <x:v>Cativo</x:v>
      </x:c>
      <x:c r="E1791" s="49" t="n">
        <x:v>259549.259</x:v>
      </x:c>
      <x:c r="F1791" s="52" t="n">
        <x:v>2260133</x:v>
      </x:c>
      <x:c r="G1791" s="54" t="n">
        <x:v>46220</x:v>
      </x:c>
      <x:c r="H1791" s="14" t="str">
        <x:f>IF(E1791&lt;0,"Componente negativo — manter e investigar","OK")</x:f>
        <x:v>OK</x:v>
      </x:c>
    </x:row>
    <x:row r="1792">
      <x:c r="A1792" s="51" t="n">
        <x:v>43556</x:v>
      </x:c>
      <x:c r="B1792" s="14" t="str">
        <x:v>Nordeste</x:v>
      </x:c>
      <x:c r="C1792" s="14" t="str">
        <x:v>SISTEMAS ISOLADOS</x:v>
      </x:c>
      <x:c r="D1792" s="53" t="str">
        <x:v>Cativo</x:v>
      </x:c>
      <x:c r="E1792" s="49" t="n">
        <x:v>548</x:v>
      </x:c>
      <x:c r="F1792" s="52" t="n">
        <x:v>608</x:v>
      </x:c>
      <x:c r="G1792" s="54" t="n">
        <x:v>46220</x:v>
      </x:c>
      <x:c r="H1792" s="14" t="str">
        <x:f>IF(E1792&lt;0,"Componente negativo — manter e investigar","OK")</x:f>
        <x:v>OK</x:v>
      </x:c>
    </x:row>
    <x:row r="1793">
      <x:c r="A1793" s="51" t="n">
        <x:v>43556</x:v>
      </x:c>
      <x:c r="B1793" s="14" t="str">
        <x:v>Norte</x:v>
      </x:c>
      <x:c r="C1793" s="14" t="str">
        <x:v>NORTE INTERLIGADO</x:v>
      </x:c>
      <x:c r="D1793" s="53" t="str">
        <x:v>Cativo</x:v>
      </x:c>
      <x:c r="E1793" s="49" t="n">
        <x:v>499360.775</x:v>
      </x:c>
      <x:c r="F1793" s="52" t="n">
        <x:v>3405794</x:v>
      </x:c>
      <x:c r="G1793" s="54" t="n">
        <x:v>46220</x:v>
      </x:c>
      <x:c r="H1793" s="14" t="str">
        <x:f>IF(E1793&lt;0,"Componente negativo — manter e investigar","OK")</x:f>
        <x:v>OK</x:v>
      </x:c>
    </x:row>
    <x:row r="1794">
      <x:c r="A1794" s="51" t="n">
        <x:v>43556</x:v>
      </x:c>
      <x:c r="B1794" s="14" t="str">
        <x:v>Norte</x:v>
      </x:c>
      <x:c r="C1794" s="14" t="str">
        <x:v>SISTEMAS ISOLADOS</x:v>
      </x:c>
      <x:c r="D1794" s="53" t="str">
        <x:v>Cativo</x:v>
      </x:c>
      <x:c r="E1794" s="49" t="n">
        <x:v>123293.209</x:v>
      </x:c>
      <x:c r="F1794" s="52" t="n">
        <x:v>640506</x:v>
      </x:c>
      <x:c r="G1794" s="54" t="n">
        <x:v>46220</x:v>
      </x:c>
      <x:c r="H1794" s="14" t="str">
        <x:f>IF(E1794&lt;0,"Componente negativo — manter e investigar","OK")</x:f>
        <x:v>OK</x:v>
      </x:c>
    </x:row>
    <x:row r="1795">
      <x:c r="A1795" s="51" t="n">
        <x:v>43556</x:v>
      </x:c>
      <x:c r="B1795" s="14" t="str">
        <x:v>Norte</x:v>
      </x:c>
      <x:c r="C1795" s="14" t="str">
        <x:v>SUDESTE / CENTRO - OESTE</x:v>
      </x:c>
      <x:c r="D1795" s="53" t="str">
        <x:v>Cativo</x:v>
      </x:c>
      <x:c r="E1795" s="49" t="n">
        <x:v>129224.29</x:v>
      </x:c>
      <x:c r="F1795" s="52" t="n">
        <x:v>579869</x:v>
      </x:c>
      <x:c r="G1795" s="54" t="n">
        <x:v>46220</x:v>
      </x:c>
      <x:c r="H1795" s="14" t="str">
        <x:f>IF(E1795&lt;0,"Componente negativo — manter e investigar","OK")</x:f>
        <x:v>OK</x:v>
      </x:c>
    </x:row>
    <x:row r="1796">
      <x:c r="A1796" s="51" t="n">
        <x:v>43556</x:v>
      </x:c>
      <x:c r="B1796" s="14" t="str">
        <x:v>Sudeste</x:v>
      </x:c>
      <x:c r="C1796" s="14" t="str">
        <x:v>SUDESTE / CENTRO - OESTE</x:v>
      </x:c>
      <x:c r="D1796" s="53" t="str">
        <x:v>Cativo</x:v>
      </x:c>
      <x:c r="E1796" s="49" t="n">
        <x:v>5609941.429</x:v>
      </x:c>
      <x:c r="F1796" s="52" t="n">
        <x:v>32764272</x:v>
      </x:c>
      <x:c r="G1796" s="54" t="n">
        <x:v>46220</x:v>
      </x:c>
      <x:c r="H1796" s="14" t="str">
        <x:f>IF(E1796&lt;0,"Componente negativo — manter e investigar","OK")</x:f>
        <x:v>OK</x:v>
      </x:c>
    </x:row>
    <x:row r="1797">
      <x:c r="A1797" s="51" t="n">
        <x:v>43556</x:v>
      </x:c>
      <x:c r="B1797" s="14" t="str">
        <x:v>Sudeste</x:v>
      </x:c>
      <x:c r="C1797" s="14" t="str">
        <x:v>SUDESTE / CENTRO - OESTE</x:v>
      </x:c>
      <x:c r="D1797" s="53" t="str">
        <x:v>Livre</x:v>
      </x:c>
      <x:c r="E1797" s="49" t="n">
        <x:v>336.433</x:v>
      </x:c>
      <x:c r="F1797" s="52" t="n">
        <x:v>1</x:v>
      </x:c>
      <x:c r="G1797" s="54" t="n">
        <x:v>46220</x:v>
      </x:c>
      <x:c r="H1797" s="14" t="str">
        <x:f>IF(E1797&lt;0,"Componente negativo — manter e investigar","OK")</x:f>
        <x:v>OK</x:v>
      </x:c>
    </x:row>
    <x:row r="1798">
      <x:c r="A1798" s="51" t="n">
        <x:v>43556</x:v>
      </x:c>
      <x:c r="B1798" s="14" t="str">
        <x:v>Sul</x:v>
      </x:c>
      <x:c r="C1798" s="14" t="str">
        <x:v>SUL</x:v>
      </x:c>
      <x:c r="D1798" s="53" t="str">
        <x:v>Cativo</x:v>
      </x:c>
      <x:c r="E1798" s="49" t="n">
        <x:v>1806674.293</x:v>
      </x:c>
      <x:c r="F1798" s="52" t="n">
        <x:v>10356653</x:v>
      </x:c>
      <x:c r="G1798" s="54" t="n">
        <x:v>46220</x:v>
      </x:c>
      <x:c r="H1798" s="14" t="str">
        <x:f>IF(E1798&lt;0,"Componente negativo — manter e investigar","OK")</x:f>
        <x:v>OK</x:v>
      </x:c>
    </x:row>
    <x:row r="1799">
      <x:c r="A1799" s="51" t="n">
        <x:v>43586</x:v>
      </x:c>
      <x:c r="B1799" s="14" t="str">
        <x:v>Centro-Oeste</x:v>
      </x:c>
      <x:c r="C1799" s="14" t="str">
        <x:v>SISTEMAS ISOLADOS</x:v>
      </x:c>
      <x:c r="D1799" s="53" t="str">
        <x:v>Cativo</x:v>
      </x:c>
      <x:c r="E1799" s="49" t="n">
        <x:v>172.791</x:v>
      </x:c>
      <x:c r="F1799" s="52" t="n">
        <x:v>704</x:v>
      </x:c>
      <x:c r="G1799" s="54" t="n">
        <x:v>46220</x:v>
      </x:c>
      <x:c r="H1799" s="14" t="str">
        <x:f>IF(E1799&lt;0,"Componente negativo — manter e investigar","OK")</x:f>
        <x:v>OK</x:v>
      </x:c>
    </x:row>
    <x:row r="1800">
      <x:c r="A1800" s="51" t="n">
        <x:v>43586</x:v>
      </x:c>
      <x:c r="B1800" s="14" t="str">
        <x:v>Centro-Oeste</x:v>
      </x:c>
      <x:c r="C1800" s="14" t="str">
        <x:v>SUDESTE / CENTRO - OESTE</x:v>
      </x:c>
      <x:c r="D1800" s="53" t="str">
        <x:v>Cativo</x:v>
      </x:c>
      <x:c r="E1800" s="49" t="n">
        <x:v>1051305.423</x:v>
      </x:c>
      <x:c r="F1800" s="52" t="n">
        <x:v>5528244</x:v>
      </x:c>
      <x:c r="G1800" s="54" t="n">
        <x:v>46220</x:v>
      </x:c>
      <x:c r="H1800" s="14" t="str">
        <x:f>IF(E1800&lt;0,"Componente negativo — manter e investigar","OK")</x:f>
        <x:v>OK</x:v>
      </x:c>
    </x:row>
    <x:row r="1801">
      <x:c r="A1801" s="51" t="n">
        <x:v>43586</x:v>
      </x:c>
      <x:c r="B1801" s="14" t="str">
        <x:v>Nordeste</x:v>
      </x:c>
      <x:c r="C1801" s="14" t="str">
        <x:v>NORDESTE</x:v>
      </x:c>
      <x:c r="D1801" s="53" t="str">
        <x:v>Cativo</x:v>
      </x:c>
      <x:c r="E1801" s="49" t="n">
        <x:v>2218003.619</x:v>
      </x:c>
      <x:c r="F1801" s="52" t="n">
        <x:v>17083899</x:v>
      </x:c>
      <x:c r="G1801" s="54" t="n">
        <x:v>46220</x:v>
      </x:c>
      <x:c r="H1801" s="14" t="str">
        <x:f>IF(E1801&lt;0,"Componente negativo — manter e investigar","OK")</x:f>
        <x:v>OK</x:v>
      </x:c>
    </x:row>
    <x:row r="1802">
      <x:c r="A1802" s="51" t="n">
        <x:v>43586</x:v>
      </x:c>
      <x:c r="B1802" s="14" t="str">
        <x:v>Nordeste</x:v>
      </x:c>
      <x:c r="C1802" s="14" t="str">
        <x:v>NORTE INTERLIGADO</x:v>
      </x:c>
      <x:c r="D1802" s="53" t="str">
        <x:v>Cativo</x:v>
      </x:c>
      <x:c r="E1802" s="49" t="n">
        <x:v>271634.925</x:v>
      </x:c>
      <x:c r="F1802" s="52" t="n">
        <x:v>2269244</x:v>
      </x:c>
      <x:c r="G1802" s="54" t="n">
        <x:v>46220</x:v>
      </x:c>
      <x:c r="H1802" s="14" t="str">
        <x:f>IF(E1802&lt;0,"Componente negativo — manter e investigar","OK")</x:f>
        <x:v>OK</x:v>
      </x:c>
    </x:row>
    <x:row r="1803">
      <x:c r="A1803" s="51" t="n">
        <x:v>43586</x:v>
      </x:c>
      <x:c r="B1803" s="14" t="str">
        <x:v>Nordeste</x:v>
      </x:c>
      <x:c r="C1803" s="14" t="str">
        <x:v>SISTEMAS ISOLADOS</x:v>
      </x:c>
      <x:c r="D1803" s="53" t="str">
        <x:v>Cativo</x:v>
      </x:c>
      <x:c r="E1803" s="49" t="n">
        <x:v>603</x:v>
      </x:c>
      <x:c r="F1803" s="52" t="n">
        <x:v>609</x:v>
      </x:c>
      <x:c r="G1803" s="54" t="n">
        <x:v>46220</x:v>
      </x:c>
      <x:c r="H1803" s="14" t="str">
        <x:f>IF(E1803&lt;0,"Componente negativo — manter e investigar","OK")</x:f>
        <x:v>OK</x:v>
      </x:c>
    </x:row>
    <x:row r="1804">
      <x:c r="A1804" s="51" t="n">
        <x:v>43586</x:v>
      </x:c>
      <x:c r="B1804" s="14" t="str">
        <x:v>Norte</x:v>
      </x:c>
      <x:c r="C1804" s="14" t="str">
        <x:v>NORTE INTERLIGADO</x:v>
      </x:c>
      <x:c r="D1804" s="53" t="str">
        <x:v>Cativo</x:v>
      </x:c>
      <x:c r="E1804" s="49" t="n">
        <x:v>529440.371</x:v>
      </x:c>
      <x:c r="F1804" s="52" t="n">
        <x:v>3420298</x:v>
      </x:c>
      <x:c r="G1804" s="54" t="n">
        <x:v>46220</x:v>
      </x:c>
      <x:c r="H1804" s="14" t="str">
        <x:f>IF(E1804&lt;0,"Componente negativo — manter e investigar","OK")</x:f>
        <x:v>OK</x:v>
      </x:c>
    </x:row>
    <x:row r="1805">
      <x:c r="A1805" s="51" t="n">
        <x:v>43586</x:v>
      </x:c>
      <x:c r="B1805" s="14" t="str">
        <x:v>Norte</x:v>
      </x:c>
      <x:c r="C1805" s="14" t="str">
        <x:v>SISTEMAS ISOLADOS</x:v>
      </x:c>
      <x:c r="D1805" s="53" t="str">
        <x:v>Cativo</x:v>
      </x:c>
      <x:c r="E1805" s="49" t="n">
        <x:v>115839.554</x:v>
      </x:c>
      <x:c r="F1805" s="52" t="n">
        <x:v>643091</x:v>
      </x:c>
      <x:c r="G1805" s="54" t="n">
        <x:v>46220</x:v>
      </x:c>
      <x:c r="H1805" s="14" t="str">
        <x:f>IF(E1805&lt;0,"Componente negativo — manter e investigar","OK")</x:f>
        <x:v>OK</x:v>
      </x:c>
    </x:row>
    <x:row r="1806">
      <x:c r="A1806" s="51" t="n">
        <x:v>43586</x:v>
      </x:c>
      <x:c r="B1806" s="14" t="str">
        <x:v>Norte</x:v>
      </x:c>
      <x:c r="C1806" s="14" t="str">
        <x:v>SUDESTE / CENTRO - OESTE</x:v>
      </x:c>
      <x:c r="D1806" s="53" t="str">
        <x:v>Cativo</x:v>
      </x:c>
      <x:c r="E1806" s="49" t="n">
        <x:v>132006.946</x:v>
      </x:c>
      <x:c r="F1806" s="52" t="n">
        <x:v>579424</x:v>
      </x:c>
      <x:c r="G1806" s="54" t="n">
        <x:v>46220</x:v>
      </x:c>
      <x:c r="H1806" s="14" t="str">
        <x:f>IF(E1806&lt;0,"Componente negativo — manter e investigar","OK")</x:f>
        <x:v>OK</x:v>
      </x:c>
    </x:row>
    <x:row r="1807">
      <x:c r="A1807" s="51" t="n">
        <x:v>43586</x:v>
      </x:c>
      <x:c r="B1807" s="14" t="str">
        <x:v>Sudeste</x:v>
      </x:c>
      <x:c r="C1807" s="14" t="str">
        <x:v>SUDESTE / CENTRO - OESTE</x:v>
      </x:c>
      <x:c r="D1807" s="53" t="str">
        <x:v>Cativo</x:v>
      </x:c>
      <x:c r="E1807" s="49" t="n">
        <x:v>5785050.9569999995</x:v>
      </x:c>
      <x:c r="F1807" s="52" t="n">
        <x:v>32842211</x:v>
      </x:c>
      <x:c r="G1807" s="54" t="n">
        <x:v>46220</x:v>
      </x:c>
      <x:c r="H1807" s="14" t="str">
        <x:f>IF(E1807&lt;0,"Componente negativo — manter e investigar","OK")</x:f>
        <x:v>OK</x:v>
      </x:c>
    </x:row>
    <x:row r="1808">
      <x:c r="A1808" s="51" t="n">
        <x:v>43586</x:v>
      </x:c>
      <x:c r="B1808" s="14" t="str">
        <x:v>Sudeste</x:v>
      </x:c>
      <x:c r="C1808" s="14" t="str">
        <x:v>SUDESTE / CENTRO - OESTE</x:v>
      </x:c>
      <x:c r="D1808" s="53" t="str">
        <x:v>Livre</x:v>
      </x:c>
      <x:c r="E1808" s="49" t="n">
        <x:v>361.466</x:v>
      </x:c>
      <x:c r="F1808" s="52" t="n">
        <x:v>1</x:v>
      </x:c>
      <x:c r="G1808" s="54" t="n">
        <x:v>46220</x:v>
      </x:c>
      <x:c r="H1808" s="14" t="str">
        <x:f>IF(E1808&lt;0,"Componente negativo — manter e investigar","OK")</x:f>
        <x:v>OK</x:v>
      </x:c>
    </x:row>
    <x:row r="1809">
      <x:c r="A1809" s="51" t="n">
        <x:v>43586</x:v>
      </x:c>
      <x:c r="B1809" s="14" t="str">
        <x:v>Sul</x:v>
      </x:c>
      <x:c r="C1809" s="14" t="str">
        <x:v>SUL</x:v>
      </x:c>
      <x:c r="D1809" s="53" t="str">
        <x:v>Cativo</x:v>
      </x:c>
      <x:c r="E1809" s="49" t="n">
        <x:v>1822174.4610000001</x:v>
      </x:c>
      <x:c r="F1809" s="52" t="n">
        <x:v>10375660</x:v>
      </x:c>
      <x:c r="G1809" s="54" t="n">
        <x:v>46220</x:v>
      </x:c>
      <x:c r="H1809" s="14" t="str">
        <x:f>IF(E1809&lt;0,"Componente negativo — manter e investigar","OK")</x:f>
        <x:v>OK</x:v>
      </x:c>
    </x:row>
    <x:row r="1810">
      <x:c r="A1810" s="51" t="n">
        <x:v>43617</x:v>
      </x:c>
      <x:c r="B1810" s="14" t="str">
        <x:v>Centro-Oeste</x:v>
      </x:c>
      <x:c r="C1810" s="14" t="str">
        <x:v>SISTEMAS ISOLADOS</x:v>
      </x:c>
      <x:c r="D1810" s="53" t="str">
        <x:v>Cativo</x:v>
      </x:c>
      <x:c r="E1810" s="49" t="n">
        <x:v>171.222</x:v>
      </x:c>
      <x:c r="F1810" s="52" t="n">
        <x:v>713</x:v>
      </x:c>
      <x:c r="G1810" s="54" t="n">
        <x:v>46220</x:v>
      </x:c>
      <x:c r="H1810" s="14" t="str">
        <x:f>IF(E1810&lt;0,"Componente negativo — manter e investigar","OK")</x:f>
        <x:v>OK</x:v>
      </x:c>
    </x:row>
    <x:row r="1811">
      <x:c r="A1811" s="51" t="n">
        <x:v>43617</x:v>
      </x:c>
      <x:c r="B1811" s="14" t="str">
        <x:v>Centro-Oeste</x:v>
      </x:c>
      <x:c r="C1811" s="14" t="str">
        <x:v>SUDESTE / CENTRO - OESTE</x:v>
      </x:c>
      <x:c r="D1811" s="53" t="str">
        <x:v>Cativo</x:v>
      </x:c>
      <x:c r="E1811" s="49" t="n">
        <x:v>953407.154</x:v>
      </x:c>
      <x:c r="F1811" s="52" t="n">
        <x:v>5535865</x:v>
      </x:c>
      <x:c r="G1811" s="54" t="n">
        <x:v>46220</x:v>
      </x:c>
      <x:c r="H1811" s="14" t="str">
        <x:f>IF(E1811&lt;0,"Componente negativo — manter e investigar","OK")</x:f>
        <x:v>OK</x:v>
      </x:c>
    </x:row>
    <x:row r="1812">
      <x:c r="A1812" s="51" t="n">
        <x:v>43617</x:v>
      </x:c>
      <x:c r="B1812" s="14" t="str">
        <x:v>Nordeste</x:v>
      </x:c>
      <x:c r="C1812" s="14" t="str">
        <x:v>NORDESTE</x:v>
      </x:c>
      <x:c r="D1812" s="53" t="str">
        <x:v>Cativo</x:v>
      </x:c>
      <x:c r="E1812" s="49" t="n">
        <x:v>2063349.15</x:v>
      </x:c>
      <x:c r="F1812" s="52" t="n">
        <x:v>17093945</x:v>
      </x:c>
      <x:c r="G1812" s="54" t="n">
        <x:v>46220</x:v>
      </x:c>
      <x:c r="H1812" s="14" t="str">
        <x:f>IF(E1812&lt;0,"Componente negativo — manter e investigar","OK")</x:f>
        <x:v>OK</x:v>
      </x:c>
    </x:row>
    <x:row r="1813">
      <x:c r="A1813" s="51" t="n">
        <x:v>43617</x:v>
      </x:c>
      <x:c r="B1813" s="14" t="str">
        <x:v>Nordeste</x:v>
      </x:c>
      <x:c r="C1813" s="14" t="str">
        <x:v>NORTE INTERLIGADO</x:v>
      </x:c>
      <x:c r="D1813" s="53" t="str">
        <x:v>Cativo</x:v>
      </x:c>
      <x:c r="E1813" s="49" t="n">
        <x:v>266282.339</x:v>
      </x:c>
      <x:c r="F1813" s="52" t="n">
        <x:v>2263944</x:v>
      </x:c>
      <x:c r="G1813" s="54" t="n">
        <x:v>46220</x:v>
      </x:c>
      <x:c r="H1813" s="14" t="str">
        <x:f>IF(E1813&lt;0,"Componente negativo — manter e investigar","OK")</x:f>
        <x:v>OK</x:v>
      </x:c>
    </x:row>
    <x:row r="1814">
      <x:c r="A1814" s="51" t="n">
        <x:v>43617</x:v>
      </x:c>
      <x:c r="B1814" s="14" t="str">
        <x:v>Nordeste</x:v>
      </x:c>
      <x:c r="C1814" s="14" t="str">
        <x:v>SISTEMAS ISOLADOS</x:v>
      </x:c>
      <x:c r="D1814" s="53" t="str">
        <x:v>Cativo</x:v>
      </x:c>
      <x:c r="E1814" s="49" t="n">
        <x:v>554</x:v>
      </x:c>
      <x:c r="F1814" s="52" t="n">
        <x:v>610</x:v>
      </x:c>
      <x:c r="G1814" s="54" t="n">
        <x:v>46220</x:v>
      </x:c>
      <x:c r="H1814" s="14" t="str">
        <x:f>IF(E1814&lt;0,"Componente negativo — manter e investigar","OK")</x:f>
        <x:v>OK</x:v>
      </x:c>
    </x:row>
    <x:row r="1815">
      <x:c r="A1815" s="51" t="n">
        <x:v>43617</x:v>
      </x:c>
      <x:c r="B1815" s="14" t="str">
        <x:v>Norte</x:v>
      </x:c>
      <x:c r="C1815" s="14" t="str">
        <x:v>NORTE INTERLIGADO</x:v>
      </x:c>
      <x:c r="D1815" s="53" t="str">
        <x:v>Cativo</x:v>
      </x:c>
      <x:c r="E1815" s="49" t="n">
        <x:v>552167.147</x:v>
      </x:c>
      <x:c r="F1815" s="52" t="n">
        <x:v>3436837</x:v>
      </x:c>
      <x:c r="G1815" s="54" t="n">
        <x:v>46220</x:v>
      </x:c>
      <x:c r="H1815" s="14" t="str">
        <x:f>IF(E1815&lt;0,"Componente negativo — manter e investigar","OK")</x:f>
        <x:v>OK</x:v>
      </x:c>
    </x:row>
    <x:row r="1816">
      <x:c r="A1816" s="51" t="n">
        <x:v>43617</x:v>
      </x:c>
      <x:c r="B1816" s="14" t="str">
        <x:v>Norte</x:v>
      </x:c>
      <x:c r="C1816" s="14" t="str">
        <x:v>SISTEMAS ISOLADOS</x:v>
      </x:c>
      <x:c r="D1816" s="53" t="str">
        <x:v>Cativo</x:v>
      </x:c>
      <x:c r="E1816" s="49" t="n">
        <x:v>105957.391</x:v>
      </x:c>
      <x:c r="F1816" s="52" t="n">
        <x:v>644183</x:v>
      </x:c>
      <x:c r="G1816" s="54" t="n">
        <x:v>46220</x:v>
      </x:c>
      <x:c r="H1816" s="14" t="str">
        <x:f>IF(E1816&lt;0,"Componente negativo — manter e investigar","OK")</x:f>
        <x:v>OK</x:v>
      </x:c>
    </x:row>
    <x:row r="1817">
      <x:c r="A1817" s="51" t="n">
        <x:v>43617</x:v>
      </x:c>
      <x:c r="B1817" s="14" t="str">
        <x:v>Norte</x:v>
      </x:c>
      <x:c r="C1817" s="14" t="str">
        <x:v>SUDESTE / CENTRO - OESTE</x:v>
      </x:c>
      <x:c r="D1817" s="53" t="str">
        <x:v>Cativo</x:v>
      </x:c>
      <x:c r="E1817" s="49" t="n">
        <x:v>124281.475</x:v>
      </x:c>
      <x:c r="F1817" s="52" t="n">
        <x:v>580482</x:v>
      </x:c>
      <x:c r="G1817" s="54" t="n">
        <x:v>46220</x:v>
      </x:c>
      <x:c r="H1817" s="14" t="str">
        <x:f>IF(E1817&lt;0,"Componente negativo — manter e investigar","OK")</x:f>
        <x:v>OK</x:v>
      </x:c>
    </x:row>
    <x:row r="1818">
      <x:c r="A1818" s="51" t="n">
        <x:v>43617</x:v>
      </x:c>
      <x:c r="B1818" s="14" t="str">
        <x:v>Sudeste</x:v>
      </x:c>
      <x:c r="C1818" s="14" t="str">
        <x:v>SUDESTE / CENTRO - OESTE</x:v>
      </x:c>
      <x:c r="D1818" s="53" t="str">
        <x:v>Cativo</x:v>
      </x:c>
      <x:c r="E1818" s="49" t="n">
        <x:v>5269332.225</x:v>
      </x:c>
      <x:c r="F1818" s="52" t="n">
        <x:v>32858189</x:v>
      </x:c>
      <x:c r="G1818" s="54" t="n">
        <x:v>46220</x:v>
      </x:c>
      <x:c r="H1818" s="14" t="str">
        <x:f>IF(E1818&lt;0,"Componente negativo — manter e investigar","OK")</x:f>
        <x:v>OK</x:v>
      </x:c>
    </x:row>
    <x:row r="1819">
      <x:c r="A1819" s="51" t="n">
        <x:v>43617</x:v>
      </x:c>
      <x:c r="B1819" s="14" t="str">
        <x:v>Sudeste</x:v>
      </x:c>
      <x:c r="C1819" s="14" t="str">
        <x:v>SUDESTE / CENTRO - OESTE</x:v>
      </x:c>
      <x:c r="D1819" s="53" t="str">
        <x:v>Livre</x:v>
      </x:c>
      <x:c r="E1819" s="49" t="n">
        <x:v>368.989</x:v>
      </x:c>
      <x:c r="F1819" s="52" t="n">
        <x:v>1</x:v>
      </x:c>
      <x:c r="G1819" s="54" t="n">
        <x:v>46220</x:v>
      </x:c>
      <x:c r="H1819" s="14" t="str">
        <x:f>IF(E1819&lt;0,"Componente negativo — manter e investigar","OK")</x:f>
        <x:v>OK</x:v>
      </x:c>
    </x:row>
    <x:row r="1820">
      <x:c r="A1820" s="51" t="n">
        <x:v>43617</x:v>
      </x:c>
      <x:c r="B1820" s="14" t="str">
        <x:v>Sul</x:v>
      </x:c>
      <x:c r="C1820" s="14" t="str">
        <x:v>SUL</x:v>
      </x:c>
      <x:c r="D1820" s="53" t="str">
        <x:v>Cativo</x:v>
      </x:c>
      <x:c r="E1820" s="49" t="n">
        <x:v>1714445.213</x:v>
      </x:c>
      <x:c r="F1820" s="52" t="n">
        <x:v>10384676</x:v>
      </x:c>
      <x:c r="G1820" s="54" t="n">
        <x:v>46220</x:v>
      </x:c>
      <x:c r="H1820" s="14" t="str">
        <x:f>IF(E1820&lt;0,"Componente negativo — manter e investigar","OK")</x:f>
        <x:v>OK</x:v>
      </x:c>
    </x:row>
    <x:row r="1821">
      <x:c r="A1821" s="51" t="n">
        <x:v>43647</x:v>
      </x:c>
      <x:c r="B1821" s="14" t="str">
        <x:v>Centro-Oeste</x:v>
      </x:c>
      <x:c r="C1821" s="14" t="str">
        <x:v>SISTEMAS ISOLADOS</x:v>
      </x:c>
      <x:c r="D1821" s="53" t="str">
        <x:v>Cativo</x:v>
      </x:c>
      <x:c r="E1821" s="49" t="n">
        <x:v>185.075</x:v>
      </x:c>
      <x:c r="F1821" s="52" t="n">
        <x:v>717</x:v>
      </x:c>
      <x:c r="G1821" s="54" t="n">
        <x:v>46220</x:v>
      </x:c>
      <x:c r="H1821" s="14" t="str">
        <x:f>IF(E1821&lt;0,"Componente negativo — manter e investigar","OK")</x:f>
        <x:v>OK</x:v>
      </x:c>
    </x:row>
    <x:row r="1822">
      <x:c r="A1822" s="51" t="n">
        <x:v>43647</x:v>
      </x:c>
      <x:c r="B1822" s="14" t="str">
        <x:v>Centro-Oeste</x:v>
      </x:c>
      <x:c r="C1822" s="14" t="str">
        <x:v>SUDESTE / CENTRO - OESTE</x:v>
      </x:c>
      <x:c r="D1822" s="53" t="str">
        <x:v>Cativo</x:v>
      </x:c>
      <x:c r="E1822" s="49" t="n">
        <x:v>930622.6969999999</x:v>
      </x:c>
      <x:c r="F1822" s="52" t="n">
        <x:v>5550018</x:v>
      </x:c>
      <x:c r="G1822" s="54" t="n">
        <x:v>46220</x:v>
      </x:c>
      <x:c r="H1822" s="14" t="str">
        <x:f>IF(E1822&lt;0,"Componente negativo — manter e investigar","OK")</x:f>
        <x:v>OK</x:v>
      </x:c>
    </x:row>
    <x:row r="1823">
      <x:c r="A1823" s="51" t="n">
        <x:v>43647</x:v>
      </x:c>
      <x:c r="B1823" s="14" t="str">
        <x:v>Nordeste</x:v>
      </x:c>
      <x:c r="C1823" s="14" t="str">
        <x:v>NORDESTE</x:v>
      </x:c>
      <x:c r="D1823" s="53" t="str">
        <x:v>Cativo</x:v>
      </x:c>
      <x:c r="E1823" s="49" t="n">
        <x:v>2028963.9810000001</x:v>
      </x:c>
      <x:c r="F1823" s="52" t="n">
        <x:v>17040171</x:v>
      </x:c>
      <x:c r="G1823" s="54" t="n">
        <x:v>46220</x:v>
      </x:c>
      <x:c r="H1823" s="14" t="str">
        <x:f>IF(E1823&lt;0,"Componente negativo — manter e investigar","OK")</x:f>
        <x:v>OK</x:v>
      </x:c>
    </x:row>
    <x:row r="1824">
      <x:c r="A1824" s="51" t="n">
        <x:v>43647</x:v>
      </x:c>
      <x:c r="B1824" s="14" t="str">
        <x:v>Nordeste</x:v>
      </x:c>
      <x:c r="C1824" s="14" t="str">
        <x:v>NORTE INTERLIGADO</x:v>
      </x:c>
      <x:c r="D1824" s="53" t="str">
        <x:v>Cativo</x:v>
      </x:c>
      <x:c r="E1824" s="49" t="n">
        <x:v>270973.028</x:v>
      </x:c>
      <x:c r="F1824" s="52" t="n">
        <x:v>2298147</x:v>
      </x:c>
      <x:c r="G1824" s="54" t="n">
        <x:v>46220</x:v>
      </x:c>
      <x:c r="H1824" s="14" t="str">
        <x:f>IF(E1824&lt;0,"Componente negativo — manter e investigar","OK")</x:f>
        <x:v>OK</x:v>
      </x:c>
    </x:row>
    <x:row r="1825">
      <x:c r="A1825" s="51" t="n">
        <x:v>43647</x:v>
      </x:c>
      <x:c r="B1825" s="14" t="str">
        <x:v>Nordeste</x:v>
      </x:c>
      <x:c r="C1825" s="14" t="str">
        <x:v>SISTEMAS ISOLADOS</x:v>
      </x:c>
      <x:c r="D1825" s="53" t="str">
        <x:v>Cativo</x:v>
      </x:c>
      <x:c r="E1825" s="49" t="n">
        <x:v>565</x:v>
      </x:c>
      <x:c r="F1825" s="52" t="n">
        <x:v>619</x:v>
      </x:c>
      <x:c r="G1825" s="54" t="n">
        <x:v>46220</x:v>
      </x:c>
      <x:c r="H1825" s="14" t="str">
        <x:f>IF(E1825&lt;0,"Componente negativo — manter e investigar","OK")</x:f>
        <x:v>OK</x:v>
      </x:c>
    </x:row>
    <x:row r="1826">
      <x:c r="A1826" s="51" t="n">
        <x:v>43647</x:v>
      </x:c>
      <x:c r="B1826" s="14" t="str">
        <x:v>Norte</x:v>
      </x:c>
      <x:c r="C1826" s="14" t="str">
        <x:v>NORTE INTERLIGADO</x:v>
      </x:c>
      <x:c r="D1826" s="53" t="str">
        <x:v>Cativo</x:v>
      </x:c>
      <x:c r="E1826" s="49" t="n">
        <x:v>558514.9310000001</x:v>
      </x:c>
      <x:c r="F1826" s="52" t="n">
        <x:v>3443119</x:v>
      </x:c>
      <x:c r="G1826" s="54" t="n">
        <x:v>46220</x:v>
      </x:c>
      <x:c r="H1826" s="14" t="str">
        <x:f>IF(E1826&lt;0,"Componente negativo — manter e investigar","OK")</x:f>
        <x:v>OK</x:v>
      </x:c>
    </x:row>
    <x:row r="1827">
      <x:c r="A1827" s="51" t="n">
        <x:v>43647</x:v>
      </x:c>
      <x:c r="B1827" s="14" t="str">
        <x:v>Norte</x:v>
      </x:c>
      <x:c r="C1827" s="14" t="str">
        <x:v>SISTEMAS ISOLADOS</x:v>
      </x:c>
      <x:c r="D1827" s="53" t="str">
        <x:v>Cativo</x:v>
      </x:c>
      <x:c r="E1827" s="49" t="n">
        <x:v>113543.461</x:v>
      </x:c>
      <x:c r="F1827" s="52" t="n">
        <x:v>646064</x:v>
      </x:c>
      <x:c r="G1827" s="54" t="n">
        <x:v>46220</x:v>
      </x:c>
      <x:c r="H1827" s="14" t="str">
        <x:f>IF(E1827&lt;0,"Componente negativo — manter e investigar","OK")</x:f>
        <x:v>OK</x:v>
      </x:c>
    </x:row>
    <x:row r="1828">
      <x:c r="A1828" s="51" t="n">
        <x:v>43647</x:v>
      </x:c>
      <x:c r="B1828" s="14" t="str">
        <x:v>Norte</x:v>
      </x:c>
      <x:c r="C1828" s="14" t="str">
        <x:v>SUDESTE / CENTRO - OESTE</x:v>
      </x:c>
      <x:c r="D1828" s="53" t="str">
        <x:v>Cativo</x:v>
      </x:c>
      <x:c r="E1828" s="49" t="n">
        <x:v>135382.296</x:v>
      </x:c>
      <x:c r="F1828" s="52" t="n">
        <x:v>585232</x:v>
      </x:c>
      <x:c r="G1828" s="54" t="n">
        <x:v>46220</x:v>
      </x:c>
      <x:c r="H1828" s="14" t="str">
        <x:f>IF(E1828&lt;0,"Componente negativo — manter e investigar","OK")</x:f>
        <x:v>OK</x:v>
      </x:c>
    </x:row>
    <x:row r="1829">
      <x:c r="A1829" s="51" t="n">
        <x:v>43647</x:v>
      </x:c>
      <x:c r="B1829" s="14" t="str">
        <x:v>Sudeste</x:v>
      </x:c>
      <x:c r="C1829" s="14" t="str">
        <x:v>SUDESTE / CENTRO - OESTE</x:v>
      </x:c>
      <x:c r="D1829" s="53" t="str">
        <x:v>Cativo</x:v>
      </x:c>
      <x:c r="E1829" s="49" t="n">
        <x:v>5151833.369</x:v>
      </x:c>
      <x:c r="F1829" s="52" t="n">
        <x:v>32899968</x:v>
      </x:c>
      <x:c r="G1829" s="54" t="n">
        <x:v>46220</x:v>
      </x:c>
      <x:c r="H1829" s="14" t="str">
        <x:f>IF(E1829&lt;0,"Componente negativo — manter e investigar","OK")</x:f>
        <x:v>OK</x:v>
      </x:c>
    </x:row>
    <x:row r="1830">
      <x:c r="A1830" s="51" t="n">
        <x:v>43647</x:v>
      </x:c>
      <x:c r="B1830" s="14" t="str">
        <x:v>Sudeste</x:v>
      </x:c>
      <x:c r="C1830" s="14" t="str">
        <x:v>SUDESTE / CENTRO - OESTE</x:v>
      </x:c>
      <x:c r="D1830" s="53" t="str">
        <x:v>Livre</x:v>
      </x:c>
      <x:c r="E1830" s="49" t="n">
        <x:v>484.557</x:v>
      </x:c>
      <x:c r="F1830" s="52" t="n">
        <x:v>1</x:v>
      </x:c>
      <x:c r="G1830" s="54" t="n">
        <x:v>46220</x:v>
      </x:c>
      <x:c r="H1830" s="14" t="str">
        <x:f>IF(E1830&lt;0,"Componente negativo — manter e investigar","OK")</x:f>
        <x:v>OK</x:v>
      </x:c>
    </x:row>
    <x:row r="1831">
      <x:c r="A1831" s="51" t="n">
        <x:v>43647</x:v>
      </x:c>
      <x:c r="B1831" s="14" t="str">
        <x:v>Sul</x:v>
      </x:c>
      <x:c r="C1831" s="14" t="str">
        <x:v>SUL</x:v>
      </x:c>
      <x:c r="D1831" s="53" t="str">
        <x:v>Cativo</x:v>
      </x:c>
      <x:c r="E1831" s="49" t="n">
        <x:v>1761217.467</x:v>
      </x:c>
      <x:c r="F1831" s="52" t="n">
        <x:v>10400477</x:v>
      </x:c>
      <x:c r="G1831" s="54" t="n">
        <x:v>46220</x:v>
      </x:c>
      <x:c r="H1831" s="14" t="str">
        <x:f>IF(E1831&lt;0,"Componente negativo — manter e investigar","OK")</x:f>
        <x:v>OK</x:v>
      </x:c>
    </x:row>
    <x:row r="1832">
      <x:c r="A1832" s="51" t="n">
        <x:v>43678</x:v>
      </x:c>
      <x:c r="B1832" s="14" t="str">
        <x:v>Centro-Oeste</x:v>
      </x:c>
      <x:c r="C1832" s="14" t="str">
        <x:v>SISTEMAS ISOLADOS</x:v>
      </x:c>
      <x:c r="D1832" s="53" t="str">
        <x:v>Cativo</x:v>
      </x:c>
      <x:c r="E1832" s="49" t="n">
        <x:v>180.547</x:v>
      </x:c>
      <x:c r="F1832" s="52" t="n">
        <x:v>722</x:v>
      </x:c>
      <x:c r="G1832" s="54" t="n">
        <x:v>46220</x:v>
      </x:c>
      <x:c r="H1832" s="14" t="str">
        <x:f>IF(E1832&lt;0,"Componente negativo — manter e investigar","OK")</x:f>
        <x:v>OK</x:v>
      </x:c>
    </x:row>
    <x:row r="1833">
      <x:c r="A1833" s="51" t="n">
        <x:v>43678</x:v>
      </x:c>
      <x:c r="B1833" s="14" t="str">
        <x:v>Centro-Oeste</x:v>
      </x:c>
      <x:c r="C1833" s="14" t="str">
        <x:v>SUDESTE / CENTRO - OESTE</x:v>
      </x:c>
      <x:c r="D1833" s="53" t="str">
        <x:v>Cativo</x:v>
      </x:c>
      <x:c r="E1833" s="49" t="n">
        <x:v>963596.24</x:v>
      </x:c>
      <x:c r="F1833" s="52" t="n">
        <x:v>5559984</x:v>
      </x:c>
      <x:c r="G1833" s="54" t="n">
        <x:v>46220</x:v>
      </x:c>
      <x:c r="H1833" s="14" t="str">
        <x:f>IF(E1833&lt;0,"Componente negativo — manter e investigar","OK")</x:f>
        <x:v>OK</x:v>
      </x:c>
    </x:row>
    <x:row r="1834">
      <x:c r="A1834" s="51" t="n">
        <x:v>43678</x:v>
      </x:c>
      <x:c r="B1834" s="14" t="str">
        <x:v>Nordeste</x:v>
      </x:c>
      <x:c r="C1834" s="14" t="str">
        <x:v>NORDESTE</x:v>
      </x:c>
      <x:c r="D1834" s="53" t="str">
        <x:v>Cativo</x:v>
      </x:c>
      <x:c r="E1834" s="49" t="n">
        <x:v>1929287.4649999999</x:v>
      </x:c>
      <x:c r="F1834" s="52" t="n">
        <x:v>17202958</x:v>
      </x:c>
      <x:c r="G1834" s="54" t="n">
        <x:v>46220</x:v>
      </x:c>
      <x:c r="H1834" s="14" t="str">
        <x:f>IF(E1834&lt;0,"Componente negativo — manter e investigar","OK")</x:f>
        <x:v>OK</x:v>
      </x:c>
    </x:row>
    <x:row r="1835">
      <x:c r="A1835" s="51" t="n">
        <x:v>43678</x:v>
      </x:c>
      <x:c r="B1835" s="14" t="str">
        <x:v>Nordeste</x:v>
      </x:c>
      <x:c r="C1835" s="14" t="str">
        <x:v>NORDESTE</x:v>
      </x:c>
      <x:c r="D1835" s="53" t="str">
        <x:v>Livre</x:v>
      </x:c>
      <x:c r="E1835" s="49" t="n">
        <x:v>0.219</x:v>
      </x:c>
      <x:c r="F1835" s="52" t="n">
        <x:v>0</x:v>
      </x:c>
      <x:c r="G1835" s="54" t="n">
        <x:v>46220</x:v>
      </x:c>
      <x:c r="H1835" s="14" t="str">
        <x:f>IF(E1835&lt;0,"Componente negativo — manter e investigar","OK")</x:f>
        <x:v>OK</x:v>
      </x:c>
    </x:row>
    <x:row r="1836">
      <x:c r="A1836" s="51" t="n">
        <x:v>43678</x:v>
      </x:c>
      <x:c r="B1836" s="14" t="str">
        <x:v>Nordeste</x:v>
      </x:c>
      <x:c r="C1836" s="14" t="str">
        <x:v>NORTE INTERLIGADO</x:v>
      </x:c>
      <x:c r="D1836" s="53" t="str">
        <x:v>Cativo</x:v>
      </x:c>
      <x:c r="E1836" s="49" t="n">
        <x:v>276293.404</x:v>
      </x:c>
      <x:c r="F1836" s="52" t="n">
        <x:v>2259129</x:v>
      </x:c>
      <x:c r="G1836" s="54" t="n">
        <x:v>46220</x:v>
      </x:c>
      <x:c r="H1836" s="14" t="str">
        <x:f>IF(E1836&lt;0,"Componente negativo — manter e investigar","OK")</x:f>
        <x:v>OK</x:v>
      </x:c>
    </x:row>
    <x:row r="1837">
      <x:c r="A1837" s="51" t="n">
        <x:v>43678</x:v>
      </x:c>
      <x:c r="B1837" s="14" t="str">
        <x:v>Nordeste</x:v>
      </x:c>
      <x:c r="C1837" s="14" t="str">
        <x:v>SISTEMAS ISOLADOS</x:v>
      </x:c>
      <x:c r="D1837" s="53" t="str">
        <x:v>Cativo</x:v>
      </x:c>
      <x:c r="E1837" s="49" t="n">
        <x:v>550</x:v>
      </x:c>
      <x:c r="F1837" s="52" t="n">
        <x:v>620</x:v>
      </x:c>
      <x:c r="G1837" s="54" t="n">
        <x:v>46220</x:v>
      </x:c>
      <x:c r="H1837" s="14" t="str">
        <x:f>IF(E1837&lt;0,"Componente negativo — manter e investigar","OK")</x:f>
        <x:v>OK</x:v>
      </x:c>
    </x:row>
    <x:row r="1838">
      <x:c r="A1838" s="51" t="n">
        <x:v>43678</x:v>
      </x:c>
      <x:c r="B1838" s="14" t="str">
        <x:v>Norte</x:v>
      </x:c>
      <x:c r="C1838" s="14" t="str">
        <x:v>NORTE INTERLIGADO</x:v>
      </x:c>
      <x:c r="D1838" s="53" t="str">
        <x:v>Cativo</x:v>
      </x:c>
      <x:c r="E1838" s="49" t="n">
        <x:v>576677.644</x:v>
      </x:c>
      <x:c r="F1838" s="52" t="n">
        <x:v>3446342</x:v>
      </x:c>
      <x:c r="G1838" s="54" t="n">
        <x:v>46220</x:v>
      </x:c>
      <x:c r="H1838" s="14" t="str">
        <x:f>IF(E1838&lt;0,"Componente negativo — manter e investigar","OK")</x:f>
        <x:v>OK</x:v>
      </x:c>
    </x:row>
    <x:row r="1839">
      <x:c r="A1839" s="51" t="n">
        <x:v>43678</x:v>
      </x:c>
      <x:c r="B1839" s="14" t="str">
        <x:v>Norte</x:v>
      </x:c>
      <x:c r="C1839" s="14" t="str">
        <x:v>SISTEMAS ISOLADOS</x:v>
      </x:c>
      <x:c r="D1839" s="53" t="str">
        <x:v>Cativo</x:v>
      </x:c>
      <x:c r="E1839" s="49" t="n">
        <x:v>108900.175</x:v>
      </x:c>
      <x:c r="F1839" s="52" t="n">
        <x:v>646691</x:v>
      </x:c>
      <x:c r="G1839" s="54" t="n">
        <x:v>46220</x:v>
      </x:c>
      <x:c r="H1839" s="14" t="str">
        <x:f>IF(E1839&lt;0,"Componente negativo — manter e investigar","OK")</x:f>
        <x:v>OK</x:v>
      </x:c>
    </x:row>
    <x:row r="1840">
      <x:c r="A1840" s="51" t="n">
        <x:v>43678</x:v>
      </x:c>
      <x:c r="B1840" s="14" t="str">
        <x:v>Norte</x:v>
      </x:c>
      <x:c r="C1840" s="14" t="str">
        <x:v>SUDESTE / CENTRO - OESTE</x:v>
      </x:c>
      <x:c r="D1840" s="53" t="str">
        <x:v>Cativo</x:v>
      </x:c>
      <x:c r="E1840" s="49" t="n">
        <x:v>132293.224</x:v>
      </x:c>
      <x:c r="F1840" s="52" t="n">
        <x:v>589533</x:v>
      </x:c>
      <x:c r="G1840" s="54" t="n">
        <x:v>46220</x:v>
      </x:c>
      <x:c r="H1840" s="14" t="str">
        <x:f>IF(E1840&lt;0,"Componente negativo — manter e investigar","OK")</x:f>
        <x:v>OK</x:v>
      </x:c>
    </x:row>
    <x:row r="1841">
      <x:c r="A1841" s="51" t="n">
        <x:v>43678</x:v>
      </x:c>
      <x:c r="B1841" s="14" t="str">
        <x:v>Sudeste</x:v>
      </x:c>
      <x:c r="C1841" s="14" t="str">
        <x:v>SUDESTE / CENTRO - OESTE</x:v>
      </x:c>
      <x:c r="D1841" s="53" t="str">
        <x:v>Cativo</x:v>
      </x:c>
      <x:c r="E1841" s="49" t="n">
        <x:v>5201457.481000001</x:v>
      </x:c>
      <x:c r="F1841" s="52" t="n">
        <x:v>32913601</x:v>
      </x:c>
      <x:c r="G1841" s="54" t="n">
        <x:v>46220</x:v>
      </x:c>
      <x:c r="H1841" s="14" t="str">
        <x:f>IF(E1841&lt;0,"Componente negativo — manter e investigar","OK")</x:f>
        <x:v>OK</x:v>
      </x:c>
    </x:row>
    <x:row r="1842">
      <x:c r="A1842" s="51" t="n">
        <x:v>43678</x:v>
      </x:c>
      <x:c r="B1842" s="14" t="str">
        <x:v>Sudeste</x:v>
      </x:c>
      <x:c r="C1842" s="14" t="str">
        <x:v>SUDESTE / CENTRO - OESTE</x:v>
      </x:c>
      <x:c r="D1842" s="53" t="str">
        <x:v>Livre</x:v>
      </x:c>
      <x:c r="E1842" s="49" t="n">
        <x:v>362.706</x:v>
      </x:c>
      <x:c r="F1842" s="52" t="n">
        <x:v>1</x:v>
      </x:c>
      <x:c r="G1842" s="54" t="n">
        <x:v>46220</x:v>
      </x:c>
      <x:c r="H1842" s="14" t="str">
        <x:f>IF(E1842&lt;0,"Componente negativo — manter e investigar","OK")</x:f>
        <x:v>OK</x:v>
      </x:c>
    </x:row>
    <x:row r="1843">
      <x:c r="A1843" s="51" t="n">
        <x:v>43678</x:v>
      </x:c>
      <x:c r="B1843" s="14" t="str">
        <x:v>Sul</x:v>
      </x:c>
      <x:c r="C1843" s="14" t="str">
        <x:v>SUL</x:v>
      </x:c>
      <x:c r="D1843" s="53" t="str">
        <x:v>Cativo</x:v>
      </x:c>
      <x:c r="E1843" s="49" t="n">
        <x:v>1797404.6760000002</x:v>
      </x:c>
      <x:c r="F1843" s="52" t="n">
        <x:v>10412430</x:v>
      </x:c>
      <x:c r="G1843" s="54" t="n">
        <x:v>46220</x:v>
      </x:c>
      <x:c r="H1843" s="14" t="str">
        <x:f>IF(E1843&lt;0,"Componente negativo — manter e investigar","OK")</x:f>
        <x:v>OK</x:v>
      </x:c>
    </x:row>
    <x:row r="1844">
      <x:c r="A1844" s="51" t="n">
        <x:v>43709</x:v>
      </x:c>
      <x:c r="B1844" s="14" t="str">
        <x:v>Centro-Oeste</x:v>
      </x:c>
      <x:c r="C1844" s="14" t="str">
        <x:v>SISTEMAS ISOLADOS</x:v>
      </x:c>
      <x:c r="D1844" s="53" t="str">
        <x:v>Cativo</x:v>
      </x:c>
      <x:c r="E1844" s="49" t="n">
        <x:v>191.894</x:v>
      </x:c>
      <x:c r="F1844" s="52" t="n">
        <x:v>728</x:v>
      </x:c>
      <x:c r="G1844" s="54" t="n">
        <x:v>46220</x:v>
      </x:c>
      <x:c r="H1844" s="14" t="str">
        <x:f>IF(E1844&lt;0,"Componente negativo — manter e investigar","OK")</x:f>
        <x:v>OK</x:v>
      </x:c>
    </x:row>
    <x:row r="1845">
      <x:c r="A1845" s="51" t="n">
        <x:v>43709</x:v>
      </x:c>
      <x:c r="B1845" s="14" t="str">
        <x:v>Centro-Oeste</x:v>
      </x:c>
      <x:c r="C1845" s="14" t="str">
        <x:v>SUDESTE / CENTRO - OESTE</x:v>
      </x:c>
      <x:c r="D1845" s="53" t="str">
        <x:v>Cativo</x:v>
      </x:c>
      <x:c r="E1845" s="49" t="n">
        <x:v>1112680.084</x:v>
      </x:c>
      <x:c r="F1845" s="52" t="n">
        <x:v>5574493</x:v>
      </x:c>
      <x:c r="G1845" s="54" t="n">
        <x:v>46220</x:v>
      </x:c>
      <x:c r="H1845" s="14" t="str">
        <x:f>IF(E1845&lt;0,"Componente negativo — manter e investigar","OK")</x:f>
        <x:v>OK</x:v>
      </x:c>
    </x:row>
    <x:row r="1846">
      <x:c r="A1846" s="51" t="n">
        <x:v>43709</x:v>
      </x:c>
      <x:c r="B1846" s="14" t="str">
        <x:v>Nordeste</x:v>
      </x:c>
      <x:c r="C1846" s="14" t="str">
        <x:v>NORDESTE</x:v>
      </x:c>
      <x:c r="D1846" s="53" t="str">
        <x:v>Cativo</x:v>
      </x:c>
      <x:c r="E1846" s="49" t="n">
        <x:v>1975808.23</x:v>
      </x:c>
      <x:c r="F1846" s="52" t="n">
        <x:v>17183593</x:v>
      </x:c>
      <x:c r="G1846" s="54" t="n">
        <x:v>46220</x:v>
      </x:c>
      <x:c r="H1846" s="14" t="str">
        <x:f>IF(E1846&lt;0,"Componente negativo — manter e investigar","OK")</x:f>
        <x:v>OK</x:v>
      </x:c>
    </x:row>
    <x:row r="1847">
      <x:c r="A1847" s="51" t="n">
        <x:v>43709</x:v>
      </x:c>
      <x:c r="B1847" s="14" t="str">
        <x:v>Nordeste</x:v>
      </x:c>
      <x:c r="C1847" s="14" t="str">
        <x:v>NORTE INTERLIGADO</x:v>
      </x:c>
      <x:c r="D1847" s="53" t="str">
        <x:v>Cativo</x:v>
      </x:c>
      <x:c r="E1847" s="49" t="n">
        <x:v>286869.607</x:v>
      </x:c>
      <x:c r="F1847" s="52" t="n">
        <x:v>2257278</x:v>
      </x:c>
      <x:c r="G1847" s="54" t="n">
        <x:v>46220</x:v>
      </x:c>
      <x:c r="H1847" s="14" t="str">
        <x:f>IF(E1847&lt;0,"Componente negativo — manter e investigar","OK")</x:f>
        <x:v>OK</x:v>
      </x:c>
    </x:row>
    <x:row r="1848">
      <x:c r="A1848" s="51" t="n">
        <x:v>43709</x:v>
      </x:c>
      <x:c r="B1848" s="14" t="str">
        <x:v>Nordeste</x:v>
      </x:c>
      <x:c r="C1848" s="14" t="str">
        <x:v>SISTEMAS ISOLADOS</x:v>
      </x:c>
      <x:c r="D1848" s="53" t="str">
        <x:v>Cativo</x:v>
      </x:c>
      <x:c r="E1848" s="49" t="n">
        <x:v>537</x:v>
      </x:c>
      <x:c r="F1848" s="52" t="n">
        <x:v>620</x:v>
      </x:c>
      <x:c r="G1848" s="54" t="n">
        <x:v>46220</x:v>
      </x:c>
      <x:c r="H1848" s="14" t="str">
        <x:f>IF(E1848&lt;0,"Componente negativo — manter e investigar","OK")</x:f>
        <x:v>OK</x:v>
      </x:c>
    </x:row>
    <x:row r="1849">
      <x:c r="A1849" s="51" t="n">
        <x:v>43709</x:v>
      </x:c>
      <x:c r="B1849" s="14" t="str">
        <x:v>Norte</x:v>
      </x:c>
      <x:c r="C1849" s="14" t="str">
        <x:v>NORTE INTERLIGADO</x:v>
      </x:c>
      <x:c r="D1849" s="53" t="str">
        <x:v>Cativo</x:v>
      </x:c>
      <x:c r="E1849" s="49" t="n">
        <x:v>589285.1769999999</x:v>
      </x:c>
      <x:c r="F1849" s="52" t="n">
        <x:v>3449609</x:v>
      </x:c>
      <x:c r="G1849" s="54" t="n">
        <x:v>46220</x:v>
      </x:c>
      <x:c r="H1849" s="14" t="str">
        <x:f>IF(E1849&lt;0,"Componente negativo — manter e investigar","OK")</x:f>
        <x:v>OK</x:v>
      </x:c>
    </x:row>
    <x:row r="1850">
      <x:c r="A1850" s="51" t="n">
        <x:v>43709</x:v>
      </x:c>
      <x:c r="B1850" s="14" t="str">
        <x:v>Norte</x:v>
      </x:c>
      <x:c r="C1850" s="14" t="str">
        <x:v>SISTEMAS ISOLADOS</x:v>
      </x:c>
      <x:c r="D1850" s="53" t="str">
        <x:v>Cativo</x:v>
      </x:c>
      <x:c r="E1850" s="49" t="n">
        <x:v>117028.966</x:v>
      </x:c>
      <x:c r="F1850" s="52" t="n">
        <x:v>646478</x:v>
      </x:c>
      <x:c r="G1850" s="54" t="n">
        <x:v>46220</x:v>
      </x:c>
      <x:c r="H1850" s="14" t="str">
        <x:f>IF(E1850&lt;0,"Componente negativo — manter e investigar","OK")</x:f>
        <x:v>OK</x:v>
      </x:c>
    </x:row>
    <x:row r="1851">
      <x:c r="A1851" s="51" t="n">
        <x:v>43709</x:v>
      </x:c>
      <x:c r="B1851" s="14" t="str">
        <x:v>Norte</x:v>
      </x:c>
      <x:c r="C1851" s="14" t="str">
        <x:v>SUDESTE / CENTRO - OESTE</x:v>
      </x:c>
      <x:c r="D1851" s="53" t="str">
        <x:v>Cativo</x:v>
      </x:c>
      <x:c r="E1851" s="49" t="n">
        <x:v>149459.072</x:v>
      </x:c>
      <x:c r="F1851" s="52" t="n">
        <x:v>592129</x:v>
      </x:c>
      <x:c r="G1851" s="54" t="n">
        <x:v>46220</x:v>
      </x:c>
      <x:c r="H1851" s="14" t="str">
        <x:f>IF(E1851&lt;0,"Componente negativo — manter e investigar","OK")</x:f>
        <x:v>OK</x:v>
      </x:c>
    </x:row>
    <x:row r="1852">
      <x:c r="A1852" s="51" t="n">
        <x:v>43709</x:v>
      </x:c>
      <x:c r="B1852" s="14" t="str">
        <x:v>Sudeste</x:v>
      </x:c>
      <x:c r="C1852" s="14" t="str">
        <x:v>SUDESTE / CENTRO - OESTE</x:v>
      </x:c>
      <x:c r="D1852" s="53" t="str">
        <x:v>Cativo</x:v>
      </x:c>
      <x:c r="E1852" s="49" t="n">
        <x:v>5376073.580999999</x:v>
      </x:c>
      <x:c r="F1852" s="52" t="n">
        <x:v>32947379</x:v>
      </x:c>
      <x:c r="G1852" s="54" t="n">
        <x:v>46220</x:v>
      </x:c>
      <x:c r="H1852" s="14" t="str">
        <x:f>IF(E1852&lt;0,"Componente negativo — manter e investigar","OK")</x:f>
        <x:v>OK</x:v>
      </x:c>
    </x:row>
    <x:row r="1853">
      <x:c r="A1853" s="51" t="n">
        <x:v>43709</x:v>
      </x:c>
      <x:c r="B1853" s="14" t="str">
        <x:v>Sudeste</x:v>
      </x:c>
      <x:c r="C1853" s="14" t="str">
        <x:v>SUDESTE / CENTRO - OESTE</x:v>
      </x:c>
      <x:c r="D1853" s="53" t="str">
        <x:v>Livre</x:v>
      </x:c>
      <x:c r="E1853" s="49" t="n">
        <x:v>354.622</x:v>
      </x:c>
      <x:c r="F1853" s="52" t="n">
        <x:v>1</x:v>
      </x:c>
      <x:c r="G1853" s="54" t="n">
        <x:v>46220</x:v>
      </x:c>
      <x:c r="H1853" s="14" t="str">
        <x:f>IF(E1853&lt;0,"Componente negativo — manter e investigar","OK")</x:f>
        <x:v>OK</x:v>
      </x:c>
    </x:row>
    <x:row r="1854">
      <x:c r="A1854" s="51" t="n">
        <x:v>43709</x:v>
      </x:c>
      <x:c r="B1854" s="14" t="str">
        <x:v>Sul</x:v>
      </x:c>
      <x:c r="C1854" s="14" t="str">
        <x:v>SUL</x:v>
      </x:c>
      <x:c r="D1854" s="53" t="str">
        <x:v>Cativo</x:v>
      </x:c>
      <x:c r="E1854" s="49" t="n">
        <x:v>1770890.6630000002</x:v>
      </x:c>
      <x:c r="F1854" s="52" t="n">
        <x:v>10425768</x:v>
      </x:c>
      <x:c r="G1854" s="54" t="n">
        <x:v>46220</x:v>
      </x:c>
      <x:c r="H1854" s="14" t="str">
        <x:f>IF(E1854&lt;0,"Componente negativo — manter e investigar","OK")</x:f>
        <x:v>OK</x:v>
      </x:c>
    </x:row>
    <x:row r="1855">
      <x:c r="A1855" s="51" t="n">
        <x:v>43739</x:v>
      </x:c>
      <x:c r="B1855" s="14" t="str">
        <x:v>Centro-Oeste</x:v>
      </x:c>
      <x:c r="C1855" s="14" t="str">
        <x:v>SISTEMAS ISOLADOS</x:v>
      </x:c>
      <x:c r="D1855" s="53" t="str">
        <x:v>Cativo</x:v>
      </x:c>
      <x:c r="E1855" s="49" t="n">
        <x:v>192.36</x:v>
      </x:c>
      <x:c r="F1855" s="52" t="n">
        <x:v>731</x:v>
      </x:c>
      <x:c r="G1855" s="54" t="n">
        <x:v>46220</x:v>
      </x:c>
      <x:c r="H1855" s="14" t="str">
        <x:f>IF(E1855&lt;0,"Componente negativo — manter e investigar","OK")</x:f>
        <x:v>OK</x:v>
      </x:c>
    </x:row>
    <x:row r="1856">
      <x:c r="A1856" s="51" t="n">
        <x:v>43739</x:v>
      </x:c>
      <x:c r="B1856" s="14" t="str">
        <x:v>Centro-Oeste</x:v>
      </x:c>
      <x:c r="C1856" s="14" t="str">
        <x:v>SUDESTE / CENTRO - OESTE</x:v>
      </x:c>
      <x:c r="D1856" s="53" t="str">
        <x:v>Cativo</x:v>
      </x:c>
      <x:c r="E1856" s="49" t="n">
        <x:v>1160119.186</x:v>
      </x:c>
      <x:c r="F1856" s="52" t="n">
        <x:v>5595915</x:v>
      </x:c>
      <x:c r="G1856" s="54" t="n">
        <x:v>46220</x:v>
      </x:c>
      <x:c r="H1856" s="14" t="str">
        <x:f>IF(E1856&lt;0,"Componente negativo — manter e investigar","OK")</x:f>
        <x:v>OK</x:v>
      </x:c>
    </x:row>
    <x:row r="1857">
      <x:c r="A1857" s="51" t="n">
        <x:v>43739</x:v>
      </x:c>
      <x:c r="B1857" s="14" t="str">
        <x:v>Nordeste</x:v>
      </x:c>
      <x:c r="C1857" s="14" t="str">
        <x:v>NORDESTE</x:v>
      </x:c>
      <x:c r="D1857" s="53" t="str">
        <x:v>Cativo</x:v>
      </x:c>
      <x:c r="E1857" s="49" t="n">
        <x:v>2175540.271</x:v>
      </x:c>
      <x:c r="F1857" s="52" t="n">
        <x:v>17263314</x:v>
      </x:c>
      <x:c r="G1857" s="54" t="n">
        <x:v>46220</x:v>
      </x:c>
      <x:c r="H1857" s="14" t="str">
        <x:f>IF(E1857&lt;0,"Componente negativo — manter e investigar","OK")</x:f>
        <x:v>OK</x:v>
      </x:c>
    </x:row>
    <x:row r="1858">
      <x:c r="A1858" s="51" t="n">
        <x:v>43739</x:v>
      </x:c>
      <x:c r="B1858" s="14" t="str">
        <x:v>Nordeste</x:v>
      </x:c>
      <x:c r="C1858" s="14" t="str">
        <x:v>NORTE INTERLIGADO</x:v>
      </x:c>
      <x:c r="D1858" s="53" t="str">
        <x:v>Cativo</x:v>
      </x:c>
      <x:c r="E1858" s="49" t="n">
        <x:v>291642.668</x:v>
      </x:c>
      <x:c r="F1858" s="52" t="n">
        <x:v>2264161</x:v>
      </x:c>
      <x:c r="G1858" s="54" t="n">
        <x:v>46220</x:v>
      </x:c>
      <x:c r="H1858" s="14" t="str">
        <x:f>IF(E1858&lt;0,"Componente negativo — manter e investigar","OK")</x:f>
        <x:v>OK</x:v>
      </x:c>
    </x:row>
    <x:row r="1859">
      <x:c r="A1859" s="51" t="n">
        <x:v>43739</x:v>
      </x:c>
      <x:c r="B1859" s="14" t="str">
        <x:v>Nordeste</x:v>
      </x:c>
      <x:c r="C1859" s="14" t="str">
        <x:v>SISTEMAS ISOLADOS</x:v>
      </x:c>
      <x:c r="D1859" s="53" t="str">
        <x:v>Cativo</x:v>
      </x:c>
      <x:c r="E1859" s="49" t="n">
        <x:v>603</x:v>
      </x:c>
      <x:c r="F1859" s="52" t="n">
        <x:v>637</x:v>
      </x:c>
      <x:c r="G1859" s="54" t="n">
        <x:v>46220</x:v>
      </x:c>
      <x:c r="H1859" s="14" t="str">
        <x:f>IF(E1859&lt;0,"Componente negativo — manter e investigar","OK")</x:f>
        <x:v>OK</x:v>
      </x:c>
    </x:row>
    <x:row r="1860">
      <x:c r="A1860" s="51" t="n">
        <x:v>43739</x:v>
      </x:c>
      <x:c r="B1860" s="14" t="str">
        <x:v>Norte</x:v>
      </x:c>
      <x:c r="C1860" s="14" t="str">
        <x:v>NORTE INTERLIGADO</x:v>
      </x:c>
      <x:c r="D1860" s="53" t="str">
        <x:v>Cativo</x:v>
      </x:c>
      <x:c r="E1860" s="49" t="n">
        <x:v>555712.685</x:v>
      </x:c>
      <x:c r="F1860" s="52" t="n">
        <x:v>3455755</x:v>
      </x:c>
      <x:c r="G1860" s="54" t="n">
        <x:v>46220</x:v>
      </x:c>
      <x:c r="H1860" s="14" t="str">
        <x:f>IF(E1860&lt;0,"Componente negativo — manter e investigar","OK")</x:f>
        <x:v>OK</x:v>
      </x:c>
    </x:row>
    <x:row r="1861">
      <x:c r="A1861" s="51" t="n">
        <x:v>43739</x:v>
      </x:c>
      <x:c r="B1861" s="14" t="str">
        <x:v>Norte</x:v>
      </x:c>
      <x:c r="C1861" s="14" t="str">
        <x:v>SISTEMAS ISOLADOS</x:v>
      </x:c>
      <x:c r="D1861" s="53" t="str">
        <x:v>Cativo</x:v>
      </x:c>
      <x:c r="E1861" s="49" t="n">
        <x:v>130317.839</x:v>
      </x:c>
      <x:c r="F1861" s="52" t="n">
        <x:v>647003</x:v>
      </x:c>
      <x:c r="G1861" s="54" t="n">
        <x:v>46220</x:v>
      </x:c>
      <x:c r="H1861" s="14" t="str">
        <x:f>IF(E1861&lt;0,"Componente negativo — manter e investigar","OK")</x:f>
        <x:v>OK</x:v>
      </x:c>
    </x:row>
    <x:row r="1862">
      <x:c r="A1862" s="51" t="n">
        <x:v>43739</x:v>
      </x:c>
      <x:c r="B1862" s="14" t="str">
        <x:v>Norte</x:v>
      </x:c>
      <x:c r="C1862" s="14" t="str">
        <x:v>SUDESTE / CENTRO - OESTE</x:v>
      </x:c>
      <x:c r="D1862" s="53" t="str">
        <x:v>Cativo</x:v>
      </x:c>
      <x:c r="E1862" s="49" t="n">
        <x:v>140897.676</x:v>
      </x:c>
      <x:c r="F1862" s="52" t="n">
        <x:v>580421</x:v>
      </x:c>
      <x:c r="G1862" s="54" t="n">
        <x:v>46220</x:v>
      </x:c>
      <x:c r="H1862" s="14" t="str">
        <x:f>IF(E1862&lt;0,"Componente negativo — manter e investigar","OK")</x:f>
        <x:v>OK</x:v>
      </x:c>
    </x:row>
    <x:row r="1863">
      <x:c r="A1863" s="51" t="n">
        <x:v>43739</x:v>
      </x:c>
      <x:c r="B1863" s="14" t="str">
        <x:v>Sudeste</x:v>
      </x:c>
      <x:c r="C1863" s="14" t="str">
        <x:v>SUDESTE / CENTRO - OESTE</x:v>
      </x:c>
      <x:c r="D1863" s="53" t="str">
        <x:v>Cativo</x:v>
      </x:c>
      <x:c r="E1863" s="49" t="n">
        <x:v>5667901.143</x:v>
      </x:c>
      <x:c r="F1863" s="52" t="n">
        <x:v>33003704</x:v>
      </x:c>
      <x:c r="G1863" s="54" t="n">
        <x:v>46220</x:v>
      </x:c>
      <x:c r="H1863" s="14" t="str">
        <x:f>IF(E1863&lt;0,"Componente negativo — manter e investigar","OK")</x:f>
        <x:v>OK</x:v>
      </x:c>
    </x:row>
    <x:row r="1864">
      <x:c r="A1864" s="51" t="n">
        <x:v>43739</x:v>
      </x:c>
      <x:c r="B1864" s="14" t="str">
        <x:v>Sudeste</x:v>
      </x:c>
      <x:c r="C1864" s="14" t="str">
        <x:v>SUDESTE / CENTRO - OESTE</x:v>
      </x:c>
      <x:c r="D1864" s="53" t="str">
        <x:v>Livre</x:v>
      </x:c>
      <x:c r="E1864" s="49" t="n">
        <x:v>429.904</x:v>
      </x:c>
      <x:c r="F1864" s="52" t="n">
        <x:v>1</x:v>
      </x:c>
      <x:c r="G1864" s="54" t="n">
        <x:v>46220</x:v>
      </x:c>
      <x:c r="H1864" s="14" t="str">
        <x:f>IF(E1864&lt;0,"Componente negativo — manter e investigar","OK")</x:f>
        <x:v>OK</x:v>
      </x:c>
    </x:row>
    <x:row r="1865">
      <x:c r="A1865" s="51" t="n">
        <x:v>43739</x:v>
      </x:c>
      <x:c r="B1865" s="14" t="str">
        <x:v>Sul</x:v>
      </x:c>
      <x:c r="C1865" s="14" t="str">
        <x:v>SUL</x:v>
      </x:c>
      <x:c r="D1865" s="53" t="str">
        <x:v>Cativo</x:v>
      </x:c>
      <x:c r="E1865" s="49" t="n">
        <x:v>1849757.0770000003</x:v>
      </x:c>
      <x:c r="F1865" s="52" t="n">
        <x:v>10446549</x:v>
      </x:c>
      <x:c r="G1865" s="54" t="n">
        <x:v>46220</x:v>
      </x:c>
      <x:c r="H1865" s="14" t="str">
        <x:f>IF(E1865&lt;0,"Componente negativo — manter e investigar","OK")</x:f>
        <x:v>OK</x:v>
      </x:c>
    </x:row>
    <x:row r="1866">
      <x:c r="A1866" s="51" t="n">
        <x:v>43770</x:v>
      </x:c>
      <x:c r="B1866" s="14" t="str">
        <x:v>Centro-Oeste</x:v>
      </x:c>
      <x:c r="C1866" s="14" t="str">
        <x:v>SISTEMAS ISOLADOS</x:v>
      </x:c>
      <x:c r="D1866" s="53" t="str">
        <x:v>Cativo</x:v>
      </x:c>
      <x:c r="E1866" s="49" t="n">
        <x:v>189.285</x:v>
      </x:c>
      <x:c r="F1866" s="52" t="n">
        <x:v>736</x:v>
      </x:c>
      <x:c r="G1866" s="54" t="n">
        <x:v>46220</x:v>
      </x:c>
      <x:c r="H1866" s="14" t="str">
        <x:f>IF(E1866&lt;0,"Componente negativo — manter e investigar","OK")</x:f>
        <x:v>OK</x:v>
      </x:c>
    </x:row>
    <x:row r="1867">
      <x:c r="A1867" s="51" t="n">
        <x:v>43770</x:v>
      </x:c>
      <x:c r="B1867" s="14" t="str">
        <x:v>Centro-Oeste</x:v>
      </x:c>
      <x:c r="C1867" s="14" t="str">
        <x:v>SUDESTE / CENTRO - OESTE</x:v>
      </x:c>
      <x:c r="D1867" s="53" t="str">
        <x:v>Cativo</x:v>
      </x:c>
      <x:c r="E1867" s="49" t="n">
        <x:v>1139207.955</x:v>
      </x:c>
      <x:c r="F1867" s="52" t="n">
        <x:v>5592305</x:v>
      </x:c>
      <x:c r="G1867" s="54" t="n">
        <x:v>46220</x:v>
      </x:c>
      <x:c r="H1867" s="14" t="str">
        <x:f>IF(E1867&lt;0,"Componente negativo — manter e investigar","OK")</x:f>
        <x:v>OK</x:v>
      </x:c>
    </x:row>
    <x:row r="1868">
      <x:c r="A1868" s="51" t="n">
        <x:v>43770</x:v>
      </x:c>
      <x:c r="B1868" s="14" t="str">
        <x:v>Nordeste</x:v>
      </x:c>
      <x:c r="C1868" s="14" t="str">
        <x:v>NORDESTE</x:v>
      </x:c>
      <x:c r="D1868" s="53" t="str">
        <x:v>Cativo</x:v>
      </x:c>
      <x:c r="E1868" s="49" t="n">
        <x:v>2268508.5360000003</x:v>
      </x:c>
      <x:c r="F1868" s="52" t="n">
        <x:v>17162846</x:v>
      </x:c>
      <x:c r="G1868" s="54" t="n">
        <x:v>46220</x:v>
      </x:c>
      <x:c r="H1868" s="14" t="str">
        <x:f>IF(E1868&lt;0,"Componente negativo — manter e investigar","OK")</x:f>
        <x:v>OK</x:v>
      </x:c>
    </x:row>
    <x:row r="1869">
      <x:c r="A1869" s="51" t="n">
        <x:v>43770</x:v>
      </x:c>
      <x:c r="B1869" s="14" t="str">
        <x:v>Nordeste</x:v>
      </x:c>
      <x:c r="C1869" s="14" t="str">
        <x:v>NORTE INTERLIGADO</x:v>
      </x:c>
      <x:c r="D1869" s="53" t="str">
        <x:v>Cativo</x:v>
      </x:c>
      <x:c r="E1869" s="49" t="n">
        <x:v>296133.093</x:v>
      </x:c>
      <x:c r="F1869" s="52" t="n">
        <x:v>2269113</x:v>
      </x:c>
      <x:c r="G1869" s="54" t="n">
        <x:v>46220</x:v>
      </x:c>
      <x:c r="H1869" s="14" t="str">
        <x:f>IF(E1869&lt;0,"Componente negativo — manter e investigar","OK")</x:f>
        <x:v>OK</x:v>
      </x:c>
    </x:row>
    <x:row r="1870">
      <x:c r="A1870" s="51" t="n">
        <x:v>43770</x:v>
      </x:c>
      <x:c r="B1870" s="14" t="str">
        <x:v>Nordeste</x:v>
      </x:c>
      <x:c r="C1870" s="14" t="str">
        <x:v>SISTEMAS ISOLADOS</x:v>
      </x:c>
      <x:c r="D1870" s="53" t="str">
        <x:v>Cativo</x:v>
      </x:c>
      <x:c r="E1870" s="49" t="n">
        <x:v>647</x:v>
      </x:c>
      <x:c r="F1870" s="52" t="n">
        <x:v>646</x:v>
      </x:c>
      <x:c r="G1870" s="54" t="n">
        <x:v>46220</x:v>
      </x:c>
      <x:c r="H1870" s="14" t="str">
        <x:f>IF(E1870&lt;0,"Componente negativo — manter e investigar","OK")</x:f>
        <x:v>OK</x:v>
      </x:c>
    </x:row>
    <x:row r="1871">
      <x:c r="A1871" s="51" t="n">
        <x:v>43770</x:v>
      </x:c>
      <x:c r="B1871" s="14" t="str">
        <x:v>Norte</x:v>
      </x:c>
      <x:c r="C1871" s="14" t="str">
        <x:v>NORTE INTERLIGADO</x:v>
      </x:c>
      <x:c r="D1871" s="53" t="str">
        <x:v>Cativo</x:v>
      </x:c>
      <x:c r="E1871" s="49" t="n">
        <x:v>579585.285</x:v>
      </x:c>
      <x:c r="F1871" s="52" t="n">
        <x:v>3467985</x:v>
      </x:c>
      <x:c r="G1871" s="54" t="n">
        <x:v>46220</x:v>
      </x:c>
      <x:c r="H1871" s="14" t="str">
        <x:f>IF(E1871&lt;0,"Componente negativo — manter e investigar","OK")</x:f>
        <x:v>OK</x:v>
      </x:c>
    </x:row>
    <x:row r="1872">
      <x:c r="A1872" s="51" t="n">
        <x:v>43770</x:v>
      </x:c>
      <x:c r="B1872" s="14" t="str">
        <x:v>Norte</x:v>
      </x:c>
      <x:c r="C1872" s="14" t="str">
        <x:v>SISTEMAS ISOLADOS</x:v>
      </x:c>
      <x:c r="D1872" s="53" t="str">
        <x:v>Cativo</x:v>
      </x:c>
      <x:c r="E1872" s="49" t="n">
        <x:v>120426.943</x:v>
      </x:c>
      <x:c r="F1872" s="52" t="n">
        <x:v>647920</x:v>
      </x:c>
      <x:c r="G1872" s="54" t="n">
        <x:v>46220</x:v>
      </x:c>
      <x:c r="H1872" s="14" t="str">
        <x:f>IF(E1872&lt;0,"Componente negativo — manter e investigar","OK")</x:f>
        <x:v>OK</x:v>
      </x:c>
    </x:row>
    <x:row r="1873">
      <x:c r="A1873" s="51" t="n">
        <x:v>43770</x:v>
      </x:c>
      <x:c r="B1873" s="14" t="str">
        <x:v>Norte</x:v>
      </x:c>
      <x:c r="C1873" s="14" t="str">
        <x:v>SUDESTE / CENTRO - OESTE</x:v>
      </x:c>
      <x:c r="D1873" s="53" t="str">
        <x:v>Cativo</x:v>
      </x:c>
      <x:c r="E1873" s="49" t="n">
        <x:v>137476.843</x:v>
      </x:c>
      <x:c r="F1873" s="52" t="n">
        <x:v>579681</x:v>
      </x:c>
      <x:c r="G1873" s="54" t="n">
        <x:v>46220</x:v>
      </x:c>
      <x:c r="H1873" s="14" t="str">
        <x:f>IF(E1873&lt;0,"Componente negativo — manter e investigar","OK")</x:f>
        <x:v>OK</x:v>
      </x:c>
    </x:row>
    <x:row r="1874">
      <x:c r="A1874" s="51" t="n">
        <x:v>43770</x:v>
      </x:c>
      <x:c r="B1874" s="14" t="str">
        <x:v>Sudeste</x:v>
      </x:c>
      <x:c r="C1874" s="14" t="str">
        <x:v>SUDESTE / CENTRO - OESTE</x:v>
      </x:c>
      <x:c r="D1874" s="53" t="str">
        <x:v>Cativo</x:v>
      </x:c>
      <x:c r="E1874" s="49" t="n">
        <x:v>5967530.801</x:v>
      </x:c>
      <x:c r="F1874" s="52" t="n">
        <x:v>33085055</x:v>
      </x:c>
      <x:c r="G1874" s="54" t="n">
        <x:v>46220</x:v>
      </x:c>
      <x:c r="H1874" s="14" t="str">
        <x:f>IF(E1874&lt;0,"Componente negativo — manter e investigar","OK")</x:f>
        <x:v>OK</x:v>
      </x:c>
    </x:row>
    <x:row r="1875">
      <x:c r="A1875" s="51" t="n">
        <x:v>43770</x:v>
      </x:c>
      <x:c r="B1875" s="14" t="str">
        <x:v>Sudeste</x:v>
      </x:c>
      <x:c r="C1875" s="14" t="str">
        <x:v>SUDESTE / CENTRO - OESTE</x:v>
      </x:c>
      <x:c r="D1875" s="53" t="str">
        <x:v>Livre</x:v>
      </x:c>
      <x:c r="E1875" s="49" t="n">
        <x:v>384.868</x:v>
      </x:c>
      <x:c r="F1875" s="52" t="n">
        <x:v>1</x:v>
      </x:c>
      <x:c r="G1875" s="54" t="n">
        <x:v>46220</x:v>
      </x:c>
      <x:c r="H1875" s="14" t="str">
        <x:f>IF(E1875&lt;0,"Componente negativo — manter e investigar","OK")</x:f>
        <x:v>OK</x:v>
      </x:c>
    </x:row>
    <x:row r="1876">
      <x:c r="A1876" s="51" t="n">
        <x:v>43770</x:v>
      </x:c>
      <x:c r="B1876" s="14" t="str">
        <x:v>Sul</x:v>
      </x:c>
      <x:c r="C1876" s="14" t="str">
        <x:v>SUL</x:v>
      </x:c>
      <x:c r="D1876" s="53" t="str">
        <x:v>Cativo</x:v>
      </x:c>
      <x:c r="E1876" s="49" t="n">
        <x:v>1913587.2969999998</x:v>
      </x:c>
      <x:c r="F1876" s="52" t="n">
        <x:v>10468025</x:v>
      </x:c>
      <x:c r="G1876" s="54" t="n">
        <x:v>46220</x:v>
      </x:c>
      <x:c r="H1876" s="14" t="str">
        <x:f>IF(E1876&lt;0,"Componente negativo — manter e investigar","OK")</x:f>
        <x:v>OK</x:v>
      </x:c>
    </x:row>
    <x:row r="1877">
      <x:c r="A1877" s="51" t="n">
        <x:v>43800</x:v>
      </x:c>
      <x:c r="B1877" s="14" t="str">
        <x:v>Centro-Oeste</x:v>
      </x:c>
      <x:c r="C1877" s="14" t="str">
        <x:v>SISTEMAS ISOLADOS</x:v>
      </x:c>
      <x:c r="D1877" s="53" t="str">
        <x:v>Cativo</x:v>
      </x:c>
      <x:c r="E1877" s="49" t="n">
        <x:v>187.992</x:v>
      </x:c>
      <x:c r="F1877" s="52" t="n">
        <x:v>744</x:v>
      </x:c>
      <x:c r="G1877" s="54" t="n">
        <x:v>46220</x:v>
      </x:c>
      <x:c r="H1877" s="14" t="str">
        <x:f>IF(E1877&lt;0,"Componente negativo — manter e investigar","OK")</x:f>
        <x:v>OK</x:v>
      </x:c>
    </x:row>
    <x:row r="1878">
      <x:c r="A1878" s="51" t="n">
        <x:v>43800</x:v>
      </x:c>
      <x:c r="B1878" s="14" t="str">
        <x:v>Centro-Oeste</x:v>
      </x:c>
      <x:c r="C1878" s="14" t="str">
        <x:v>SUDESTE / CENTRO - OESTE</x:v>
      </x:c>
      <x:c r="D1878" s="53" t="str">
        <x:v>Cativo</x:v>
      </x:c>
      <x:c r="E1878" s="49" t="n">
        <x:v>1086616.5559999999</x:v>
      </x:c>
      <x:c r="F1878" s="52" t="n">
        <x:v>5611058</x:v>
      </x:c>
      <x:c r="G1878" s="54" t="n">
        <x:v>46220</x:v>
      </x:c>
      <x:c r="H1878" s="14" t="str">
        <x:f>IF(E1878&lt;0,"Componente negativo — manter e investigar","OK")</x:f>
        <x:v>OK</x:v>
      </x:c>
    </x:row>
    <x:row r="1879">
      <x:c r="A1879" s="51" t="n">
        <x:v>43800</x:v>
      </x:c>
      <x:c r="B1879" s="14" t="str">
        <x:v>Nordeste</x:v>
      </x:c>
      <x:c r="C1879" s="14" t="str">
        <x:v>NORDESTE</x:v>
      </x:c>
      <x:c r="D1879" s="53" t="str">
        <x:v>Cativo</x:v>
      </x:c>
      <x:c r="E1879" s="49" t="n">
        <x:v>2368804.4220000003</x:v>
      </x:c>
      <x:c r="F1879" s="52" t="n">
        <x:v>17283478</x:v>
      </x:c>
      <x:c r="G1879" s="54" t="n">
        <x:v>46220</x:v>
      </x:c>
      <x:c r="H1879" s="14" t="str">
        <x:f>IF(E1879&lt;0,"Componente negativo — manter e investigar","OK")</x:f>
        <x:v>OK</x:v>
      </x:c>
    </x:row>
    <x:row r="1880">
      <x:c r="A1880" s="51" t="n">
        <x:v>43800</x:v>
      </x:c>
      <x:c r="B1880" s="14" t="str">
        <x:v>Nordeste</x:v>
      </x:c>
      <x:c r="C1880" s="14" t="str">
        <x:v>NORTE INTERLIGADO</x:v>
      </x:c>
      <x:c r="D1880" s="53" t="str">
        <x:v>Cativo</x:v>
      </x:c>
      <x:c r="E1880" s="49" t="n">
        <x:v>305200.225</x:v>
      </x:c>
      <x:c r="F1880" s="52" t="n">
        <x:v>2276955</x:v>
      </x:c>
      <x:c r="G1880" s="54" t="n">
        <x:v>46220</x:v>
      </x:c>
      <x:c r="H1880" s="14" t="str">
        <x:f>IF(E1880&lt;0,"Componente negativo — manter e investigar","OK")</x:f>
        <x:v>OK</x:v>
      </x:c>
    </x:row>
    <x:row r="1881">
      <x:c r="A1881" s="51" t="n">
        <x:v>43800</x:v>
      </x:c>
      <x:c r="B1881" s="14" t="str">
        <x:v>Nordeste</x:v>
      </x:c>
      <x:c r="C1881" s="14" t="str">
        <x:v>SISTEMAS ISOLADOS</x:v>
      </x:c>
      <x:c r="D1881" s="53" t="str">
        <x:v>Cativo</x:v>
      </x:c>
      <x:c r="E1881" s="49" t="n">
        <x:v>688</x:v>
      </x:c>
      <x:c r="F1881" s="52" t="n">
        <x:v>652</x:v>
      </x:c>
      <x:c r="G1881" s="54" t="n">
        <x:v>46220</x:v>
      </x:c>
      <x:c r="H1881" s="14" t="str">
        <x:f>IF(E1881&lt;0,"Componente negativo — manter e investigar","OK")</x:f>
        <x:v>OK</x:v>
      </x:c>
    </x:row>
    <x:row r="1882">
      <x:c r="A1882" s="51" t="n">
        <x:v>43800</x:v>
      </x:c>
      <x:c r="B1882" s="14" t="str">
        <x:v>Norte</x:v>
      </x:c>
      <x:c r="C1882" s="14" t="str">
        <x:v>NORTE INTERLIGADO</x:v>
      </x:c>
      <x:c r="D1882" s="53" t="str">
        <x:v>Cativo</x:v>
      </x:c>
      <x:c r="E1882" s="49" t="n">
        <x:v>581878.568</x:v>
      </x:c>
      <x:c r="F1882" s="52" t="n">
        <x:v>3464709</x:v>
      </x:c>
      <x:c r="G1882" s="54" t="n">
        <x:v>46220</x:v>
      </x:c>
      <x:c r="H1882" s="14" t="str">
        <x:f>IF(E1882&lt;0,"Componente negativo — manter e investigar","OK")</x:f>
        <x:v>OK</x:v>
      </x:c>
    </x:row>
    <x:row r="1883">
      <x:c r="A1883" s="51" t="n">
        <x:v>43800</x:v>
      </x:c>
      <x:c r="B1883" s="14" t="str">
        <x:v>Norte</x:v>
      </x:c>
      <x:c r="C1883" s="14" t="str">
        <x:v>SISTEMAS ISOLADOS</x:v>
      </x:c>
      <x:c r="D1883" s="53" t="str">
        <x:v>Cativo</x:v>
      </x:c>
      <x:c r="E1883" s="49" t="n">
        <x:v>118487.382</x:v>
      </x:c>
      <x:c r="F1883" s="52" t="n">
        <x:v>650247</x:v>
      </x:c>
      <x:c r="G1883" s="54" t="n">
        <x:v>46220</x:v>
      </x:c>
      <x:c r="H1883" s="14" t="str">
        <x:f>IF(E1883&lt;0,"Componente negativo — manter e investigar","OK")</x:f>
        <x:v>OK</x:v>
      </x:c>
    </x:row>
    <x:row r="1884">
      <x:c r="A1884" s="51" t="n">
        <x:v>43800</x:v>
      </x:c>
      <x:c r="B1884" s="14" t="str">
        <x:v>Norte</x:v>
      </x:c>
      <x:c r="C1884" s="14" t="str">
        <x:v>SUDESTE / CENTRO - OESTE</x:v>
      </x:c>
      <x:c r="D1884" s="53" t="str">
        <x:v>Cativo</x:v>
      </x:c>
      <x:c r="E1884" s="49" t="n">
        <x:v>137399.388</x:v>
      </x:c>
      <x:c r="F1884" s="52" t="n">
        <x:v>584452</x:v>
      </x:c>
      <x:c r="G1884" s="54" t="n">
        <x:v>46220</x:v>
      </x:c>
      <x:c r="H1884" s="14" t="str">
        <x:f>IF(E1884&lt;0,"Componente negativo — manter e investigar","OK")</x:f>
        <x:v>OK</x:v>
      </x:c>
    </x:row>
    <x:row r="1885">
      <x:c r="A1885" s="51" t="n">
        <x:v>43800</x:v>
      </x:c>
      <x:c r="B1885" s="14" t="str">
        <x:v>Sudeste</x:v>
      </x:c>
      <x:c r="C1885" s="14" t="str">
        <x:v>SUDESTE / CENTRO - OESTE</x:v>
      </x:c>
      <x:c r="D1885" s="53" t="str">
        <x:v>Cativo</x:v>
      </x:c>
      <x:c r="E1885" s="49" t="n">
        <x:v>5682520.049000001</x:v>
      </x:c>
      <x:c r="F1885" s="52" t="n">
        <x:v>32957391</x:v>
      </x:c>
      <x:c r="G1885" s="54" t="n">
        <x:v>46220</x:v>
      </x:c>
      <x:c r="H1885" s="14" t="str">
        <x:f>IF(E1885&lt;0,"Componente negativo — manter e investigar","OK")</x:f>
        <x:v>OK</x:v>
      </x:c>
    </x:row>
    <x:row r="1886">
      <x:c r="A1886" s="51" t="n">
        <x:v>43800</x:v>
      </x:c>
      <x:c r="B1886" s="14" t="str">
        <x:v>Sudeste</x:v>
      </x:c>
      <x:c r="C1886" s="14" t="str">
        <x:v>SUDESTE / CENTRO - OESTE</x:v>
      </x:c>
      <x:c r="D1886" s="53" t="str">
        <x:v>Livre</x:v>
      </x:c>
      <x:c r="E1886" s="49" t="n">
        <x:v>343.9</x:v>
      </x:c>
      <x:c r="F1886" s="52" t="n">
        <x:v>1</x:v>
      </x:c>
      <x:c r="G1886" s="54" t="n">
        <x:v>46220</x:v>
      </x:c>
      <x:c r="H1886" s="14" t="str">
        <x:f>IF(E1886&lt;0,"Componente negativo — manter e investigar","OK")</x:f>
        <x:v>OK</x:v>
      </x:c>
    </x:row>
    <x:row r="1887">
      <x:c r="A1887" s="51" t="n">
        <x:v>43800</x:v>
      </x:c>
      <x:c r="B1887" s="14" t="str">
        <x:v>Sul</x:v>
      </x:c>
      <x:c r="C1887" s="14" t="str">
        <x:v>SUL</x:v>
      </x:c>
      <x:c r="D1887" s="53" t="str">
        <x:v>Cativo</x:v>
      </x:c>
      <x:c r="E1887" s="49" t="n">
        <x:v>1918579.32</x:v>
      </x:c>
      <x:c r="F1887" s="52" t="n">
        <x:v>10502951</x:v>
      </x:c>
      <x:c r="G1887" s="54" t="n">
        <x:v>46220</x:v>
      </x:c>
      <x:c r="H1887" s="14" t="str">
        <x:f>IF(E1887&lt;0,"Componente negativo — manter e investigar","OK")</x:f>
        <x:v>OK</x:v>
      </x:c>
    </x:row>
    <x:row r="1888">
      <x:c r="A1888" s="51" t="n">
        <x:v>43831</x:v>
      </x:c>
      <x:c r="B1888" s="14" t="str">
        <x:v>Centro-Oeste</x:v>
      </x:c>
      <x:c r="C1888" s="14" t="str">
        <x:v>SISTEMAS ISOLADOS</x:v>
      </x:c>
      <x:c r="D1888" s="53" t="str">
        <x:v>Cativo</x:v>
      </x:c>
      <x:c r="E1888" s="49" t="n">
        <x:v>174.824</x:v>
      </x:c>
      <x:c r="F1888" s="52" t="n">
        <x:v>745</x:v>
      </x:c>
      <x:c r="G1888" s="54" t="n">
        <x:v>46220</x:v>
      </x:c>
      <x:c r="H1888" s="14" t="str">
        <x:f>IF(E1888&lt;0,"Componente negativo — manter e investigar","OK")</x:f>
        <x:v>OK</x:v>
      </x:c>
    </x:row>
    <x:row r="1889">
      <x:c r="A1889" s="51" t="n">
        <x:v>43831</x:v>
      </x:c>
      <x:c r="B1889" s="14" t="str">
        <x:v>Centro-Oeste</x:v>
      </x:c>
      <x:c r="C1889" s="14" t="str">
        <x:v>SUDESTE / CENTRO - OESTE</x:v>
      </x:c>
      <x:c r="D1889" s="53" t="str">
        <x:v>Cativo</x:v>
      </x:c>
      <x:c r="E1889" s="49" t="n">
        <x:v>1114297.206</x:v>
      </x:c>
      <x:c r="F1889" s="52" t="n">
        <x:v>5628702</x:v>
      </x:c>
      <x:c r="G1889" s="54" t="n">
        <x:v>46220</x:v>
      </x:c>
      <x:c r="H1889" s="14" t="str">
        <x:f>IF(E1889&lt;0,"Componente negativo — manter e investigar","OK")</x:f>
        <x:v>OK</x:v>
      </x:c>
    </x:row>
    <x:row r="1890">
      <x:c r="A1890" s="51" t="n">
        <x:v>43831</x:v>
      </x:c>
      <x:c r="B1890" s="14" t="str">
        <x:v>Nordeste</x:v>
      </x:c>
      <x:c r="C1890" s="14" t="str">
        <x:v>NORDESTE</x:v>
      </x:c>
      <x:c r="D1890" s="53" t="str">
        <x:v>Cativo</x:v>
      </x:c>
      <x:c r="E1890" s="49" t="n">
        <x:v>2309045.107</x:v>
      </x:c>
      <x:c r="F1890" s="52" t="n">
        <x:v>17197228</x:v>
      </x:c>
      <x:c r="G1890" s="54" t="n">
        <x:v>46220</x:v>
      </x:c>
      <x:c r="H1890" s="14" t="str">
        <x:f>IF(E1890&lt;0,"Componente negativo — manter e investigar","OK")</x:f>
        <x:v>OK</x:v>
      </x:c>
    </x:row>
    <x:row r="1891">
      <x:c r="A1891" s="51" t="n">
        <x:v>43831</x:v>
      </x:c>
      <x:c r="B1891" s="14" t="str">
        <x:v>Nordeste</x:v>
      </x:c>
      <x:c r="C1891" s="14" t="str">
        <x:v>NORTE INTERLIGADO</x:v>
      </x:c>
      <x:c r="D1891" s="53" t="str">
        <x:v>Cativo</x:v>
      </x:c>
      <x:c r="E1891" s="49" t="n">
        <x:v>281112.502</x:v>
      </x:c>
      <x:c r="F1891" s="52" t="n">
        <x:v>2293360</x:v>
      </x:c>
      <x:c r="G1891" s="54" t="n">
        <x:v>46220</x:v>
      </x:c>
      <x:c r="H1891" s="14" t="str">
        <x:f>IF(E1891&lt;0,"Componente negativo — manter e investigar","OK")</x:f>
        <x:v>OK</x:v>
      </x:c>
    </x:row>
    <x:row r="1892">
      <x:c r="A1892" s="51" t="n">
        <x:v>43831</x:v>
      </x:c>
      <x:c r="B1892" s="14" t="str">
        <x:v>Nordeste</x:v>
      </x:c>
      <x:c r="C1892" s="14" t="str">
        <x:v>SISTEMAS ISOLADOS</x:v>
      </x:c>
      <x:c r="D1892" s="53" t="str">
        <x:v>Cativo</x:v>
      </x:c>
      <x:c r="E1892" s="49" t="n">
        <x:v>661</x:v>
      </x:c>
      <x:c r="F1892" s="52" t="n">
        <x:v>654</x:v>
      </x:c>
      <x:c r="G1892" s="54" t="n">
        <x:v>46220</x:v>
      </x:c>
      <x:c r="H1892" s="14" t="str">
        <x:f>IF(E1892&lt;0,"Componente negativo — manter e investigar","OK")</x:f>
        <x:v>OK</x:v>
      </x:c>
    </x:row>
    <x:row r="1893">
      <x:c r="A1893" s="51" t="n">
        <x:v>43831</x:v>
      </x:c>
      <x:c r="B1893" s="14" t="str">
        <x:v>Norte</x:v>
      </x:c>
      <x:c r="C1893" s="14" t="str">
        <x:v>NORTE INTERLIGADO</x:v>
      </x:c>
      <x:c r="D1893" s="53" t="str">
        <x:v>Cativo</x:v>
      </x:c>
      <x:c r="E1893" s="49" t="n">
        <x:v>546341.211</x:v>
      </x:c>
      <x:c r="F1893" s="52" t="n">
        <x:v>3476998</x:v>
      </x:c>
      <x:c r="G1893" s="54" t="n">
        <x:v>46220</x:v>
      </x:c>
      <x:c r="H1893" s="14" t="str">
        <x:f>IF(E1893&lt;0,"Componente negativo — manter e investigar","OK")</x:f>
        <x:v>OK</x:v>
      </x:c>
    </x:row>
    <x:row r="1894">
      <x:c r="A1894" s="51" t="n">
        <x:v>43831</x:v>
      </x:c>
      <x:c r="B1894" s="14" t="str">
        <x:v>Norte</x:v>
      </x:c>
      <x:c r="C1894" s="14" t="str">
        <x:v>SISTEMAS ISOLADOS</x:v>
      </x:c>
      <x:c r="D1894" s="53" t="str">
        <x:v>Cativo</x:v>
      </x:c>
      <x:c r="E1894" s="49" t="n">
        <x:v>118635.883</x:v>
      </x:c>
      <x:c r="F1894" s="52" t="n">
        <x:v>651494</x:v>
      </x:c>
      <x:c r="G1894" s="54" t="n">
        <x:v>46220</x:v>
      </x:c>
      <x:c r="H1894" s="14" t="str">
        <x:f>IF(E1894&lt;0,"Componente negativo — manter e investigar","OK")</x:f>
        <x:v>OK</x:v>
      </x:c>
    </x:row>
    <x:row r="1895">
      <x:c r="A1895" s="51" t="n">
        <x:v>43831</x:v>
      </x:c>
      <x:c r="B1895" s="14" t="str">
        <x:v>Norte</x:v>
      </x:c>
      <x:c r="C1895" s="14" t="str">
        <x:v>SUDESTE / CENTRO - OESTE</x:v>
      </x:c>
      <x:c r="D1895" s="53" t="str">
        <x:v>Cativo</x:v>
      </x:c>
      <x:c r="E1895" s="49" t="n">
        <x:v>134576.907</x:v>
      </x:c>
      <x:c r="F1895" s="52" t="n">
        <x:v>594820</x:v>
      </x:c>
      <x:c r="G1895" s="54" t="n">
        <x:v>46220</x:v>
      </x:c>
      <x:c r="H1895" s="14" t="str">
        <x:f>IF(E1895&lt;0,"Componente negativo — manter e investigar","OK")</x:f>
        <x:v>OK</x:v>
      </x:c>
    </x:row>
    <x:row r="1896">
      <x:c r="A1896" s="51" t="n">
        <x:v>43831</x:v>
      </x:c>
      <x:c r="B1896" s="14" t="str">
        <x:v>Sudeste</x:v>
      </x:c>
      <x:c r="C1896" s="14" t="str">
        <x:v>SUDESTE / CENTRO - OESTE</x:v>
      </x:c>
      <x:c r="D1896" s="53" t="str">
        <x:v>Cativo</x:v>
      </x:c>
      <x:c r="E1896" s="49" t="n">
        <x:v>6135009.44</x:v>
      </x:c>
      <x:c r="F1896" s="52" t="n">
        <x:v>32821843</x:v>
      </x:c>
      <x:c r="G1896" s="54" t="n">
        <x:v>46220</x:v>
      </x:c>
      <x:c r="H1896" s="14" t="str">
        <x:f>IF(E1896&lt;0,"Componente negativo — manter e investigar","OK")</x:f>
        <x:v>OK</x:v>
      </x:c>
    </x:row>
    <x:row r="1897">
      <x:c r="A1897" s="51" t="n">
        <x:v>43831</x:v>
      </x:c>
      <x:c r="B1897" s="14" t="str">
        <x:v>Sudeste</x:v>
      </x:c>
      <x:c r="C1897" s="14" t="str">
        <x:v>SUDESTE / CENTRO - OESTE</x:v>
      </x:c>
      <x:c r="D1897" s="53" t="str">
        <x:v>Livre</x:v>
      </x:c>
      <x:c r="E1897" s="49" t="n">
        <x:v>247.913</x:v>
      </x:c>
      <x:c r="F1897" s="52" t="n">
        <x:v>1</x:v>
      </x:c>
      <x:c r="G1897" s="54" t="n">
        <x:v>46220</x:v>
      </x:c>
      <x:c r="H1897" s="14" t="str">
        <x:f>IF(E1897&lt;0,"Componente negativo — manter e investigar","OK")</x:f>
        <x:v>OK</x:v>
      </x:c>
    </x:row>
    <x:row r="1898">
      <x:c r="A1898" s="51" t="n">
        <x:v>43831</x:v>
      </x:c>
      <x:c r="B1898" s="14" t="str">
        <x:v>Sul</x:v>
      </x:c>
      <x:c r="C1898" s="14" t="str">
        <x:v>SUL</x:v>
      </x:c>
      <x:c r="D1898" s="53" t="str">
        <x:v>Cativo</x:v>
      </x:c>
      <x:c r="E1898" s="49" t="n">
        <x:v>2244223.403</x:v>
      </x:c>
      <x:c r="F1898" s="52" t="n">
        <x:v>10409787</x:v>
      </x:c>
      <x:c r="G1898" s="54" t="n">
        <x:v>46220</x:v>
      </x:c>
      <x:c r="H1898" s="14" t="str">
        <x:f>IF(E1898&lt;0,"Componente negativo — manter e investigar","OK")</x:f>
        <x:v>OK</x:v>
      </x:c>
    </x:row>
    <x:row r="1899">
      <x:c r="A1899" s="51" t="n">
        <x:v>43862</x:v>
      </x:c>
      <x:c r="B1899" s="14" t="str">
        <x:v>Centro-Oeste</x:v>
      </x:c>
      <x:c r="C1899" s="14" t="str">
        <x:v>SISTEMAS ISOLADOS</x:v>
      </x:c>
      <x:c r="D1899" s="53" t="str">
        <x:v>Cativo</x:v>
      </x:c>
      <x:c r="E1899" s="49" t="n">
        <x:v>188.111</x:v>
      </x:c>
      <x:c r="F1899" s="52" t="n">
        <x:v>758</x:v>
      </x:c>
      <x:c r="G1899" s="54" t="n">
        <x:v>46220</x:v>
      </x:c>
      <x:c r="H1899" s="14" t="str">
        <x:f>IF(E1899&lt;0,"Componente negativo — manter e investigar","OK")</x:f>
        <x:v>OK</x:v>
      </x:c>
    </x:row>
    <x:row r="1900">
      <x:c r="A1900" s="51" t="n">
        <x:v>43862</x:v>
      </x:c>
      <x:c r="B1900" s="14" t="str">
        <x:v>Centro-Oeste</x:v>
      </x:c>
      <x:c r="C1900" s="14" t="str">
        <x:v>SUDESTE / CENTRO - OESTE</x:v>
      </x:c>
      <x:c r="D1900" s="53" t="str">
        <x:v>Cativo</x:v>
      </x:c>
      <x:c r="E1900" s="49" t="n">
        <x:v>1098998.548</x:v>
      </x:c>
      <x:c r="F1900" s="52" t="n">
        <x:v>5631135</x:v>
      </x:c>
      <x:c r="G1900" s="54" t="n">
        <x:v>46220</x:v>
      </x:c>
      <x:c r="H1900" s="14" t="str">
        <x:f>IF(E1900&lt;0,"Componente negativo — manter e investigar","OK")</x:f>
        <x:v>OK</x:v>
      </x:c>
    </x:row>
    <x:row r="1901">
      <x:c r="A1901" s="51" t="n">
        <x:v>43862</x:v>
      </x:c>
      <x:c r="B1901" s="14" t="str">
        <x:v>Nordeste</x:v>
      </x:c>
      <x:c r="C1901" s="14" t="str">
        <x:v>NORDESTE</x:v>
      </x:c>
      <x:c r="D1901" s="53" t="str">
        <x:v>Cativo</x:v>
      </x:c>
      <x:c r="E1901" s="49" t="n">
        <x:v>2189314.7649999997</x:v>
      </x:c>
      <x:c r="F1901" s="52" t="n">
        <x:v>17287099</x:v>
      </x:c>
      <x:c r="G1901" s="54" t="n">
        <x:v>46220</x:v>
      </x:c>
      <x:c r="H1901" s="14" t="str">
        <x:f>IF(E1901&lt;0,"Componente negativo — manter e investigar","OK")</x:f>
        <x:v>OK</x:v>
      </x:c>
    </x:row>
    <x:row r="1902">
      <x:c r="A1902" s="51" t="n">
        <x:v>43862</x:v>
      </x:c>
      <x:c r="B1902" s="14" t="str">
        <x:v>Nordeste</x:v>
      </x:c>
      <x:c r="C1902" s="14" t="str">
        <x:v>NORTE INTERLIGADO</x:v>
      </x:c>
      <x:c r="D1902" s="53" t="str">
        <x:v>Cativo</x:v>
      </x:c>
      <x:c r="E1902" s="49" t="n">
        <x:v>266899.039</x:v>
      </x:c>
      <x:c r="F1902" s="52" t="n">
        <x:v>2268711</x:v>
      </x:c>
      <x:c r="G1902" s="54" t="n">
        <x:v>46220</x:v>
      </x:c>
      <x:c r="H1902" s="14" t="str">
        <x:f>IF(E1902&lt;0,"Componente negativo — manter e investigar","OK")</x:f>
        <x:v>OK</x:v>
      </x:c>
    </x:row>
    <x:row r="1903">
      <x:c r="A1903" s="51" t="n">
        <x:v>43862</x:v>
      </x:c>
      <x:c r="B1903" s="14" t="str">
        <x:v>Nordeste</x:v>
      </x:c>
      <x:c r="C1903" s="14" t="str">
        <x:v>SISTEMAS ISOLADOS</x:v>
      </x:c>
      <x:c r="D1903" s="53" t="str">
        <x:v>Cativo</x:v>
      </x:c>
      <x:c r="E1903" s="49" t="n">
        <x:v>666</x:v>
      </x:c>
      <x:c r="F1903" s="52" t="n">
        <x:v>657</x:v>
      </x:c>
      <x:c r="G1903" s="54" t="n">
        <x:v>46220</x:v>
      </x:c>
      <x:c r="H1903" s="14" t="str">
        <x:f>IF(E1903&lt;0,"Componente negativo — manter e investigar","OK")</x:f>
        <x:v>OK</x:v>
      </x:c>
    </x:row>
    <x:row r="1904">
      <x:c r="A1904" s="51" t="n">
        <x:v>43862</x:v>
      </x:c>
      <x:c r="B1904" s="14" t="str">
        <x:v>Norte</x:v>
      </x:c>
      <x:c r="C1904" s="14" t="str">
        <x:v>NORTE INTERLIGADO</x:v>
      </x:c>
      <x:c r="D1904" s="53" t="str">
        <x:v>Cativo</x:v>
      </x:c>
      <x:c r="E1904" s="49" t="n">
        <x:v>537580.613</x:v>
      </x:c>
      <x:c r="F1904" s="52" t="n">
        <x:v>3463589</x:v>
      </x:c>
      <x:c r="G1904" s="54" t="n">
        <x:v>46220</x:v>
      </x:c>
      <x:c r="H1904" s="14" t="str">
        <x:f>IF(E1904&lt;0,"Componente negativo — manter e investigar","OK")</x:f>
        <x:v>OK</x:v>
      </x:c>
    </x:row>
    <x:row r="1905">
      <x:c r="A1905" s="51" t="n">
        <x:v>43862</x:v>
      </x:c>
      <x:c r="B1905" s="14" t="str">
        <x:v>Norte</x:v>
      </x:c>
      <x:c r="C1905" s="14" t="str">
        <x:v>SISTEMAS ISOLADOS</x:v>
      </x:c>
      <x:c r="D1905" s="53" t="str">
        <x:v>Cativo</x:v>
      </x:c>
      <x:c r="E1905" s="49" t="n">
        <x:v>114418.137</x:v>
      </x:c>
      <x:c r="F1905" s="52" t="n">
        <x:v>647289</x:v>
      </x:c>
      <x:c r="G1905" s="54" t="n">
        <x:v>46220</x:v>
      </x:c>
      <x:c r="H1905" s="14" t="str">
        <x:f>IF(E1905&lt;0,"Componente negativo — manter e investigar","OK")</x:f>
        <x:v>OK</x:v>
      </x:c>
    </x:row>
    <x:row r="1906">
      <x:c r="A1906" s="51" t="n">
        <x:v>43862</x:v>
      </x:c>
      <x:c r="B1906" s="14" t="str">
        <x:v>Norte</x:v>
      </x:c>
      <x:c r="C1906" s="14" t="str">
        <x:v>SUDESTE / CENTRO - OESTE</x:v>
      </x:c>
      <x:c r="D1906" s="53" t="str">
        <x:v>Cativo</x:v>
      </x:c>
      <x:c r="E1906" s="49" t="n">
        <x:v>143849.993</x:v>
      </x:c>
      <x:c r="F1906" s="52" t="n">
        <x:v>597609</x:v>
      </x:c>
      <x:c r="G1906" s="54" t="n">
        <x:v>46220</x:v>
      </x:c>
      <x:c r="H1906" s="14" t="str">
        <x:f>IF(E1906&lt;0,"Componente negativo — manter e investigar","OK")</x:f>
        <x:v>OK</x:v>
      </x:c>
    </x:row>
    <x:row r="1907">
      <x:c r="A1907" s="51" t="n">
        <x:v>43862</x:v>
      </x:c>
      <x:c r="B1907" s="14" t="str">
        <x:v>Sudeste</x:v>
      </x:c>
      <x:c r="C1907" s="14" t="str">
        <x:v>SUDESTE / CENTRO - OESTE</x:v>
      </x:c>
      <x:c r="D1907" s="53" t="str">
        <x:v>Cativo</x:v>
      </x:c>
      <x:c r="E1907" s="49" t="n">
        <x:v>5864454.853</x:v>
      </x:c>
      <x:c r="F1907" s="52" t="n">
        <x:v>32800135</x:v>
      </x:c>
      <x:c r="G1907" s="54" t="n">
        <x:v>46220</x:v>
      </x:c>
      <x:c r="H1907" s="14" t="str">
        <x:f>IF(E1907&lt;0,"Componente negativo — manter e investigar","OK")</x:f>
        <x:v>OK</x:v>
      </x:c>
    </x:row>
    <x:row r="1908">
      <x:c r="A1908" s="51" t="n">
        <x:v>43862</x:v>
      </x:c>
      <x:c r="B1908" s="14" t="str">
        <x:v>Sudeste</x:v>
      </x:c>
      <x:c r="C1908" s="14" t="str">
        <x:v>SUDESTE / CENTRO - OESTE</x:v>
      </x:c>
      <x:c r="D1908" s="53" t="str">
        <x:v>Livre</x:v>
      </x:c>
      <x:c r="E1908" s="49" t="n">
        <x:v>332.649</x:v>
      </x:c>
      <x:c r="F1908" s="52" t="n">
        <x:v>1</x:v>
      </x:c>
      <x:c r="G1908" s="54" t="n">
        <x:v>46220</x:v>
      </x:c>
      <x:c r="H1908" s="14" t="str">
        <x:f>IF(E1908&lt;0,"Componente negativo — manter e investigar","OK")</x:f>
        <x:v>OK</x:v>
      </x:c>
    </x:row>
    <x:row r="1909">
      <x:c r="A1909" s="51" t="n">
        <x:v>43862</x:v>
      </x:c>
      <x:c r="B1909" s="14" t="str">
        <x:v>Sul</x:v>
      </x:c>
      <x:c r="C1909" s="14" t="str">
        <x:v>SUL</x:v>
      </x:c>
      <x:c r="D1909" s="53" t="str">
        <x:v>Cativo</x:v>
      </x:c>
      <x:c r="E1909" s="49" t="n">
        <x:v>2141096.858</x:v>
      </x:c>
      <x:c r="F1909" s="52" t="n">
        <x:v>10421704</x:v>
      </x:c>
      <x:c r="G1909" s="54" t="n">
        <x:v>46220</x:v>
      </x:c>
      <x:c r="H1909" s="14" t="str">
        <x:f>IF(E1909&lt;0,"Componente negativo — manter e investigar","OK")</x:f>
        <x:v>OK</x:v>
      </x:c>
    </x:row>
    <x:row r="1910">
      <x:c r="A1910" s="51" t="n">
        <x:v>43891</x:v>
      </x:c>
      <x:c r="B1910" s="14" t="str">
        <x:v>Centro-Oeste</x:v>
      </x:c>
      <x:c r="C1910" s="14" t="str">
        <x:v>SISTEMAS ISOLADOS</x:v>
      </x:c>
      <x:c r="D1910" s="53" t="str">
        <x:v>Cativo</x:v>
      </x:c>
      <x:c r="E1910" s="49" t="n">
        <x:v>164.485</x:v>
      </x:c>
      <x:c r="F1910" s="52" t="n">
        <x:v>762</x:v>
      </x:c>
      <x:c r="G1910" s="54" t="n">
        <x:v>46220</x:v>
      </x:c>
      <x:c r="H1910" s="14" t="str">
        <x:f>IF(E1910&lt;0,"Componente negativo — manter e investigar","OK")</x:f>
        <x:v>OK</x:v>
      </x:c>
    </x:row>
    <x:row r="1911">
      <x:c r="A1911" s="51" t="n">
        <x:v>43891</x:v>
      </x:c>
      <x:c r="B1911" s="14" t="str">
        <x:v>Centro-Oeste</x:v>
      </x:c>
      <x:c r="C1911" s="14" t="str">
        <x:v>SUDESTE / CENTRO - OESTE</x:v>
      </x:c>
      <x:c r="D1911" s="53" t="str">
        <x:v>Cativo</x:v>
      </x:c>
      <x:c r="E1911" s="49" t="n">
        <x:v>1084060.011</x:v>
      </x:c>
      <x:c r="F1911" s="52" t="n">
        <x:v>5615405</x:v>
      </x:c>
      <x:c r="G1911" s="54" t="n">
        <x:v>46220</x:v>
      </x:c>
      <x:c r="H1911" s="14" t="str">
        <x:f>IF(E1911&lt;0,"Componente negativo — manter e investigar","OK")</x:f>
        <x:v>OK</x:v>
      </x:c>
    </x:row>
    <x:row r="1912">
      <x:c r="A1912" s="51" t="n">
        <x:v>43891</x:v>
      </x:c>
      <x:c r="B1912" s="14" t="str">
        <x:v>Nordeste</x:v>
      </x:c>
      <x:c r="C1912" s="14" t="str">
        <x:v>NORDESTE</x:v>
      </x:c>
      <x:c r="D1912" s="53" t="str">
        <x:v>Cativo</x:v>
      </x:c>
      <x:c r="E1912" s="49" t="n">
        <x:v>2329096.3989999997</x:v>
      </x:c>
      <x:c r="F1912" s="52" t="n">
        <x:v>17350887</x:v>
      </x:c>
      <x:c r="G1912" s="54" t="n">
        <x:v>46220</x:v>
      </x:c>
      <x:c r="H1912" s="14" t="str">
        <x:f>IF(E1912&lt;0,"Componente negativo — manter e investigar","OK")</x:f>
        <x:v>OK</x:v>
      </x:c>
    </x:row>
    <x:row r="1913">
      <x:c r="A1913" s="51" t="n">
        <x:v>43891</x:v>
      </x:c>
      <x:c r="B1913" s="14" t="str">
        <x:v>Nordeste</x:v>
      </x:c>
      <x:c r="C1913" s="14" t="str">
        <x:v>NORTE INTERLIGADO</x:v>
      </x:c>
      <x:c r="D1913" s="53" t="str">
        <x:v>Cativo</x:v>
      </x:c>
      <x:c r="E1913" s="49" t="n">
        <x:v>269797.248</x:v>
      </x:c>
      <x:c r="F1913" s="52" t="n">
        <x:v>2271686</x:v>
      </x:c>
      <x:c r="G1913" s="54" t="n">
        <x:v>46220</x:v>
      </x:c>
      <x:c r="H1913" s="14" t="str">
        <x:f>IF(E1913&lt;0,"Componente negativo — manter e investigar","OK")</x:f>
        <x:v>OK</x:v>
      </x:c>
    </x:row>
    <x:row r="1914">
      <x:c r="A1914" s="51" t="n">
        <x:v>43891</x:v>
      </x:c>
      <x:c r="B1914" s="14" t="str">
        <x:v>Nordeste</x:v>
      </x:c>
      <x:c r="C1914" s="14" t="str">
        <x:v>SISTEMAS ISOLADOS</x:v>
      </x:c>
      <x:c r="D1914" s="53" t="str">
        <x:v>Cativo</x:v>
      </x:c>
      <x:c r="E1914" s="49" t="n">
        <x:v>734</x:v>
      </x:c>
      <x:c r="F1914" s="52" t="n">
        <x:v>656</x:v>
      </x:c>
      <x:c r="G1914" s="54" t="n">
        <x:v>46220</x:v>
      </x:c>
      <x:c r="H1914" s="14" t="str">
        <x:f>IF(E1914&lt;0,"Componente negativo — manter e investigar","OK")</x:f>
        <x:v>OK</x:v>
      </x:c>
    </x:row>
    <x:row r="1915">
      <x:c r="A1915" s="51" t="n">
        <x:v>43891</x:v>
      </x:c>
      <x:c r="B1915" s="14" t="str">
        <x:v>Norte</x:v>
      </x:c>
      <x:c r="C1915" s="14" t="str">
        <x:v>NORTE INTERLIGADO</x:v>
      </x:c>
      <x:c r="D1915" s="53" t="str">
        <x:v>Cativo</x:v>
      </x:c>
      <x:c r="E1915" s="49" t="n">
        <x:v>543238.4959999999</x:v>
      </x:c>
      <x:c r="F1915" s="52" t="n">
        <x:v>3472135</x:v>
      </x:c>
      <x:c r="G1915" s="54" t="n">
        <x:v>46220</x:v>
      </x:c>
      <x:c r="H1915" s="14" t="str">
        <x:f>IF(E1915&lt;0,"Componente negativo — manter e investigar","OK")</x:f>
        <x:v>OK</x:v>
      </x:c>
    </x:row>
    <x:row r="1916">
      <x:c r="A1916" s="51" t="n">
        <x:v>43891</x:v>
      </x:c>
      <x:c r="B1916" s="14" t="str">
        <x:v>Norte</x:v>
      </x:c>
      <x:c r="C1916" s="14" t="str">
        <x:v>SISTEMAS ISOLADOS</x:v>
      </x:c>
      <x:c r="D1916" s="53" t="str">
        <x:v>Cativo</x:v>
      </x:c>
      <x:c r="E1916" s="49" t="n">
        <x:v>125831.479</x:v>
      </x:c>
      <x:c r="F1916" s="52" t="n">
        <x:v>650300</x:v>
      </x:c>
      <x:c r="G1916" s="54" t="n">
        <x:v>46220</x:v>
      </x:c>
      <x:c r="H1916" s="14" t="str">
        <x:f>IF(E1916&lt;0,"Componente negativo — manter e investigar","OK")</x:f>
        <x:v>OK</x:v>
      </x:c>
    </x:row>
    <x:row r="1917">
      <x:c r="A1917" s="51" t="n">
        <x:v>43891</x:v>
      </x:c>
      <x:c r="B1917" s="14" t="str">
        <x:v>Norte</x:v>
      </x:c>
      <x:c r="C1917" s="14" t="str">
        <x:v>SUDESTE / CENTRO - OESTE</x:v>
      </x:c>
      <x:c r="D1917" s="53" t="str">
        <x:v>Cativo</x:v>
      </x:c>
      <x:c r="E1917" s="49" t="n">
        <x:v>140132.812</x:v>
      </x:c>
      <x:c r="F1917" s="52" t="n">
        <x:v>600514</x:v>
      </x:c>
      <x:c r="G1917" s="54" t="n">
        <x:v>46220</x:v>
      </x:c>
      <x:c r="H1917" s="14" t="str">
        <x:f>IF(E1917&lt;0,"Componente negativo — manter e investigar","OK")</x:f>
        <x:v>OK</x:v>
      </x:c>
    </x:row>
    <x:row r="1918">
      <x:c r="A1918" s="51" t="n">
        <x:v>43891</x:v>
      </x:c>
      <x:c r="B1918" s="14" t="str">
        <x:v>Sudeste</x:v>
      </x:c>
      <x:c r="C1918" s="14" t="str">
        <x:v>SUDESTE / CENTRO - OESTE</x:v>
      </x:c>
      <x:c r="D1918" s="53" t="str">
        <x:v>Cativo</x:v>
      </x:c>
      <x:c r="E1918" s="49" t="n">
        <x:v>5859175.66</x:v>
      </x:c>
      <x:c r="F1918" s="52" t="n">
        <x:v>32903050</x:v>
      </x:c>
      <x:c r="G1918" s="54" t="n">
        <x:v>46220</x:v>
      </x:c>
      <x:c r="H1918" s="14" t="str">
        <x:f>IF(E1918&lt;0,"Componente negativo — manter e investigar","OK")</x:f>
        <x:v>OK</x:v>
      </x:c>
    </x:row>
    <x:row r="1919">
      <x:c r="A1919" s="51" t="n">
        <x:v>43891</x:v>
      </x:c>
      <x:c r="B1919" s="14" t="str">
        <x:v>Sudeste</x:v>
      </x:c>
      <x:c r="C1919" s="14" t="str">
        <x:v>SUDESTE / CENTRO - OESTE</x:v>
      </x:c>
      <x:c r="D1919" s="53" t="str">
        <x:v>Livre</x:v>
      </x:c>
      <x:c r="E1919" s="49" t="n">
        <x:v>443.575</x:v>
      </x:c>
      <x:c r="F1919" s="52" t="n">
        <x:v>1</x:v>
      </x:c>
      <x:c r="G1919" s="54" t="n">
        <x:v>46220</x:v>
      </x:c>
      <x:c r="H1919" s="14" t="str">
        <x:f>IF(E1919&lt;0,"Componente negativo — manter e investigar","OK")</x:f>
        <x:v>OK</x:v>
      </x:c>
    </x:row>
    <x:row r="1920">
      <x:c r="A1920" s="51" t="n">
        <x:v>43891</x:v>
      </x:c>
      <x:c r="B1920" s="14" t="str">
        <x:v>Sul</x:v>
      </x:c>
      <x:c r="C1920" s="14" t="str">
        <x:v>SUL</x:v>
      </x:c>
      <x:c r="D1920" s="53" t="str">
        <x:v>Cativo</x:v>
      </x:c>
      <x:c r="E1920" s="49" t="n">
        <x:v>2044196.9179999998</x:v>
      </x:c>
      <x:c r="F1920" s="52" t="n">
        <x:v>10441182</x:v>
      </x:c>
      <x:c r="G1920" s="54" t="n">
        <x:v>46220</x:v>
      </x:c>
      <x:c r="H1920" s="14" t="str">
        <x:f>IF(E1920&lt;0,"Componente negativo — manter e investigar","OK")</x:f>
        <x:v>OK</x:v>
      </x:c>
    </x:row>
    <x:row r="1921">
      <x:c r="A1921" s="51" t="n">
        <x:v>43922</x:v>
      </x:c>
      <x:c r="B1921" s="14" t="str">
        <x:v>Centro-Oeste</x:v>
      </x:c>
      <x:c r="C1921" s="14" t="str">
        <x:v>SISTEMAS ISOLADOS</x:v>
      </x:c>
      <x:c r="D1921" s="53" t="str">
        <x:v>Cativo</x:v>
      </x:c>
      <x:c r="E1921" s="49" t="n">
        <x:v>190.359</x:v>
      </x:c>
      <x:c r="F1921" s="52" t="n">
        <x:v>767</x:v>
      </x:c>
      <x:c r="G1921" s="54" t="n">
        <x:v>46220</x:v>
      </x:c>
      <x:c r="H1921" s="14" t="str">
        <x:f>IF(E1921&lt;0,"Componente negativo — manter e investigar","OK")</x:f>
        <x:v>OK</x:v>
      </x:c>
    </x:row>
    <x:row r="1922">
      <x:c r="A1922" s="51" t="n">
        <x:v>43922</x:v>
      </x:c>
      <x:c r="B1922" s="14" t="str">
        <x:v>Centro-Oeste</x:v>
      </x:c>
      <x:c r="C1922" s="14" t="str">
        <x:v>SUDESTE / CENTRO - OESTE</x:v>
      </x:c>
      <x:c r="D1922" s="53" t="str">
        <x:v>Cativo</x:v>
      </x:c>
      <x:c r="E1922" s="49" t="n">
        <x:v>1151087.5350000001</x:v>
      </x:c>
      <x:c r="F1922" s="52" t="n">
        <x:v>5638775</x:v>
      </x:c>
      <x:c r="G1922" s="54" t="n">
        <x:v>46220</x:v>
      </x:c>
      <x:c r="H1922" s="14" t="str">
        <x:f>IF(E1922&lt;0,"Componente negativo — manter e investigar","OK")</x:f>
        <x:v>OK</x:v>
      </x:c>
    </x:row>
    <x:row r="1923">
      <x:c r="A1923" s="51" t="n">
        <x:v>43922</x:v>
      </x:c>
      <x:c r="B1923" s="14" t="str">
        <x:v>Nordeste</x:v>
      </x:c>
      <x:c r="C1923" s="14" t="str">
        <x:v>NORDESTE</x:v>
      </x:c>
      <x:c r="D1923" s="53" t="str">
        <x:v>Cativo</x:v>
      </x:c>
      <x:c r="E1923" s="49" t="n">
        <x:v>2384008.1429999997</x:v>
      </x:c>
      <x:c r="F1923" s="52" t="n">
        <x:v>17741183</x:v>
      </x:c>
      <x:c r="G1923" s="54" t="n">
        <x:v>46220</x:v>
      </x:c>
      <x:c r="H1923" s="14" t="str">
        <x:f>IF(E1923&lt;0,"Componente negativo — manter e investigar","OK")</x:f>
        <x:v>OK</x:v>
      </x:c>
    </x:row>
    <x:row r="1924">
      <x:c r="A1924" s="51" t="n">
        <x:v>43922</x:v>
      </x:c>
      <x:c r="B1924" s="14" t="str">
        <x:v>Nordeste</x:v>
      </x:c>
      <x:c r="C1924" s="14" t="str">
        <x:v>NORTE INTERLIGADO</x:v>
      </x:c>
      <x:c r="D1924" s="53" t="str">
        <x:v>Cativo</x:v>
      </x:c>
      <x:c r="E1924" s="49" t="n">
        <x:v>283182.855</x:v>
      </x:c>
      <x:c r="F1924" s="52" t="n">
        <x:v>2271432</x:v>
      </x:c>
      <x:c r="G1924" s="54" t="n">
        <x:v>46220</x:v>
      </x:c>
      <x:c r="H1924" s="14" t="str">
        <x:f>IF(E1924&lt;0,"Componente negativo — manter e investigar","OK")</x:f>
        <x:v>OK</x:v>
      </x:c>
    </x:row>
    <x:row r="1925">
      <x:c r="A1925" s="51" t="n">
        <x:v>43922</x:v>
      </x:c>
      <x:c r="B1925" s="14" t="str">
        <x:v>Nordeste</x:v>
      </x:c>
      <x:c r="C1925" s="14" t="str">
        <x:v>SISTEMAS ISOLADOS</x:v>
      </x:c>
      <x:c r="D1925" s="53" t="str">
        <x:v>Cativo</x:v>
      </x:c>
      <x:c r="E1925" s="49" t="n">
        <x:v>640</x:v>
      </x:c>
      <x:c r="F1925" s="52" t="n">
        <x:v>658</x:v>
      </x:c>
      <x:c r="G1925" s="54" t="n">
        <x:v>46220</x:v>
      </x:c>
      <x:c r="H1925" s="14" t="str">
        <x:f>IF(E1925&lt;0,"Componente negativo — manter e investigar","OK")</x:f>
        <x:v>OK</x:v>
      </x:c>
    </x:row>
    <x:row r="1926">
      <x:c r="A1926" s="51" t="n">
        <x:v>43922</x:v>
      </x:c>
      <x:c r="B1926" s="14" t="str">
        <x:v>Norte</x:v>
      </x:c>
      <x:c r="C1926" s="14" t="str">
        <x:v>NORTE INTERLIGADO</x:v>
      </x:c>
      <x:c r="D1926" s="53" t="str">
        <x:v>Cativo</x:v>
      </x:c>
      <x:c r="E1926" s="49" t="n">
        <x:v>556611.604</x:v>
      </x:c>
      <x:c r="F1926" s="52" t="n">
        <x:v>3464014</x:v>
      </x:c>
      <x:c r="G1926" s="54" t="n">
        <x:v>46220</x:v>
      </x:c>
      <x:c r="H1926" s="14" t="str">
        <x:f>IF(E1926&lt;0,"Componente negativo — manter e investigar","OK")</x:f>
        <x:v>OK</x:v>
      </x:c>
    </x:row>
    <x:row r="1927">
      <x:c r="A1927" s="51" t="n">
        <x:v>43922</x:v>
      </x:c>
      <x:c r="B1927" s="14" t="str">
        <x:v>Norte</x:v>
      </x:c>
      <x:c r="C1927" s="14" t="str">
        <x:v>SISTEMAS ISOLADOS</x:v>
      </x:c>
      <x:c r="D1927" s="53" t="str">
        <x:v>Cativo</x:v>
      </x:c>
      <x:c r="E1927" s="49" t="n">
        <x:v>127951.609</x:v>
      </x:c>
      <x:c r="F1927" s="52" t="n">
        <x:v>647599</x:v>
      </x:c>
      <x:c r="G1927" s="54" t="n">
        <x:v>46220</x:v>
      </x:c>
      <x:c r="H1927" s="14" t="str">
        <x:f>IF(E1927&lt;0,"Componente negativo — manter e investigar","OK")</x:f>
        <x:v>OK</x:v>
      </x:c>
    </x:row>
    <x:row r="1928">
      <x:c r="A1928" s="51" t="n">
        <x:v>43922</x:v>
      </x:c>
      <x:c r="B1928" s="14" t="str">
        <x:v>Norte</x:v>
      </x:c>
      <x:c r="C1928" s="14" t="str">
        <x:v>SUDESTE / CENTRO - OESTE</x:v>
      </x:c>
      <x:c r="D1928" s="53" t="str">
        <x:v>Cativo</x:v>
      </x:c>
      <x:c r="E1928" s="49" t="n">
        <x:v>140566.513</x:v>
      </x:c>
      <x:c r="F1928" s="52" t="n">
        <x:v>573600</x:v>
      </x:c>
      <x:c r="G1928" s="54" t="n">
        <x:v>46220</x:v>
      </x:c>
      <x:c r="H1928" s="14" t="str">
        <x:f>IF(E1928&lt;0,"Componente negativo — manter e investigar","OK")</x:f>
        <x:v>OK</x:v>
      </x:c>
    </x:row>
    <x:row r="1929">
      <x:c r="A1929" s="51" t="n">
        <x:v>43922</x:v>
      </x:c>
      <x:c r="B1929" s="14" t="str">
        <x:v>Sudeste</x:v>
      </x:c>
      <x:c r="C1929" s="14" t="str">
        <x:v>SUDESTE / CENTRO - OESTE</x:v>
      </x:c>
      <x:c r="D1929" s="53" t="str">
        <x:v>Cativo</x:v>
      </x:c>
      <x:c r="E1929" s="49" t="n">
        <x:v>5636806.123000001</x:v>
      </x:c>
      <x:c r="F1929" s="52" t="n">
        <x:v>32488678</x:v>
      </x:c>
      <x:c r="G1929" s="54" t="n">
        <x:v>46220</x:v>
      </x:c>
      <x:c r="H1929" s="14" t="str">
        <x:f>IF(E1929&lt;0,"Componente negativo — manter e investigar","OK")</x:f>
        <x:v>OK</x:v>
      </x:c>
    </x:row>
    <x:row r="1930">
      <x:c r="A1930" s="51" t="n">
        <x:v>43922</x:v>
      </x:c>
      <x:c r="B1930" s="14" t="str">
        <x:v>Sudeste</x:v>
      </x:c>
      <x:c r="C1930" s="14" t="str">
        <x:v>SUDESTE / CENTRO - OESTE</x:v>
      </x:c>
      <x:c r="D1930" s="53" t="str">
        <x:v>Livre</x:v>
      </x:c>
      <x:c r="E1930" s="49" t="n">
        <x:v>468.952</x:v>
      </x:c>
      <x:c r="F1930" s="52" t="n">
        <x:v>1</x:v>
      </x:c>
      <x:c r="G1930" s="54" t="n">
        <x:v>46220</x:v>
      </x:c>
      <x:c r="H1930" s="14" t="str">
        <x:f>IF(E1930&lt;0,"Componente negativo — manter e investigar","OK")</x:f>
        <x:v>OK</x:v>
      </x:c>
    </x:row>
    <x:row r="1931">
      <x:c r="A1931" s="51" t="n">
        <x:v>43922</x:v>
      </x:c>
      <x:c r="B1931" s="14" t="str">
        <x:v>Sul</x:v>
      </x:c>
      <x:c r="C1931" s="14" t="str">
        <x:v>SUL</x:v>
      </x:c>
      <x:c r="D1931" s="53" t="str">
        <x:v>Cativo</x:v>
      </x:c>
      <x:c r="E1931" s="49" t="n">
        <x:v>1995891.877</x:v>
      </x:c>
      <x:c r="F1931" s="52" t="n">
        <x:v>10434478</x:v>
      </x:c>
      <x:c r="G1931" s="54" t="n">
        <x:v>46220</x:v>
      </x:c>
      <x:c r="H1931" s="14" t="str">
        <x:f>IF(E1931&lt;0,"Componente negativo — manter e investigar","OK")</x:f>
        <x:v>OK</x:v>
      </x:c>
    </x:row>
    <x:row r="1932">
      <x:c r="A1932" s="51" t="n">
        <x:v>43952</x:v>
      </x:c>
      <x:c r="B1932" s="14" t="str">
        <x:v>Centro-Oeste</x:v>
      </x:c>
      <x:c r="C1932" s="14" t="str">
        <x:v>SISTEMAS ISOLADOS</x:v>
      </x:c>
      <x:c r="D1932" s="53" t="str">
        <x:v>Cativo</x:v>
      </x:c>
      <x:c r="E1932" s="49" t="n">
        <x:v>174.808</x:v>
      </x:c>
      <x:c r="F1932" s="52" t="n">
        <x:v>765</x:v>
      </x:c>
      <x:c r="G1932" s="54" t="n">
        <x:v>46220</x:v>
      </x:c>
      <x:c r="H1932" s="14" t="str">
        <x:f>IF(E1932&lt;0,"Componente negativo — manter e investigar","OK")</x:f>
        <x:v>OK</x:v>
      </x:c>
    </x:row>
    <x:row r="1933">
      <x:c r="A1933" s="51" t="n">
        <x:v>43952</x:v>
      </x:c>
      <x:c r="B1933" s="14" t="str">
        <x:v>Centro-Oeste</x:v>
      </x:c>
      <x:c r="C1933" s="14" t="str">
        <x:v>SUDESTE / CENTRO - OESTE</x:v>
      </x:c>
      <x:c r="D1933" s="53" t="str">
        <x:v>Cativo</x:v>
      </x:c>
      <x:c r="E1933" s="49" t="n">
        <x:v>1069683.986</x:v>
      </x:c>
      <x:c r="F1933" s="52" t="n">
        <x:v>5666492</x:v>
      </x:c>
      <x:c r="G1933" s="54" t="n">
        <x:v>46220</x:v>
      </x:c>
      <x:c r="H1933" s="14" t="str">
        <x:f>IF(E1933&lt;0,"Componente negativo — manter e investigar","OK")</x:f>
        <x:v>OK</x:v>
      </x:c>
    </x:row>
    <x:row r="1934">
      <x:c r="A1934" s="51" t="n">
        <x:v>43952</x:v>
      </x:c>
      <x:c r="B1934" s="14" t="str">
        <x:v>Nordeste</x:v>
      </x:c>
      <x:c r="C1934" s="14" t="str">
        <x:v>NORDESTE</x:v>
      </x:c>
      <x:c r="D1934" s="53" t="str">
        <x:v>Cativo</x:v>
      </x:c>
      <x:c r="E1934" s="49" t="n">
        <x:v>2304873.8319999995</x:v>
      </x:c>
      <x:c r="F1934" s="52" t="n">
        <x:v>17316861</x:v>
      </x:c>
      <x:c r="G1934" s="54" t="n">
        <x:v>46220</x:v>
      </x:c>
      <x:c r="H1934" s="14" t="str">
        <x:f>IF(E1934&lt;0,"Componente negativo — manter e investigar","OK")</x:f>
        <x:v>OK</x:v>
      </x:c>
    </x:row>
    <x:row r="1935">
      <x:c r="A1935" s="51" t="n">
        <x:v>43952</x:v>
      </x:c>
      <x:c r="B1935" s="14" t="str">
        <x:v>Nordeste</x:v>
      </x:c>
      <x:c r="C1935" s="14" t="str">
        <x:v>NORTE INTERLIGADO</x:v>
      </x:c>
      <x:c r="D1935" s="53" t="str">
        <x:v>Cativo</x:v>
      </x:c>
      <x:c r="E1935" s="49" t="n">
        <x:v>282196.379</x:v>
      </x:c>
      <x:c r="F1935" s="52" t="n">
        <x:v>2278223</x:v>
      </x:c>
      <x:c r="G1935" s="54" t="n">
        <x:v>46220</x:v>
      </x:c>
      <x:c r="H1935" s="14" t="str">
        <x:f>IF(E1935&lt;0,"Componente negativo — manter e investigar","OK")</x:f>
        <x:v>OK</x:v>
      </x:c>
    </x:row>
    <x:row r="1936">
      <x:c r="A1936" s="51" t="n">
        <x:v>43952</x:v>
      </x:c>
      <x:c r="B1936" s="14" t="str">
        <x:v>Nordeste</x:v>
      </x:c>
      <x:c r="C1936" s="14" t="str">
        <x:v>SISTEMAS ISOLADOS</x:v>
      </x:c>
      <x:c r="D1936" s="53" t="str">
        <x:v>Cativo</x:v>
      </x:c>
      <x:c r="E1936" s="49" t="n">
        <x:v>508</x:v>
      </x:c>
      <x:c r="F1936" s="52" t="n">
        <x:v>659</x:v>
      </x:c>
      <x:c r="G1936" s="54" t="n">
        <x:v>46220</x:v>
      </x:c>
      <x:c r="H1936" s="14" t="str">
        <x:f>IF(E1936&lt;0,"Componente negativo — manter e investigar","OK")</x:f>
        <x:v>OK</x:v>
      </x:c>
    </x:row>
    <x:row r="1937">
      <x:c r="A1937" s="51" t="n">
        <x:v>43952</x:v>
      </x:c>
      <x:c r="B1937" s="14" t="str">
        <x:v>Norte</x:v>
      </x:c>
      <x:c r="C1937" s="14" t="str">
        <x:v>NORTE INTERLIGADO</x:v>
      </x:c>
      <x:c r="D1937" s="53" t="str">
        <x:v>Cativo</x:v>
      </x:c>
      <x:c r="E1937" s="49" t="n">
        <x:v>564800.438</x:v>
      </x:c>
      <x:c r="F1937" s="52" t="n">
        <x:v>3482238</x:v>
      </x:c>
      <x:c r="G1937" s="54" t="n">
        <x:v>46220</x:v>
      </x:c>
      <x:c r="H1937" s="14" t="str">
        <x:f>IF(E1937&lt;0,"Componente negativo — manter e investigar","OK")</x:f>
        <x:v>OK</x:v>
      </x:c>
    </x:row>
    <x:row r="1938">
      <x:c r="A1938" s="51" t="n">
        <x:v>43952</x:v>
      </x:c>
      <x:c r="B1938" s="14" t="str">
        <x:v>Norte</x:v>
      </x:c>
      <x:c r="C1938" s="14" t="str">
        <x:v>SISTEMAS ISOLADOS</x:v>
      </x:c>
      <x:c r="D1938" s="53" t="str">
        <x:v>Cativo</x:v>
      </x:c>
      <x:c r="E1938" s="49" t="n">
        <x:v>117486.494</x:v>
      </x:c>
      <x:c r="F1938" s="52" t="n">
        <x:v>637837</x:v>
      </x:c>
      <x:c r="G1938" s="54" t="n">
        <x:v>46220</x:v>
      </x:c>
      <x:c r="H1938" s="14" t="str">
        <x:f>IF(E1938&lt;0,"Componente negativo — manter e investigar","OK")</x:f>
        <x:v>OK</x:v>
      </x:c>
    </x:row>
    <x:row r="1939">
      <x:c r="A1939" s="51" t="n">
        <x:v>43952</x:v>
      </x:c>
      <x:c r="B1939" s="14" t="str">
        <x:v>Norte</x:v>
      </x:c>
      <x:c r="C1939" s="14" t="str">
        <x:v>SUDESTE / CENTRO - OESTE</x:v>
      </x:c>
      <x:c r="D1939" s="53" t="str">
        <x:v>Cativo</x:v>
      </x:c>
      <x:c r="E1939" s="49" t="n">
        <x:v>139580.788</x:v>
      </x:c>
      <x:c r="F1939" s="52" t="n">
        <x:v>552362</x:v>
      </x:c>
      <x:c r="G1939" s="54" t="n">
        <x:v>46220</x:v>
      </x:c>
      <x:c r="H1939" s="14" t="str">
        <x:f>IF(E1939&lt;0,"Componente negativo — manter e investigar","OK")</x:f>
        <x:v>OK</x:v>
      </x:c>
    </x:row>
    <x:row r="1940">
      <x:c r="A1940" s="51" t="n">
        <x:v>43952</x:v>
      </x:c>
      <x:c r="B1940" s="14" t="str">
        <x:v>Sudeste</x:v>
      </x:c>
      <x:c r="C1940" s="14" t="str">
        <x:v>SUDESTE / CENTRO - OESTE</x:v>
      </x:c>
      <x:c r="D1940" s="53" t="str">
        <x:v>Cativo</x:v>
      </x:c>
      <x:c r="E1940" s="49" t="n">
        <x:v>5382844.602</x:v>
      </x:c>
      <x:c r="F1940" s="52" t="n">
        <x:v>32514475</x:v>
      </x:c>
      <x:c r="G1940" s="54" t="n">
        <x:v>46220</x:v>
      </x:c>
      <x:c r="H1940" s="14" t="str">
        <x:f>IF(E1940&lt;0,"Componente negativo — manter e investigar","OK")</x:f>
        <x:v>OK</x:v>
      </x:c>
    </x:row>
    <x:row r="1941">
      <x:c r="A1941" s="51" t="n">
        <x:v>43952</x:v>
      </x:c>
      <x:c r="B1941" s="14" t="str">
        <x:v>Sudeste</x:v>
      </x:c>
      <x:c r="C1941" s="14" t="str">
        <x:v>SUDESTE / CENTRO - OESTE</x:v>
      </x:c>
      <x:c r="D1941" s="53" t="str">
        <x:v>Livre</x:v>
      </x:c>
      <x:c r="E1941" s="49" t="n">
        <x:v>471.963</x:v>
      </x:c>
      <x:c r="F1941" s="52" t="n">
        <x:v>1</x:v>
      </x:c>
      <x:c r="G1941" s="54" t="n">
        <x:v>46220</x:v>
      </x:c>
      <x:c r="H1941" s="14" t="str">
        <x:f>IF(E1941&lt;0,"Componente negativo — manter e investigar","OK")</x:f>
        <x:v>OK</x:v>
      </x:c>
    </x:row>
    <x:row r="1942">
      <x:c r="A1942" s="51" t="n">
        <x:v>43952</x:v>
      </x:c>
      <x:c r="B1942" s="14" t="str">
        <x:v>Sul</x:v>
      </x:c>
      <x:c r="C1942" s="14" t="str">
        <x:v>SUL</x:v>
      </x:c>
      <x:c r="D1942" s="53" t="str">
        <x:v>Cativo</x:v>
      </x:c>
      <x:c r="E1942" s="49" t="n">
        <x:v>1850035.817</x:v>
      </x:c>
      <x:c r="F1942" s="52" t="n">
        <x:v>10456483</x:v>
      </x:c>
      <x:c r="G1942" s="54" t="n">
        <x:v>46220</x:v>
      </x:c>
      <x:c r="H1942" s="14" t="str">
        <x:f>IF(E1942&lt;0,"Componente negativo — manter e investigar","OK")</x:f>
        <x:v>OK</x:v>
      </x:c>
    </x:row>
    <x:row r="1943">
      <x:c r="A1943" s="51" t="n">
        <x:v>43983</x:v>
      </x:c>
      <x:c r="B1943" s="14" t="str">
        <x:v>Centro-Oeste</x:v>
      </x:c>
      <x:c r="C1943" s="14" t="str">
        <x:v>SISTEMAS ISOLADOS</x:v>
      </x:c>
      <x:c r="D1943" s="53" t="str">
        <x:v>Cativo</x:v>
      </x:c>
      <x:c r="E1943" s="49" t="n">
        <x:v>182.365</x:v>
      </x:c>
      <x:c r="F1943" s="52" t="n">
        <x:v>769</x:v>
      </x:c>
      <x:c r="G1943" s="54" t="n">
        <x:v>46220</x:v>
      </x:c>
      <x:c r="H1943" s="14" t="str">
        <x:f>IF(E1943&lt;0,"Componente negativo — manter e investigar","OK")</x:f>
        <x:v>OK</x:v>
      </x:c>
    </x:row>
    <x:row r="1944">
      <x:c r="A1944" s="51" t="n">
        <x:v>43983</x:v>
      </x:c>
      <x:c r="B1944" s="14" t="str">
        <x:v>Centro-Oeste</x:v>
      </x:c>
      <x:c r="C1944" s="14" t="str">
        <x:v>SUDESTE / CENTRO - OESTE</x:v>
      </x:c>
      <x:c r="D1944" s="53" t="str">
        <x:v>Cativo</x:v>
      </x:c>
      <x:c r="E1944" s="49" t="n">
        <x:v>961665.4460000001</x:v>
      </x:c>
      <x:c r="F1944" s="52" t="n">
        <x:v>5683259</x:v>
      </x:c>
      <x:c r="G1944" s="54" t="n">
        <x:v>46220</x:v>
      </x:c>
      <x:c r="H1944" s="14" t="str">
        <x:f>IF(E1944&lt;0,"Componente negativo — manter e investigar","OK")</x:f>
        <x:v>OK</x:v>
      </x:c>
    </x:row>
    <x:row r="1945">
      <x:c r="A1945" s="51" t="n">
        <x:v>43983</x:v>
      </x:c>
      <x:c r="B1945" s="14" t="str">
        <x:v>Nordeste</x:v>
      </x:c>
      <x:c r="C1945" s="14" t="str">
        <x:v>NORDESTE</x:v>
      </x:c>
      <x:c r="D1945" s="53" t="str">
        <x:v>Cativo</x:v>
      </x:c>
      <x:c r="E1945" s="49" t="n">
        <x:v>2128222.1720000003</x:v>
      </x:c>
      <x:c r="F1945" s="52" t="n">
        <x:v>17432932</x:v>
      </x:c>
      <x:c r="G1945" s="54" t="n">
        <x:v>46220</x:v>
      </x:c>
      <x:c r="H1945" s="14" t="str">
        <x:f>IF(E1945&lt;0,"Componente negativo — manter e investigar","OK")</x:f>
        <x:v>OK</x:v>
      </x:c>
    </x:row>
    <x:row r="1946">
      <x:c r="A1946" s="51" t="n">
        <x:v>43983</x:v>
      </x:c>
      <x:c r="B1946" s="14" t="str">
        <x:v>Nordeste</x:v>
      </x:c>
      <x:c r="C1946" s="14" t="str">
        <x:v>NORTE INTERLIGADO</x:v>
      </x:c>
      <x:c r="D1946" s="53" t="str">
        <x:v>Cativo</x:v>
      </x:c>
      <x:c r="E1946" s="49" t="n">
        <x:v>296056.367</x:v>
      </x:c>
      <x:c r="F1946" s="52" t="n">
        <x:v>2283594</x:v>
      </x:c>
      <x:c r="G1946" s="54" t="n">
        <x:v>46220</x:v>
      </x:c>
      <x:c r="H1946" s="14" t="str">
        <x:f>IF(E1946&lt;0,"Componente negativo — manter e investigar","OK")</x:f>
        <x:v>OK</x:v>
      </x:c>
    </x:row>
    <x:row r="1947">
      <x:c r="A1947" s="51" t="n">
        <x:v>43983</x:v>
      </x:c>
      <x:c r="B1947" s="14" t="str">
        <x:v>Nordeste</x:v>
      </x:c>
      <x:c r="C1947" s="14" t="str">
        <x:v>SISTEMAS ISOLADOS</x:v>
      </x:c>
      <x:c r="D1947" s="53" t="str">
        <x:v>Cativo</x:v>
      </x:c>
      <x:c r="E1947" s="49" t="n">
        <x:v>431</x:v>
      </x:c>
      <x:c r="F1947" s="52" t="n">
        <x:v>658</x:v>
      </x:c>
      <x:c r="G1947" s="54" t="n">
        <x:v>46220</x:v>
      </x:c>
      <x:c r="H1947" s="14" t="str">
        <x:f>IF(E1947&lt;0,"Componente negativo — manter e investigar","OK")</x:f>
        <x:v>OK</x:v>
      </x:c>
    </x:row>
    <x:row r="1948">
      <x:c r="A1948" s="51" t="n">
        <x:v>43983</x:v>
      </x:c>
      <x:c r="B1948" s="14" t="str">
        <x:v>Norte</x:v>
      </x:c>
      <x:c r="C1948" s="14" t="str">
        <x:v>NORTE INTERLIGADO</x:v>
      </x:c>
      <x:c r="D1948" s="53" t="str">
        <x:v>Cativo</x:v>
      </x:c>
      <x:c r="E1948" s="49" t="n">
        <x:v>583915.8709999999</x:v>
      </x:c>
      <x:c r="F1948" s="52" t="n">
        <x:v>3496671</x:v>
      </x:c>
      <x:c r="G1948" s="54" t="n">
        <x:v>46220</x:v>
      </x:c>
      <x:c r="H1948" s="14" t="str">
        <x:f>IF(E1948&lt;0,"Componente negativo — manter e investigar","OK")</x:f>
        <x:v>OK</x:v>
      </x:c>
    </x:row>
    <x:row r="1949">
      <x:c r="A1949" s="51" t="n">
        <x:v>43983</x:v>
      </x:c>
      <x:c r="B1949" s="14" t="str">
        <x:v>Norte</x:v>
      </x:c>
      <x:c r="C1949" s="14" t="str">
        <x:v>SISTEMAS ISOLADOS</x:v>
      </x:c>
      <x:c r="D1949" s="53" t="str">
        <x:v>Cativo</x:v>
      </x:c>
      <x:c r="E1949" s="49" t="n">
        <x:v>116597.22</x:v>
      </x:c>
      <x:c r="F1949" s="52" t="n">
        <x:v>637355</x:v>
      </x:c>
      <x:c r="G1949" s="54" t="n">
        <x:v>46220</x:v>
      </x:c>
      <x:c r="H1949" s="14" t="str">
        <x:f>IF(E1949&lt;0,"Componente negativo — manter e investigar","OK")</x:f>
        <x:v>OK</x:v>
      </x:c>
    </x:row>
    <x:row r="1950">
      <x:c r="A1950" s="51" t="n">
        <x:v>43983</x:v>
      </x:c>
      <x:c r="B1950" s="14" t="str">
        <x:v>Norte</x:v>
      </x:c>
      <x:c r="C1950" s="14" t="str">
        <x:v>SUDESTE / CENTRO - OESTE</x:v>
      </x:c>
      <x:c r="D1950" s="53" t="str">
        <x:v>Cativo</x:v>
      </x:c>
      <x:c r="E1950" s="49" t="n">
        <x:v>128848.429</x:v>
      </x:c>
      <x:c r="F1950" s="52" t="n">
        <x:v>563089</x:v>
      </x:c>
      <x:c r="G1950" s="54" t="n">
        <x:v>46220</x:v>
      </x:c>
      <x:c r="H1950" s="14" t="str">
        <x:f>IF(E1950&lt;0,"Componente negativo — manter e investigar","OK")</x:f>
        <x:v>OK</x:v>
      </x:c>
    </x:row>
    <x:row r="1951">
      <x:c r="A1951" s="51" t="n">
        <x:v>43983</x:v>
      </x:c>
      <x:c r="B1951" s="14" t="str">
        <x:v>Sudeste</x:v>
      </x:c>
      <x:c r="C1951" s="14" t="str">
        <x:v>SUDESTE / CENTRO - OESTE</x:v>
      </x:c>
      <x:c r="D1951" s="53" t="str">
        <x:v>Cativo</x:v>
      </x:c>
      <x:c r="E1951" s="49" t="n">
        <x:v>5357674.726999999</x:v>
      </x:c>
      <x:c r="F1951" s="52" t="n">
        <x:v>32748084</x:v>
      </x:c>
      <x:c r="G1951" s="54" t="n">
        <x:v>46220</x:v>
      </x:c>
      <x:c r="H1951" s="14" t="str">
        <x:f>IF(E1951&lt;0,"Componente negativo — manter e investigar","OK")</x:f>
        <x:v>OK</x:v>
      </x:c>
    </x:row>
    <x:row r="1952">
      <x:c r="A1952" s="51" t="n">
        <x:v>43983</x:v>
      </x:c>
      <x:c r="B1952" s="14" t="str">
        <x:v>Sudeste</x:v>
      </x:c>
      <x:c r="C1952" s="14" t="str">
        <x:v>SUDESTE / CENTRO - OESTE</x:v>
      </x:c>
      <x:c r="D1952" s="53" t="str">
        <x:v>Livre</x:v>
      </x:c>
      <x:c r="E1952" s="49" t="n">
        <x:v>495.741</x:v>
      </x:c>
      <x:c r="F1952" s="52" t="n">
        <x:v>1</x:v>
      </x:c>
      <x:c r="G1952" s="54" t="n">
        <x:v>46220</x:v>
      </x:c>
      <x:c r="H1952" s="14" t="str">
        <x:f>IF(E1952&lt;0,"Componente negativo — manter e investigar","OK")</x:f>
        <x:v>OK</x:v>
      </x:c>
    </x:row>
    <x:row r="1953">
      <x:c r="A1953" s="51" t="n">
        <x:v>43983</x:v>
      </x:c>
      <x:c r="B1953" s="14" t="str">
        <x:v>Sul</x:v>
      </x:c>
      <x:c r="C1953" s="14" t="str">
        <x:v>SUL</x:v>
      </x:c>
      <x:c r="D1953" s="53" t="str">
        <x:v>Cativo</x:v>
      </x:c>
      <x:c r="E1953" s="49" t="n">
        <x:v>1779342.659</x:v>
      </x:c>
      <x:c r="F1953" s="52" t="n">
        <x:v>10469397</x:v>
      </x:c>
      <x:c r="G1953" s="54" t="n">
        <x:v>46220</x:v>
      </x:c>
      <x:c r="H1953" s="14" t="str">
        <x:f>IF(E1953&lt;0,"Componente negativo — manter e investigar","OK")</x:f>
        <x:v>OK</x:v>
      </x:c>
    </x:row>
    <x:row r="1954">
      <x:c r="A1954" s="51" t="n">
        <x:v>44013</x:v>
      </x:c>
      <x:c r="B1954" s="14" t="str">
        <x:v>Centro-Oeste</x:v>
      </x:c>
      <x:c r="C1954" s="14" t="str">
        <x:v>SISTEMAS ISOLADOS</x:v>
      </x:c>
      <x:c r="D1954" s="53" t="str">
        <x:v>Cativo</x:v>
      </x:c>
      <x:c r="E1954" s="49" t="n">
        <x:v>201.019</x:v>
      </x:c>
      <x:c r="F1954" s="52" t="n">
        <x:v>770</x:v>
      </x:c>
      <x:c r="G1954" s="54" t="n">
        <x:v>46220</x:v>
      </x:c>
      <x:c r="H1954" s="14" t="str">
        <x:f>IF(E1954&lt;0,"Componente negativo — manter e investigar","OK")</x:f>
        <x:v>OK</x:v>
      </x:c>
    </x:row>
    <x:row r="1955">
      <x:c r="A1955" s="51" t="n">
        <x:v>44013</x:v>
      </x:c>
      <x:c r="B1955" s="14" t="str">
        <x:v>Centro-Oeste</x:v>
      </x:c>
      <x:c r="C1955" s="14" t="str">
        <x:v>SUDESTE / CENTRO - OESTE</x:v>
      </x:c>
      <x:c r="D1955" s="53" t="str">
        <x:v>Cativo</x:v>
      </x:c>
      <x:c r="E1955" s="49" t="n">
        <x:v>999691.9349999999</x:v>
      </x:c>
      <x:c r="F1955" s="52" t="n">
        <x:v>5692834</x:v>
      </x:c>
      <x:c r="G1955" s="54" t="n">
        <x:v>46220</x:v>
      </x:c>
      <x:c r="H1955" s="14" t="str">
        <x:f>IF(E1955&lt;0,"Componente negativo — manter e investigar","OK")</x:f>
        <x:v>OK</x:v>
      </x:c>
    </x:row>
    <x:row r="1956">
      <x:c r="A1956" s="51" t="n">
        <x:v>44013</x:v>
      </x:c>
      <x:c r="B1956" s="14" t="str">
        <x:v>Nordeste</x:v>
      </x:c>
      <x:c r="C1956" s="14" t="str">
        <x:v>NORDESTE</x:v>
      </x:c>
      <x:c r="D1956" s="53" t="str">
        <x:v>Cativo</x:v>
      </x:c>
      <x:c r="E1956" s="49" t="n">
        <x:v>2119892.1210000003</x:v>
      </x:c>
      <x:c r="F1956" s="52" t="n">
        <x:v>17416792</x:v>
      </x:c>
      <x:c r="G1956" s="54" t="n">
        <x:v>46220</x:v>
      </x:c>
      <x:c r="H1956" s="14" t="str">
        <x:f>IF(E1956&lt;0,"Componente negativo — manter e investigar","OK")</x:f>
        <x:v>OK</x:v>
      </x:c>
    </x:row>
    <x:row r="1957">
      <x:c r="A1957" s="51" t="n">
        <x:v>44013</x:v>
      </x:c>
      <x:c r="B1957" s="14" t="str">
        <x:v>Nordeste</x:v>
      </x:c>
      <x:c r="C1957" s="14" t="str">
        <x:v>NORTE INTERLIGADO</x:v>
      </x:c>
      <x:c r="D1957" s="53" t="str">
        <x:v>Cativo</x:v>
      </x:c>
      <x:c r="E1957" s="49" t="n">
        <x:v>300985.653</x:v>
      </x:c>
      <x:c r="F1957" s="52" t="n">
        <x:v>2280650</x:v>
      </x:c>
      <x:c r="G1957" s="54" t="n">
        <x:v>46220</x:v>
      </x:c>
      <x:c r="H1957" s="14" t="str">
        <x:f>IF(E1957&lt;0,"Componente negativo — manter e investigar","OK")</x:f>
        <x:v>OK</x:v>
      </x:c>
    </x:row>
    <x:row r="1958">
      <x:c r="A1958" s="51" t="n">
        <x:v>44013</x:v>
      </x:c>
      <x:c r="B1958" s="14" t="str">
        <x:v>Nordeste</x:v>
      </x:c>
      <x:c r="C1958" s="14" t="str">
        <x:v>SISTEMAS ISOLADOS</x:v>
      </x:c>
      <x:c r="D1958" s="53" t="str">
        <x:v>Cativo</x:v>
      </x:c>
      <x:c r="E1958" s="49" t="n">
        <x:v>397</x:v>
      </x:c>
      <x:c r="F1958" s="52" t="n">
        <x:v>657</x:v>
      </x:c>
      <x:c r="G1958" s="54" t="n">
        <x:v>46220</x:v>
      </x:c>
      <x:c r="H1958" s="14" t="str">
        <x:f>IF(E1958&lt;0,"Componente negativo — manter e investigar","OK")</x:f>
        <x:v>OK</x:v>
      </x:c>
    </x:row>
    <x:row r="1959">
      <x:c r="A1959" s="51" t="n">
        <x:v>44013</x:v>
      </x:c>
      <x:c r="B1959" s="14" t="str">
        <x:v>Norte</x:v>
      </x:c>
      <x:c r="C1959" s="14" t="str">
        <x:v>NORTE INTERLIGADO</x:v>
      </x:c>
      <x:c r="D1959" s="53" t="str">
        <x:v>Cativo</x:v>
      </x:c>
      <x:c r="E1959" s="49" t="n">
        <x:v>611716.016</x:v>
      </x:c>
      <x:c r="F1959" s="52" t="n">
        <x:v>3489310</x:v>
      </x:c>
      <x:c r="G1959" s="54" t="n">
        <x:v>46220</x:v>
      </x:c>
      <x:c r="H1959" s="14" t="str">
        <x:f>IF(E1959&lt;0,"Componente negativo — manter e investigar","OK")</x:f>
        <x:v>OK</x:v>
      </x:c>
    </x:row>
    <x:row r="1960">
      <x:c r="A1960" s="51" t="n">
        <x:v>44013</x:v>
      </x:c>
      <x:c r="B1960" s="14" t="str">
        <x:v>Norte</x:v>
      </x:c>
      <x:c r="C1960" s="14" t="str">
        <x:v>SISTEMAS ISOLADOS</x:v>
      </x:c>
      <x:c r="D1960" s="53" t="str">
        <x:v>Cativo</x:v>
      </x:c>
      <x:c r="E1960" s="49" t="n">
        <x:v>122061.852</x:v>
      </x:c>
      <x:c r="F1960" s="52" t="n">
        <x:v>664809</x:v>
      </x:c>
      <x:c r="G1960" s="54" t="n">
        <x:v>46220</x:v>
      </x:c>
      <x:c r="H1960" s="14" t="str">
        <x:f>IF(E1960&lt;0,"Componente negativo — manter e investigar","OK")</x:f>
        <x:v>OK</x:v>
      </x:c>
    </x:row>
    <x:row r="1961">
      <x:c r="A1961" s="51" t="n">
        <x:v>44013</x:v>
      </x:c>
      <x:c r="B1961" s="14" t="str">
        <x:v>Norte</x:v>
      </x:c>
      <x:c r="C1961" s="14" t="str">
        <x:v>SUDESTE / CENTRO - OESTE</x:v>
      </x:c>
      <x:c r="D1961" s="53" t="str">
        <x:v>Cativo</x:v>
      </x:c>
      <x:c r="E1961" s="49" t="n">
        <x:v>139448.31</x:v>
      </x:c>
      <x:c r="F1961" s="52" t="n">
        <x:v>611853</x:v>
      </x:c>
      <x:c r="G1961" s="54" t="n">
        <x:v>46220</x:v>
      </x:c>
      <x:c r="H1961" s="14" t="str">
        <x:f>IF(E1961&lt;0,"Componente negativo — manter e investigar","OK")</x:f>
        <x:v>OK</x:v>
      </x:c>
    </x:row>
    <x:row r="1962">
      <x:c r="A1962" s="51" t="n">
        <x:v>44013</x:v>
      </x:c>
      <x:c r="B1962" s="14" t="str">
        <x:v>Sudeste</x:v>
      </x:c>
      <x:c r="C1962" s="14" t="str">
        <x:v>SUDESTE / CENTRO - OESTE</x:v>
      </x:c>
      <x:c r="D1962" s="53" t="str">
        <x:v>Cativo</x:v>
      </x:c>
      <x:c r="E1962" s="49" t="n">
        <x:v>5448595.040000001</x:v>
      </x:c>
      <x:c r="F1962" s="52" t="n">
        <x:v>32917749</x:v>
      </x:c>
      <x:c r="G1962" s="54" t="n">
        <x:v>46220</x:v>
      </x:c>
      <x:c r="H1962" s="14" t="str">
        <x:f>IF(E1962&lt;0,"Componente negativo — manter e investigar","OK")</x:f>
        <x:v>OK</x:v>
      </x:c>
    </x:row>
    <x:row r="1963">
      <x:c r="A1963" s="51" t="n">
        <x:v>44013</x:v>
      </x:c>
      <x:c r="B1963" s="14" t="str">
        <x:v>Sudeste</x:v>
      </x:c>
      <x:c r="C1963" s="14" t="str">
        <x:v>SUDESTE / CENTRO - OESTE</x:v>
      </x:c>
      <x:c r="D1963" s="53" t="str">
        <x:v>Livre</x:v>
      </x:c>
      <x:c r="E1963" s="49" t="n">
        <x:v>290.066</x:v>
      </x:c>
      <x:c r="F1963" s="52" t="n">
        <x:v>1</x:v>
      </x:c>
      <x:c r="G1963" s="54" t="n">
        <x:v>46220</x:v>
      </x:c>
      <x:c r="H1963" s="14" t="str">
        <x:f>IF(E1963&lt;0,"Componente negativo — manter e investigar","OK")</x:f>
        <x:v>OK</x:v>
      </x:c>
    </x:row>
    <x:row r="1964">
      <x:c r="A1964" s="51" t="n">
        <x:v>44013</x:v>
      </x:c>
      <x:c r="B1964" s="14" t="str">
        <x:v>Sul</x:v>
      </x:c>
      <x:c r="C1964" s="14" t="str">
        <x:v>SUL</x:v>
      </x:c>
      <x:c r="D1964" s="53" t="str">
        <x:v>Cativo</x:v>
      </x:c>
      <x:c r="E1964" s="49" t="n">
        <x:v>1915802.036</x:v>
      </x:c>
      <x:c r="F1964" s="52" t="n">
        <x:v>10496721</x:v>
      </x:c>
      <x:c r="G1964" s="54" t="n">
        <x:v>46220</x:v>
      </x:c>
      <x:c r="H1964" s="14" t="str">
        <x:f>IF(E1964&lt;0,"Componente negativo — manter e investigar","OK")</x:f>
        <x:v>OK</x:v>
      </x:c>
    </x:row>
    <x:row r="1965">
      <x:c r="A1965" s="51" t="n">
        <x:v>44044</x:v>
      </x:c>
      <x:c r="B1965" s="14" t="str">
        <x:v>Centro-Oeste</x:v>
      </x:c>
      <x:c r="C1965" s="14" t="str">
        <x:v>SISTEMAS ISOLADOS</x:v>
      </x:c>
      <x:c r="D1965" s="53" t="str">
        <x:v>Cativo</x:v>
      </x:c>
      <x:c r="E1965" s="49" t="n">
        <x:v>188.162</x:v>
      </x:c>
      <x:c r="F1965" s="52" t="n">
        <x:v>789</x:v>
      </x:c>
      <x:c r="G1965" s="54" t="n">
        <x:v>46220</x:v>
      </x:c>
      <x:c r="H1965" s="14" t="str">
        <x:f>IF(E1965&lt;0,"Componente negativo — manter e investigar","OK")</x:f>
        <x:v>OK</x:v>
      </x:c>
    </x:row>
    <x:row r="1966">
      <x:c r="A1966" s="51" t="n">
        <x:v>44044</x:v>
      </x:c>
      <x:c r="B1966" s="14" t="str">
        <x:v>Centro-Oeste</x:v>
      </x:c>
      <x:c r="C1966" s="14" t="str">
        <x:v>SUDESTE / CENTRO - OESTE</x:v>
      </x:c>
      <x:c r="D1966" s="53" t="str">
        <x:v>Cativo</x:v>
      </x:c>
      <x:c r="E1966" s="49" t="n">
        <x:v>1050540.259</x:v>
      </x:c>
      <x:c r="F1966" s="52" t="n">
        <x:v>5727287</x:v>
      </x:c>
      <x:c r="G1966" s="54" t="n">
        <x:v>46220</x:v>
      </x:c>
      <x:c r="H1966" s="14" t="str">
        <x:f>IF(E1966&lt;0,"Componente negativo — manter e investigar","OK")</x:f>
        <x:v>OK</x:v>
      </x:c>
    </x:row>
    <x:row r="1967">
      <x:c r="A1967" s="51" t="n">
        <x:v>44044</x:v>
      </x:c>
      <x:c r="B1967" s="14" t="str">
        <x:v>Nordeste</x:v>
      </x:c>
      <x:c r="C1967" s="14" t="str">
        <x:v>NORDESTE</x:v>
      </x:c>
      <x:c r="D1967" s="53" t="str">
        <x:v>Cativo</x:v>
      </x:c>
      <x:c r="E1967" s="49" t="n">
        <x:v>2053441.0189999999</x:v>
      </x:c>
      <x:c r="F1967" s="52" t="n">
        <x:v>17499198</x:v>
      </x:c>
      <x:c r="G1967" s="54" t="n">
        <x:v>46220</x:v>
      </x:c>
      <x:c r="H1967" s="14" t="str">
        <x:f>IF(E1967&lt;0,"Componente negativo — manter e investigar","OK")</x:f>
        <x:v>OK</x:v>
      </x:c>
    </x:row>
    <x:row r="1968">
      <x:c r="A1968" s="51" t="n">
        <x:v>44044</x:v>
      </x:c>
      <x:c r="B1968" s="14" t="str">
        <x:v>Nordeste</x:v>
      </x:c>
      <x:c r="C1968" s="14" t="str">
        <x:v>NORTE INTERLIGADO</x:v>
      </x:c>
      <x:c r="D1968" s="53" t="str">
        <x:v>Cativo</x:v>
      </x:c>
      <x:c r="E1968" s="49" t="n">
        <x:v>300214.634</x:v>
      </x:c>
      <x:c r="F1968" s="52" t="n">
        <x:v>2284305</x:v>
      </x:c>
      <x:c r="G1968" s="54" t="n">
        <x:v>46220</x:v>
      </x:c>
      <x:c r="H1968" s="14" t="str">
        <x:f>IF(E1968&lt;0,"Componente negativo — manter e investigar","OK")</x:f>
        <x:v>OK</x:v>
      </x:c>
    </x:row>
    <x:row r="1969">
      <x:c r="A1969" s="51" t="n">
        <x:v>44044</x:v>
      </x:c>
      <x:c r="B1969" s="14" t="str">
        <x:v>Nordeste</x:v>
      </x:c>
      <x:c r="C1969" s="14" t="str">
        <x:v>SISTEMAS ISOLADOS</x:v>
      </x:c>
      <x:c r="D1969" s="53" t="str">
        <x:v>Cativo</x:v>
      </x:c>
      <x:c r="E1969" s="49" t="n">
        <x:v>387</x:v>
      </x:c>
      <x:c r="F1969" s="52" t="n">
        <x:v>658</x:v>
      </x:c>
      <x:c r="G1969" s="54" t="n">
        <x:v>46220</x:v>
      </x:c>
      <x:c r="H1969" s="14" t="str">
        <x:f>IF(E1969&lt;0,"Componente negativo — manter e investigar","OK")</x:f>
        <x:v>OK</x:v>
      </x:c>
    </x:row>
    <x:row r="1970">
      <x:c r="A1970" s="51" t="n">
        <x:v>44044</x:v>
      </x:c>
      <x:c r="B1970" s="14" t="str">
        <x:v>Norte</x:v>
      </x:c>
      <x:c r="C1970" s="14" t="str">
        <x:v>NORTE INTERLIGADO</x:v>
      </x:c>
      <x:c r="D1970" s="53" t="str">
        <x:v>Cativo</x:v>
      </x:c>
      <x:c r="E1970" s="49" t="n">
        <x:v>617252.0780000001</x:v>
      </x:c>
      <x:c r="F1970" s="52" t="n">
        <x:v>3501141</x:v>
      </x:c>
      <x:c r="G1970" s="54" t="n">
        <x:v>46220</x:v>
      </x:c>
      <x:c r="H1970" s="14" t="str">
        <x:f>IF(E1970&lt;0,"Componente negativo — manter e investigar","OK")</x:f>
        <x:v>OK</x:v>
      </x:c>
    </x:row>
    <x:row r="1971">
      <x:c r="A1971" s="51" t="n">
        <x:v>44044</x:v>
      </x:c>
      <x:c r="B1971" s="14" t="str">
        <x:v>Norte</x:v>
      </x:c>
      <x:c r="C1971" s="14" t="str">
        <x:v>SISTEMAS ISOLADOS</x:v>
      </x:c>
      <x:c r="D1971" s="53" t="str">
        <x:v>Cativo</x:v>
      </x:c>
      <x:c r="E1971" s="49" t="n">
        <x:v>125280.562</x:v>
      </x:c>
      <x:c r="F1971" s="52" t="n">
        <x:v>660778</x:v>
      </x:c>
      <x:c r="G1971" s="54" t="n">
        <x:v>46220</x:v>
      </x:c>
      <x:c r="H1971" s="14" t="str">
        <x:f>IF(E1971&lt;0,"Componente negativo — manter e investigar","OK")</x:f>
        <x:v>OK</x:v>
      </x:c>
    </x:row>
    <x:row r="1972">
      <x:c r="A1972" s="51" t="n">
        <x:v>44044</x:v>
      </x:c>
      <x:c r="B1972" s="14" t="str">
        <x:v>Norte</x:v>
      </x:c>
      <x:c r="C1972" s="14" t="str">
        <x:v>SUDESTE / CENTRO - OESTE</x:v>
      </x:c>
      <x:c r="D1972" s="53" t="str">
        <x:v>Cativo</x:v>
      </x:c>
      <x:c r="E1972" s="49" t="n">
        <x:v>153551.143</x:v>
      </x:c>
      <x:c r="F1972" s="52" t="n">
        <x:v>617215</x:v>
      </x:c>
      <x:c r="G1972" s="54" t="n">
        <x:v>46220</x:v>
      </x:c>
      <x:c r="H1972" s="14" t="str">
        <x:f>IF(E1972&lt;0,"Componente negativo — manter e investigar","OK")</x:f>
        <x:v>OK</x:v>
      </x:c>
    </x:row>
    <x:row r="1973">
      <x:c r="A1973" s="51" t="n">
        <x:v>44044</x:v>
      </x:c>
      <x:c r="B1973" s="14" t="str">
        <x:v>Sudeste</x:v>
      </x:c>
      <x:c r="C1973" s="14" t="str">
        <x:v>SUDESTE / CENTRO - OESTE</x:v>
      </x:c>
      <x:c r="D1973" s="53" t="str">
        <x:v>Cativo</x:v>
      </x:c>
      <x:c r="E1973" s="49" t="n">
        <x:v>5622322.197999998</x:v>
      </x:c>
      <x:c r="F1973" s="52" t="n">
        <x:v>33151714</x:v>
      </x:c>
      <x:c r="G1973" s="54" t="n">
        <x:v>46220</x:v>
      </x:c>
      <x:c r="H1973" s="14" t="str">
        <x:f>IF(E1973&lt;0,"Componente negativo — manter e investigar","OK")</x:f>
        <x:v>OK</x:v>
      </x:c>
    </x:row>
    <x:row r="1974">
      <x:c r="A1974" s="51" t="n">
        <x:v>44044</x:v>
      </x:c>
      <x:c r="B1974" s="14" t="str">
        <x:v>Sudeste</x:v>
      </x:c>
      <x:c r="C1974" s="14" t="str">
        <x:v>SUDESTE / CENTRO - OESTE</x:v>
      </x:c>
      <x:c r="D1974" s="53" t="str">
        <x:v>Livre</x:v>
      </x:c>
      <x:c r="E1974" s="49" t="n">
        <x:v>479.759</x:v>
      </x:c>
      <x:c r="F1974" s="52" t="n">
        <x:v>1</x:v>
      </x:c>
      <x:c r="G1974" s="54" t="n">
        <x:v>46220</x:v>
      </x:c>
      <x:c r="H1974" s="14" t="str">
        <x:f>IF(E1974&lt;0,"Componente negativo — manter e investigar","OK")</x:f>
        <x:v>OK</x:v>
      </x:c>
    </x:row>
    <x:row r="1975">
      <x:c r="A1975" s="51" t="n">
        <x:v>44044</x:v>
      </x:c>
      <x:c r="B1975" s="14" t="str">
        <x:v>Sul</x:v>
      </x:c>
      <x:c r="C1975" s="14" t="str">
        <x:v>SUL</x:v>
      </x:c>
      <x:c r="D1975" s="53" t="str">
        <x:v>Cativo</x:v>
      </x:c>
      <x:c r="E1975" s="49" t="n">
        <x:v>1879434.3869999999</x:v>
      </x:c>
      <x:c r="F1975" s="52" t="n">
        <x:v>10531949</x:v>
      </x:c>
      <x:c r="G1975" s="54" t="n">
        <x:v>46220</x:v>
      </x:c>
      <x:c r="H1975" s="14" t="str">
        <x:f>IF(E1975&lt;0,"Componente negativo — manter e investigar","OK")</x:f>
        <x:v>OK</x:v>
      </x:c>
    </x:row>
    <x:row r="1976">
      <x:c r="A1976" s="51" t="n">
        <x:v>44075</x:v>
      </x:c>
      <x:c r="B1976" s="14" t="str">
        <x:v>Centro-Oeste</x:v>
      </x:c>
      <x:c r="C1976" s="14" t="str">
        <x:v>SISTEMAS ISOLADOS</x:v>
      </x:c>
      <x:c r="D1976" s="53" t="str">
        <x:v>Cativo</x:v>
      </x:c>
      <x:c r="E1976" s="49" t="n">
        <x:v>209.802</x:v>
      </x:c>
      <x:c r="F1976" s="52" t="n">
        <x:v>802</x:v>
      </x:c>
      <x:c r="G1976" s="54" t="n">
        <x:v>46220</x:v>
      </x:c>
      <x:c r="H1976" s="14" t="str">
        <x:f>IF(E1976&lt;0,"Componente negativo — manter e investigar","OK")</x:f>
        <x:v>OK</x:v>
      </x:c>
    </x:row>
    <x:row r="1977">
      <x:c r="A1977" s="51" t="n">
        <x:v>44075</x:v>
      </x:c>
      <x:c r="B1977" s="14" t="str">
        <x:v>Centro-Oeste</x:v>
      </x:c>
      <x:c r="C1977" s="14" t="str">
        <x:v>SUDESTE / CENTRO - OESTE</x:v>
      </x:c>
      <x:c r="D1977" s="53" t="str">
        <x:v>Cativo</x:v>
      </x:c>
      <x:c r="E1977" s="49" t="n">
        <x:v>1154381.878</x:v>
      </x:c>
      <x:c r="F1977" s="52" t="n">
        <x:v>5742211</x:v>
      </x:c>
      <x:c r="G1977" s="54" t="n">
        <x:v>46220</x:v>
      </x:c>
      <x:c r="H1977" s="14" t="str">
        <x:f>IF(E1977&lt;0,"Componente negativo — manter e investigar","OK")</x:f>
        <x:v>OK</x:v>
      </x:c>
    </x:row>
    <x:row r="1978">
      <x:c r="A1978" s="51" t="n">
        <x:v>44075</x:v>
      </x:c>
      <x:c r="B1978" s="14" t="str">
        <x:v>Nordeste</x:v>
      </x:c>
      <x:c r="C1978" s="14" t="str">
        <x:v>NORDESTE</x:v>
      </x:c>
      <x:c r="D1978" s="53" t="str">
        <x:v>Cativo</x:v>
      </x:c>
      <x:c r="E1978" s="49" t="n">
        <x:v>2144376.7900000005</x:v>
      </x:c>
      <x:c r="F1978" s="52" t="n">
        <x:v>17507612</x:v>
      </x:c>
      <x:c r="G1978" s="54" t="n">
        <x:v>46220</x:v>
      </x:c>
      <x:c r="H1978" s="14" t="str">
        <x:f>IF(E1978&lt;0,"Componente negativo — manter e investigar","OK")</x:f>
        <x:v>OK</x:v>
      </x:c>
    </x:row>
    <x:row r="1979">
      <x:c r="A1979" s="51" t="n">
        <x:v>44075</x:v>
      </x:c>
      <x:c r="B1979" s="14" t="str">
        <x:v>Nordeste</x:v>
      </x:c>
      <x:c r="C1979" s="14" t="str">
        <x:v>NORTE INTERLIGADO</x:v>
      </x:c>
      <x:c r="D1979" s="53" t="str">
        <x:v>Cativo</x:v>
      </x:c>
      <x:c r="E1979" s="49" t="n">
        <x:v>313750.832</x:v>
      </x:c>
      <x:c r="F1979" s="52" t="n">
        <x:v>2292029</x:v>
      </x:c>
      <x:c r="G1979" s="54" t="n">
        <x:v>46220</x:v>
      </x:c>
      <x:c r="H1979" s="14" t="str">
        <x:f>IF(E1979&lt;0,"Componente negativo — manter e investigar","OK")</x:f>
        <x:v>OK</x:v>
      </x:c>
    </x:row>
    <x:row r="1980">
      <x:c r="A1980" s="51" t="n">
        <x:v>44075</x:v>
      </x:c>
      <x:c r="B1980" s="14" t="str">
        <x:v>Nordeste</x:v>
      </x:c>
      <x:c r="C1980" s="14" t="str">
        <x:v>SISTEMAS ISOLADOS</x:v>
      </x:c>
      <x:c r="D1980" s="53" t="str">
        <x:v>Cativo</x:v>
      </x:c>
      <x:c r="E1980" s="49" t="n">
        <x:v>436</x:v>
      </x:c>
      <x:c r="F1980" s="52" t="n">
        <x:v>656</x:v>
      </x:c>
      <x:c r="G1980" s="54" t="n">
        <x:v>46220</x:v>
      </x:c>
      <x:c r="H1980" s="14" t="str">
        <x:f>IF(E1980&lt;0,"Componente negativo — manter e investigar","OK")</x:f>
        <x:v>OK</x:v>
      </x:c>
    </x:row>
    <x:row r="1981">
      <x:c r="A1981" s="51" t="n">
        <x:v>44075</x:v>
      </x:c>
      <x:c r="B1981" s="14" t="str">
        <x:v>Norte</x:v>
      </x:c>
      <x:c r="C1981" s="14" t="str">
        <x:v>NORTE INTERLIGADO</x:v>
      </x:c>
      <x:c r="D1981" s="53" t="str">
        <x:v>Cativo</x:v>
      </x:c>
      <x:c r="E1981" s="49" t="n">
        <x:v>636541.4569999999</x:v>
      </x:c>
      <x:c r="F1981" s="52" t="n">
        <x:v>3515055</x:v>
      </x:c>
      <x:c r="G1981" s="54" t="n">
        <x:v>46220</x:v>
      </x:c>
      <x:c r="H1981" s="14" t="str">
        <x:f>IF(E1981&lt;0,"Componente negativo — manter e investigar","OK")</x:f>
        <x:v>OK</x:v>
      </x:c>
    </x:row>
    <x:row r="1982">
      <x:c r="A1982" s="51" t="n">
        <x:v>44075</x:v>
      </x:c>
      <x:c r="B1982" s="14" t="str">
        <x:v>Norte</x:v>
      </x:c>
      <x:c r="C1982" s="14" t="str">
        <x:v>SISTEMAS ISOLADOS</x:v>
      </x:c>
      <x:c r="D1982" s="53" t="str">
        <x:v>Cativo</x:v>
      </x:c>
      <x:c r="E1982" s="49" t="n">
        <x:v>136072.255</x:v>
      </x:c>
      <x:c r="F1982" s="52" t="n">
        <x:v>665772</x:v>
      </x:c>
      <x:c r="G1982" s="54" t="n">
        <x:v>46220</x:v>
      </x:c>
      <x:c r="H1982" s="14" t="str">
        <x:f>IF(E1982&lt;0,"Componente negativo — manter e investigar","OK")</x:f>
        <x:v>OK</x:v>
      </x:c>
    </x:row>
    <x:row r="1983">
      <x:c r="A1983" s="51" t="n">
        <x:v>44075</x:v>
      </x:c>
      <x:c r="B1983" s="14" t="str">
        <x:v>Norte</x:v>
      </x:c>
      <x:c r="C1983" s="14" t="str">
        <x:v>SUDESTE / CENTRO - OESTE</x:v>
      </x:c>
      <x:c r="D1983" s="53" t="str">
        <x:v>Cativo</x:v>
      </x:c>
      <x:c r="E1983" s="49" t="n">
        <x:v>169296.166</x:v>
      </x:c>
      <x:c r="F1983" s="52" t="n">
        <x:v>621680</x:v>
      </x:c>
      <x:c r="G1983" s="54" t="n">
        <x:v>46220</x:v>
      </x:c>
      <x:c r="H1983" s="14" t="str">
        <x:f>IF(E1983&lt;0,"Componente negativo — manter e investigar","OK")</x:f>
        <x:v>OK</x:v>
      </x:c>
    </x:row>
    <x:row r="1984">
      <x:c r="A1984" s="51" t="n">
        <x:v>44075</x:v>
      </x:c>
      <x:c r="B1984" s="14" t="str">
        <x:v>Sudeste</x:v>
      </x:c>
      <x:c r="C1984" s="14" t="str">
        <x:v>SUDESTE / CENTRO - OESTE</x:v>
      </x:c>
      <x:c r="D1984" s="53" t="str">
        <x:v>Cativo</x:v>
      </x:c>
      <x:c r="E1984" s="49" t="n">
        <x:v>5717009.3259999985</x:v>
      </x:c>
      <x:c r="F1984" s="52" t="n">
        <x:v>33162337</x:v>
      </x:c>
      <x:c r="G1984" s="54" t="n">
        <x:v>46220</x:v>
      </x:c>
      <x:c r="H1984" s="14" t="str">
        <x:f>IF(E1984&lt;0,"Componente negativo — manter e investigar","OK")</x:f>
        <x:v>OK</x:v>
      </x:c>
    </x:row>
    <x:row r="1985">
      <x:c r="A1985" s="51" t="n">
        <x:v>44075</x:v>
      </x:c>
      <x:c r="B1985" s="14" t="str">
        <x:v>Sudeste</x:v>
      </x:c>
      <x:c r="C1985" s="14" t="str">
        <x:v>SUDESTE / CENTRO - OESTE</x:v>
      </x:c>
      <x:c r="D1985" s="53" t="str">
        <x:v>Livre</x:v>
      </x:c>
      <x:c r="E1985" s="49" t="n">
        <x:v>397.602</x:v>
      </x:c>
      <x:c r="F1985" s="52" t="n">
        <x:v>1</x:v>
      </x:c>
      <x:c r="G1985" s="54" t="n">
        <x:v>46220</x:v>
      </x:c>
      <x:c r="H1985" s="14" t="str">
        <x:f>IF(E1985&lt;0,"Componente negativo — manter e investigar","OK")</x:f>
        <x:v>OK</x:v>
      </x:c>
    </x:row>
    <x:row r="1986">
      <x:c r="A1986" s="51" t="n">
        <x:v>44075</x:v>
      </x:c>
      <x:c r="B1986" s="14" t="str">
        <x:v>Sul</x:v>
      </x:c>
      <x:c r="C1986" s="14" t="str">
        <x:v>SUL</x:v>
      </x:c>
      <x:c r="D1986" s="53" t="str">
        <x:v>Cativo</x:v>
      </x:c>
      <x:c r="E1986" s="49" t="n">
        <x:v>1928535.7940000002</x:v>
      </x:c>
      <x:c r="F1986" s="52" t="n">
        <x:v>10566968</x:v>
      </x:c>
      <x:c r="G1986" s="54" t="n">
        <x:v>46220</x:v>
      </x:c>
      <x:c r="H1986" s="14" t="str">
        <x:f>IF(E1986&lt;0,"Componente negativo — manter e investigar","OK")</x:f>
        <x:v>OK</x:v>
      </x:c>
    </x:row>
    <x:row r="1987">
      <x:c r="A1987" s="51" t="n">
        <x:v>44105</x:v>
      </x:c>
      <x:c r="B1987" s="14" t="str">
        <x:v>Centro-Oeste</x:v>
      </x:c>
      <x:c r="C1987" s="14" t="str">
        <x:v>SISTEMAS ISOLADOS</x:v>
      </x:c>
      <x:c r="D1987" s="53" t="str">
        <x:v>Cativo</x:v>
      </x:c>
      <x:c r="E1987" s="49" t="n">
        <x:v>232.581</x:v>
      </x:c>
      <x:c r="F1987" s="52" t="n">
        <x:v>811</x:v>
      </x:c>
      <x:c r="G1987" s="54" t="n">
        <x:v>46220</x:v>
      </x:c>
      <x:c r="H1987" s="14" t="str">
        <x:f>IF(E1987&lt;0,"Componente negativo — manter e investigar","OK")</x:f>
        <x:v>OK</x:v>
      </x:c>
    </x:row>
    <x:row r="1988">
      <x:c r="A1988" s="51" t="n">
        <x:v>44105</x:v>
      </x:c>
      <x:c r="B1988" s="14" t="str">
        <x:v>Centro-Oeste</x:v>
      </x:c>
      <x:c r="C1988" s="14" t="str">
        <x:v>SUDESTE / CENTRO - OESTE</x:v>
      </x:c>
      <x:c r="D1988" s="53" t="str">
        <x:v>Cativo</x:v>
      </x:c>
      <x:c r="E1988" s="49" t="n">
        <x:v>1306373.027</x:v>
      </x:c>
      <x:c r="F1988" s="52" t="n">
        <x:v>5757717</x:v>
      </x:c>
      <x:c r="G1988" s="54" t="n">
        <x:v>46220</x:v>
      </x:c>
      <x:c r="H1988" s="14" t="str">
        <x:f>IF(E1988&lt;0,"Componente negativo — manter e investigar","OK")</x:f>
        <x:v>OK</x:v>
      </x:c>
    </x:row>
    <x:row r="1989">
      <x:c r="A1989" s="51" t="n">
        <x:v>44105</x:v>
      </x:c>
      <x:c r="B1989" s="14" t="str">
        <x:v>Nordeste</x:v>
      </x:c>
      <x:c r="C1989" s="14" t="str">
        <x:v>NORDESTE</x:v>
      </x:c>
      <x:c r="D1989" s="53" t="str">
        <x:v>Cativo</x:v>
      </x:c>
      <x:c r="E1989" s="49" t="n">
        <x:v>2297975.983</x:v>
      </x:c>
      <x:c r="F1989" s="52" t="n">
        <x:v>17540807</x:v>
      </x:c>
      <x:c r="G1989" s="54" t="n">
        <x:v>46220</x:v>
      </x:c>
      <x:c r="H1989" s="14" t="str">
        <x:f>IF(E1989&lt;0,"Componente negativo — manter e investigar","OK")</x:f>
        <x:v>OK</x:v>
      </x:c>
    </x:row>
    <x:row r="1990">
      <x:c r="A1990" s="51" t="n">
        <x:v>44105</x:v>
      </x:c>
      <x:c r="B1990" s="14" t="str">
        <x:v>Nordeste</x:v>
      </x:c>
      <x:c r="C1990" s="14" t="str">
        <x:v>NORTE INTERLIGADO</x:v>
      </x:c>
      <x:c r="D1990" s="53" t="str">
        <x:v>Cativo</x:v>
      </x:c>
      <x:c r="E1990" s="49" t="n">
        <x:v>329654.798</x:v>
      </x:c>
      <x:c r="F1990" s="52" t="n">
        <x:v>2311061</x:v>
      </x:c>
      <x:c r="G1990" s="54" t="n">
        <x:v>46220</x:v>
      </x:c>
      <x:c r="H1990" s="14" t="str">
        <x:f>IF(E1990&lt;0,"Componente negativo — manter e investigar","OK")</x:f>
        <x:v>OK</x:v>
      </x:c>
    </x:row>
    <x:row r="1991">
      <x:c r="A1991" s="51" t="n">
        <x:v>44105</x:v>
      </x:c>
      <x:c r="B1991" s="14" t="str">
        <x:v>Nordeste</x:v>
      </x:c>
      <x:c r="C1991" s="14" t="str">
        <x:v>SISTEMAS ISOLADOS</x:v>
      </x:c>
      <x:c r="D1991" s="53" t="str">
        <x:v>Cativo</x:v>
      </x:c>
      <x:c r="E1991" s="49" t="n">
        <x:v>398</x:v>
      </x:c>
      <x:c r="F1991" s="52" t="n">
        <x:v>657</x:v>
      </x:c>
      <x:c r="G1991" s="54" t="n">
        <x:v>46220</x:v>
      </x:c>
      <x:c r="H1991" s="14" t="str">
        <x:f>IF(E1991&lt;0,"Componente negativo — manter e investigar","OK")</x:f>
        <x:v>OK</x:v>
      </x:c>
    </x:row>
    <x:row r="1992">
      <x:c r="A1992" s="51" t="n">
        <x:v>44105</x:v>
      </x:c>
      <x:c r="B1992" s="14" t="str">
        <x:v>Norte</x:v>
      </x:c>
      <x:c r="C1992" s="14" t="str">
        <x:v>NORTE INTERLIGADO</x:v>
      </x:c>
      <x:c r="D1992" s="53" t="str">
        <x:v>Cativo</x:v>
      </x:c>
      <x:c r="E1992" s="49" t="n">
        <x:v>645352.67</x:v>
      </x:c>
      <x:c r="F1992" s="52" t="n">
        <x:v>3544115</x:v>
      </x:c>
      <x:c r="G1992" s="54" t="n">
        <x:v>46220</x:v>
      </x:c>
      <x:c r="H1992" s="14" t="str">
        <x:f>IF(E1992&lt;0,"Componente negativo — manter e investigar","OK")</x:f>
        <x:v>OK</x:v>
      </x:c>
    </x:row>
    <x:row r="1993">
      <x:c r="A1993" s="51" t="n">
        <x:v>44105</x:v>
      </x:c>
      <x:c r="B1993" s="14" t="str">
        <x:v>Norte</x:v>
      </x:c>
      <x:c r="C1993" s="14" t="str">
        <x:v>SISTEMAS ISOLADOS</x:v>
      </x:c>
      <x:c r="D1993" s="53" t="str">
        <x:v>Cativo</x:v>
      </x:c>
      <x:c r="E1993" s="49" t="n">
        <x:v>139182.251</x:v>
      </x:c>
      <x:c r="F1993" s="52" t="n">
        <x:v>675745</x:v>
      </x:c>
      <x:c r="G1993" s="54" t="n">
        <x:v>46220</x:v>
      </x:c>
      <x:c r="H1993" s="14" t="str">
        <x:f>IF(E1993&lt;0,"Componente negativo — manter e investigar","OK")</x:f>
        <x:v>OK</x:v>
      </x:c>
    </x:row>
    <x:row r="1994">
      <x:c r="A1994" s="51" t="n">
        <x:v>44105</x:v>
      </x:c>
      <x:c r="B1994" s="14" t="str">
        <x:v>Norte</x:v>
      </x:c>
      <x:c r="C1994" s="14" t="str">
        <x:v>SUDESTE / CENTRO - OESTE</x:v>
      </x:c>
      <x:c r="D1994" s="53" t="str">
        <x:v>Cativo</x:v>
      </x:c>
      <x:c r="E1994" s="49" t="n">
        <x:v>176488.598</x:v>
      </x:c>
      <x:c r="F1994" s="52" t="n">
        <x:v>623274</x:v>
      </x:c>
      <x:c r="G1994" s="54" t="n">
        <x:v>46220</x:v>
      </x:c>
      <x:c r="H1994" s="14" t="str">
        <x:f>IF(E1994&lt;0,"Componente negativo — manter e investigar","OK")</x:f>
        <x:v>OK</x:v>
      </x:c>
    </x:row>
    <x:row r="1995">
      <x:c r="A1995" s="51" t="n">
        <x:v>44105</x:v>
      </x:c>
      <x:c r="B1995" s="14" t="str">
        <x:v>Sudeste</x:v>
      </x:c>
      <x:c r="C1995" s="14" t="str">
        <x:v>SUDESTE / CENTRO - OESTE</x:v>
      </x:c>
      <x:c r="D1995" s="53" t="str">
        <x:v>Cativo</x:v>
      </x:c>
      <x:c r="E1995" s="49" t="n">
        <x:v>6200124.664000001</x:v>
      </x:c>
      <x:c r="F1995" s="52" t="n">
        <x:v>33191088</x:v>
      </x:c>
      <x:c r="G1995" s="54" t="n">
        <x:v>46220</x:v>
      </x:c>
      <x:c r="H1995" s="14" t="str">
        <x:f>IF(E1995&lt;0,"Componente negativo — manter e investigar","OK")</x:f>
        <x:v>OK</x:v>
      </x:c>
    </x:row>
    <x:row r="1996">
      <x:c r="A1996" s="51" t="n">
        <x:v>44105</x:v>
      </x:c>
      <x:c r="B1996" s="14" t="str">
        <x:v>Sudeste</x:v>
      </x:c>
      <x:c r="C1996" s="14" t="str">
        <x:v>SUDESTE / CENTRO - OESTE</x:v>
      </x:c>
      <x:c r="D1996" s="53" t="str">
        <x:v>Livre</x:v>
      </x:c>
      <x:c r="E1996" s="49" t="n">
        <x:v>391.856</x:v>
      </x:c>
      <x:c r="F1996" s="52" t="n">
        <x:v>1</x:v>
      </x:c>
      <x:c r="G1996" s="54" t="n">
        <x:v>46220</x:v>
      </x:c>
      <x:c r="H1996" s="14" t="str">
        <x:f>IF(E1996&lt;0,"Componente negativo — manter e investigar","OK")</x:f>
        <x:v>OK</x:v>
      </x:c>
    </x:row>
    <x:row r="1997">
      <x:c r="A1997" s="51" t="n">
        <x:v>44105</x:v>
      </x:c>
      <x:c r="B1997" s="14" t="str">
        <x:v>Sul</x:v>
      </x:c>
      <x:c r="C1997" s="14" t="str">
        <x:v>SUL</x:v>
      </x:c>
      <x:c r="D1997" s="53" t="str">
        <x:v>Cativo</x:v>
      </x:c>
      <x:c r="E1997" s="49" t="n">
        <x:v>1953028.2710000002</x:v>
      </x:c>
      <x:c r="F1997" s="52" t="n">
        <x:v>10592143</x:v>
      </x:c>
      <x:c r="G1997" s="54" t="n">
        <x:v>46220</x:v>
      </x:c>
      <x:c r="H1997" s="14" t="str">
        <x:f>IF(E1997&lt;0,"Componente negativo — manter e investigar","OK")</x:f>
        <x:v>OK</x:v>
      </x:c>
    </x:row>
    <x:row r="1998">
      <x:c r="A1998" s="51" t="n">
        <x:v>44136</x:v>
      </x:c>
      <x:c r="B1998" s="14" t="str">
        <x:v>Centro-Oeste</x:v>
      </x:c>
      <x:c r="C1998" s="14" t="str">
        <x:v>SISTEMAS ISOLADOS</x:v>
      </x:c>
      <x:c r="D1998" s="53" t="str">
        <x:v>Cativo</x:v>
      </x:c>
      <x:c r="E1998" s="49" t="n">
        <x:v>227.948</x:v>
      </x:c>
      <x:c r="F1998" s="52" t="n">
        <x:v>825</x:v>
      </x:c>
      <x:c r="G1998" s="54" t="n">
        <x:v>46220</x:v>
      </x:c>
      <x:c r="H1998" s="14" t="str">
        <x:f>IF(E1998&lt;0,"Componente negativo — manter e investigar","OK")</x:f>
        <x:v>OK</x:v>
      </x:c>
    </x:row>
    <x:row r="1999">
      <x:c r="A1999" s="51" t="n">
        <x:v>44136</x:v>
      </x:c>
      <x:c r="B1999" s="14" t="str">
        <x:v>Centro-Oeste</x:v>
      </x:c>
      <x:c r="C1999" s="14" t="str">
        <x:v>SUDESTE / CENTRO - OESTE</x:v>
      </x:c>
      <x:c r="D1999" s="53" t="str">
        <x:v>Cativo</x:v>
      </x:c>
      <x:c r="E1999" s="49" t="n">
        <x:v>1221329.99</x:v>
      </x:c>
      <x:c r="F1999" s="52" t="n">
        <x:v>5771728</x:v>
      </x:c>
      <x:c r="G1999" s="54" t="n">
        <x:v>46220</x:v>
      </x:c>
      <x:c r="H1999" s="14" t="str">
        <x:f>IF(E1999&lt;0,"Componente negativo — manter e investigar","OK")</x:f>
        <x:v>OK</x:v>
      </x:c>
    </x:row>
    <x:row r="2000">
      <x:c r="A2000" s="51" t="n">
        <x:v>44136</x:v>
      </x:c>
      <x:c r="B2000" s="14" t="str">
        <x:v>Nordeste</x:v>
      </x:c>
      <x:c r="C2000" s="14" t="str">
        <x:v>NORDESTE</x:v>
      </x:c>
      <x:c r="D2000" s="53" t="str">
        <x:v>Cativo</x:v>
      </x:c>
      <x:c r="E2000" s="49" t="n">
        <x:v>2355467.6659999997</x:v>
      </x:c>
      <x:c r="F2000" s="52" t="n">
        <x:v>17593629</x:v>
      </x:c>
      <x:c r="G2000" s="54" t="n">
        <x:v>46220</x:v>
      </x:c>
      <x:c r="H2000" s="14" t="str">
        <x:f>IF(E2000&lt;0,"Componente negativo — manter e investigar","OK")</x:f>
        <x:v>OK</x:v>
      </x:c>
    </x:row>
    <x:row r="2001">
      <x:c r="A2001" s="51" t="n">
        <x:v>44136</x:v>
      </x:c>
      <x:c r="B2001" s="14" t="str">
        <x:v>Nordeste</x:v>
      </x:c>
      <x:c r="C2001" s="14" t="str">
        <x:v>NORTE INTERLIGADO</x:v>
      </x:c>
      <x:c r="D2001" s="53" t="str">
        <x:v>Cativo</x:v>
      </x:c>
      <x:c r="E2001" s="49" t="n">
        <x:v>324119.523</x:v>
      </x:c>
      <x:c r="F2001" s="52" t="n">
        <x:v>2306418</x:v>
      </x:c>
      <x:c r="G2001" s="54" t="n">
        <x:v>46220</x:v>
      </x:c>
      <x:c r="H2001" s="14" t="str">
        <x:f>IF(E2001&lt;0,"Componente negativo — manter e investigar","OK")</x:f>
        <x:v>OK</x:v>
      </x:c>
    </x:row>
    <x:row r="2002">
      <x:c r="A2002" s="51" t="n">
        <x:v>44136</x:v>
      </x:c>
      <x:c r="B2002" s="14" t="str">
        <x:v>Nordeste</x:v>
      </x:c>
      <x:c r="C2002" s="14" t="str">
        <x:v>SISTEMAS ISOLADOS</x:v>
      </x:c>
      <x:c r="D2002" s="53" t="str">
        <x:v>Cativo</x:v>
      </x:c>
      <x:c r="E2002" s="49" t="n">
        <x:v>501</x:v>
      </x:c>
      <x:c r="F2002" s="52" t="n">
        <x:v>660</x:v>
      </x:c>
      <x:c r="G2002" s="54" t="n">
        <x:v>46220</x:v>
      </x:c>
      <x:c r="H2002" s="14" t="str">
        <x:f>IF(E2002&lt;0,"Componente negativo — manter e investigar","OK")</x:f>
        <x:v>OK</x:v>
      </x:c>
    </x:row>
    <x:row r="2003">
      <x:c r="A2003" s="51" t="n">
        <x:v>44136</x:v>
      </x:c>
      <x:c r="B2003" s="14" t="str">
        <x:v>Norte</x:v>
      </x:c>
      <x:c r="C2003" s="14" t="str">
        <x:v>NORTE INTERLIGADO</x:v>
      </x:c>
      <x:c r="D2003" s="53" t="str">
        <x:v>Cativo</x:v>
      </x:c>
      <x:c r="E2003" s="49" t="n">
        <x:v>627895.939</x:v>
      </x:c>
      <x:c r="F2003" s="52" t="n">
        <x:v>3551952</x:v>
      </x:c>
      <x:c r="G2003" s="54" t="n">
        <x:v>46220</x:v>
      </x:c>
      <x:c r="H2003" s="14" t="str">
        <x:f>IF(E2003&lt;0,"Componente negativo — manter e investigar","OK")</x:f>
        <x:v>OK</x:v>
      </x:c>
    </x:row>
    <x:row r="2004">
      <x:c r="A2004" s="51" t="n">
        <x:v>44136</x:v>
      </x:c>
      <x:c r="B2004" s="14" t="str">
        <x:v>Norte</x:v>
      </x:c>
      <x:c r="C2004" s="14" t="str">
        <x:v>SISTEMAS ISOLADOS</x:v>
      </x:c>
      <x:c r="D2004" s="53" t="str">
        <x:v>Cativo</x:v>
      </x:c>
      <x:c r="E2004" s="49" t="n">
        <x:v>136693.997</x:v>
      </x:c>
      <x:c r="F2004" s="52" t="n">
        <x:v>672047</x:v>
      </x:c>
      <x:c r="G2004" s="54" t="n">
        <x:v>46220</x:v>
      </x:c>
      <x:c r="H2004" s="14" t="str">
        <x:f>IF(E2004&lt;0,"Componente negativo — manter e investigar","OK")</x:f>
        <x:v>OK</x:v>
      </x:c>
    </x:row>
    <x:row r="2005">
      <x:c r="A2005" s="51" t="n">
        <x:v>44136</x:v>
      </x:c>
      <x:c r="B2005" s="14" t="str">
        <x:v>Norte</x:v>
      </x:c>
      <x:c r="C2005" s="14" t="str">
        <x:v>SUDESTE / CENTRO - OESTE</x:v>
      </x:c>
      <x:c r="D2005" s="53" t="str">
        <x:v>Cativo</x:v>
      </x:c>
      <x:c r="E2005" s="49" t="n">
        <x:v>161441.033</x:v>
      </x:c>
      <x:c r="F2005" s="52" t="n">
        <x:v>623290</x:v>
      </x:c>
      <x:c r="G2005" s="54" t="n">
        <x:v>46220</x:v>
      </x:c>
      <x:c r="H2005" s="14" t="str">
        <x:f>IF(E2005&lt;0,"Componente negativo — manter e investigar","OK")</x:f>
        <x:v>OK</x:v>
      </x:c>
    </x:row>
    <x:row r="2006">
      <x:c r="A2006" s="51" t="n">
        <x:v>44136</x:v>
      </x:c>
      <x:c r="B2006" s="14" t="str">
        <x:v>Sudeste</x:v>
      </x:c>
      <x:c r="C2006" s="14" t="str">
        <x:v>SUDESTE / CENTRO - OESTE</x:v>
      </x:c>
      <x:c r="D2006" s="53" t="str">
        <x:v>Cativo</x:v>
      </x:c>
      <x:c r="E2006" s="49" t="n">
        <x:v>5960106.972</x:v>
      </x:c>
      <x:c r="F2006" s="52" t="n">
        <x:v>33181432</x:v>
      </x:c>
      <x:c r="G2006" s="54" t="n">
        <x:v>46220</x:v>
      </x:c>
      <x:c r="H2006" s="14" t="str">
        <x:f>IF(E2006&lt;0,"Componente negativo — manter e investigar","OK")</x:f>
        <x:v>OK</x:v>
      </x:c>
    </x:row>
    <x:row r="2007">
      <x:c r="A2007" s="51" t="n">
        <x:v>44136</x:v>
      </x:c>
      <x:c r="B2007" s="14" t="str">
        <x:v>Sudeste</x:v>
      </x:c>
      <x:c r="C2007" s="14" t="str">
        <x:v>SUDESTE / CENTRO - OESTE</x:v>
      </x:c>
      <x:c r="D2007" s="53" t="str">
        <x:v>Livre</x:v>
      </x:c>
      <x:c r="E2007" s="49" t="n">
        <x:v>438.219</x:v>
      </x:c>
      <x:c r="F2007" s="52" t="n">
        <x:v>1</x:v>
      </x:c>
      <x:c r="G2007" s="54" t="n">
        <x:v>46220</x:v>
      </x:c>
      <x:c r="H2007" s="14" t="str">
        <x:f>IF(E2007&lt;0,"Componente negativo — manter e investigar","OK")</x:f>
        <x:v>OK</x:v>
      </x:c>
    </x:row>
    <x:row r="2008">
      <x:c r="A2008" s="51" t="n">
        <x:v>44136</x:v>
      </x:c>
      <x:c r="B2008" s="14" t="str">
        <x:v>Sul</x:v>
      </x:c>
      <x:c r="C2008" s="14" t="str">
        <x:v>SUL</x:v>
      </x:c>
      <x:c r="D2008" s="53" t="str">
        <x:v>Cativo</x:v>
      </x:c>
      <x:c r="E2008" s="49" t="n">
        <x:v>1950981.2470000002</x:v>
      </x:c>
      <x:c r="F2008" s="52" t="n">
        <x:v>10617205</x:v>
      </x:c>
      <x:c r="G2008" s="54" t="n">
        <x:v>46220</x:v>
      </x:c>
      <x:c r="H2008" s="14" t="str">
        <x:f>IF(E2008&lt;0,"Componente negativo — manter e investigar","OK")</x:f>
        <x:v>OK</x:v>
      </x:c>
    </x:row>
    <x:row r="2009">
      <x:c r="A2009" s="51" t="n">
        <x:v>44166</x:v>
      </x:c>
      <x:c r="B2009" s="14" t="str">
        <x:v>Centro-Oeste</x:v>
      </x:c>
      <x:c r="C2009" s="14" t="str">
        <x:v>SISTEMAS ISOLADOS</x:v>
      </x:c>
      <x:c r="D2009" s="53" t="str">
        <x:v>Cativo</x:v>
      </x:c>
      <x:c r="E2009" s="49" t="n">
        <x:v>232.711</x:v>
      </x:c>
      <x:c r="F2009" s="52" t="n">
        <x:v>832</x:v>
      </x:c>
      <x:c r="G2009" s="54" t="n">
        <x:v>46220</x:v>
      </x:c>
      <x:c r="H2009" s="14" t="str">
        <x:f>IF(E2009&lt;0,"Componente negativo — manter e investigar","OK")</x:f>
        <x:v>OK</x:v>
      </x:c>
    </x:row>
    <x:row r="2010">
      <x:c r="A2010" s="51" t="n">
        <x:v>44166</x:v>
      </x:c>
      <x:c r="B2010" s="14" t="str">
        <x:v>Centro-Oeste</x:v>
      </x:c>
      <x:c r="C2010" s="14" t="str">
        <x:v>SUDESTE / CENTRO - OESTE</x:v>
      </x:c>
      <x:c r="D2010" s="53" t="str">
        <x:v>Cativo</x:v>
      </x:c>
      <x:c r="E2010" s="49" t="n">
        <x:v>1219347.629</x:v>
      </x:c>
      <x:c r="F2010" s="52" t="n">
        <x:v>5780398</x:v>
      </x:c>
      <x:c r="G2010" s="54" t="n">
        <x:v>46220</x:v>
      </x:c>
      <x:c r="H2010" s="14" t="str">
        <x:f>IF(E2010&lt;0,"Componente negativo — manter e investigar","OK")</x:f>
        <x:v>OK</x:v>
      </x:c>
    </x:row>
    <x:row r="2011">
      <x:c r="A2011" s="51" t="n">
        <x:v>44166</x:v>
      </x:c>
      <x:c r="B2011" s="14" t="str">
        <x:v>Nordeste</x:v>
      </x:c>
      <x:c r="C2011" s="14" t="str">
        <x:v>NORDESTE</x:v>
      </x:c>
      <x:c r="D2011" s="53" t="str">
        <x:v>Cativo</x:v>
      </x:c>
      <x:c r="E2011" s="49" t="n">
        <x:v>2419179.496</x:v>
      </x:c>
      <x:c r="F2011" s="52" t="n">
        <x:v>17619463</x:v>
      </x:c>
      <x:c r="G2011" s="54" t="n">
        <x:v>46220</x:v>
      </x:c>
      <x:c r="H2011" s="14" t="str">
        <x:f>IF(E2011&lt;0,"Componente negativo — manter e investigar","OK")</x:f>
        <x:v>OK</x:v>
      </x:c>
    </x:row>
    <x:row r="2012">
      <x:c r="A2012" s="51" t="n">
        <x:v>44166</x:v>
      </x:c>
      <x:c r="B2012" s="14" t="str">
        <x:v>Nordeste</x:v>
      </x:c>
      <x:c r="C2012" s="14" t="str">
        <x:v>NORTE INTERLIGADO</x:v>
      </x:c>
      <x:c r="D2012" s="53" t="str">
        <x:v>Cativo</x:v>
      </x:c>
      <x:c r="E2012" s="49" t="n">
        <x:v>321667.265</x:v>
      </x:c>
      <x:c r="F2012" s="52" t="n">
        <x:v>2308962</x:v>
      </x:c>
      <x:c r="G2012" s="54" t="n">
        <x:v>46220</x:v>
      </x:c>
      <x:c r="H2012" s="14" t="str">
        <x:f>IF(E2012&lt;0,"Componente negativo — manter e investigar","OK")</x:f>
        <x:v>OK</x:v>
      </x:c>
    </x:row>
    <x:row r="2013">
      <x:c r="A2013" s="51" t="n">
        <x:v>44166</x:v>
      </x:c>
      <x:c r="B2013" s="14" t="str">
        <x:v>Nordeste</x:v>
      </x:c>
      <x:c r="C2013" s="14" t="str">
        <x:v>SISTEMAS ISOLADOS</x:v>
      </x:c>
      <x:c r="D2013" s="53" t="str">
        <x:v>Cativo</x:v>
      </x:c>
      <x:c r="E2013" s="49" t="n">
        <x:v>597</x:v>
      </x:c>
      <x:c r="F2013" s="52" t="n">
        <x:v>660</x:v>
      </x:c>
      <x:c r="G2013" s="54" t="n">
        <x:v>46220</x:v>
      </x:c>
      <x:c r="H2013" s="14" t="str">
        <x:f>IF(E2013&lt;0,"Componente negativo — manter e investigar","OK")</x:f>
        <x:v>OK</x:v>
      </x:c>
    </x:row>
    <x:row r="2014">
      <x:c r="A2014" s="51" t="n">
        <x:v>44166</x:v>
      </x:c>
      <x:c r="B2014" s="14" t="str">
        <x:v>Norte</x:v>
      </x:c>
      <x:c r="C2014" s="14" t="str">
        <x:v>NORTE INTERLIGADO</x:v>
      </x:c>
      <x:c r="D2014" s="53" t="str">
        <x:v>Cativo</x:v>
      </x:c>
      <x:c r="E2014" s="49" t="n">
        <x:v>548603.645</x:v>
      </x:c>
      <x:c r="F2014" s="52" t="n">
        <x:v>3530233</x:v>
      </x:c>
      <x:c r="G2014" s="54" t="n">
        <x:v>46220</x:v>
      </x:c>
      <x:c r="H2014" s="14" t="str">
        <x:f>IF(E2014&lt;0,"Componente negativo — manter e investigar","OK")</x:f>
        <x:v>OK</x:v>
      </x:c>
    </x:row>
    <x:row r="2015">
      <x:c r="A2015" s="51" t="n">
        <x:v>44166</x:v>
      </x:c>
      <x:c r="B2015" s="14" t="str">
        <x:v>Norte</x:v>
      </x:c>
      <x:c r="C2015" s="14" t="str">
        <x:v>SISTEMAS ISOLADOS</x:v>
      </x:c>
      <x:c r="D2015" s="53" t="str">
        <x:v>Cativo</x:v>
      </x:c>
      <x:c r="E2015" s="49" t="n">
        <x:v>134231.05</x:v>
      </x:c>
      <x:c r="F2015" s="52" t="n">
        <x:v>673937</x:v>
      </x:c>
      <x:c r="G2015" s="54" t="n">
        <x:v>46220</x:v>
      </x:c>
      <x:c r="H2015" s="14" t="str">
        <x:f>IF(E2015&lt;0,"Componente negativo — manter e investigar","OK")</x:f>
        <x:v>OK</x:v>
      </x:c>
    </x:row>
    <x:row r="2016">
      <x:c r="A2016" s="51" t="n">
        <x:v>44166</x:v>
      </x:c>
      <x:c r="B2016" s="14" t="str">
        <x:v>Norte</x:v>
      </x:c>
      <x:c r="C2016" s="14" t="str">
        <x:v>SUDESTE / CENTRO - OESTE</x:v>
      </x:c>
      <x:c r="D2016" s="53" t="str">
        <x:v>Cativo</x:v>
      </x:c>
      <x:c r="E2016" s="49" t="n">
        <x:v>174032.865</x:v>
      </x:c>
      <x:c r="F2016" s="52" t="n">
        <x:v>663898</x:v>
      </x:c>
      <x:c r="G2016" s="54" t="n">
        <x:v>46220</x:v>
      </x:c>
      <x:c r="H2016" s="14" t="str">
        <x:f>IF(E2016&lt;0,"Componente negativo — manter e investigar","OK")</x:f>
        <x:v>OK</x:v>
      </x:c>
    </x:row>
    <x:row r="2017">
      <x:c r="A2017" s="51" t="n">
        <x:v>44166</x:v>
      </x:c>
      <x:c r="B2017" s="14" t="str">
        <x:v>Sudeste</x:v>
      </x:c>
      <x:c r="C2017" s="14" t="str">
        <x:v>SUDESTE / CENTRO - OESTE</x:v>
      </x:c>
      <x:c r="D2017" s="53" t="str">
        <x:v>Cativo</x:v>
      </x:c>
      <x:c r="E2017" s="49" t="n">
        <x:v>6341511.3149999995</x:v>
      </x:c>
      <x:c r="F2017" s="52" t="n">
        <x:v>33325739</x:v>
      </x:c>
      <x:c r="G2017" s="54" t="n">
        <x:v>46220</x:v>
      </x:c>
      <x:c r="H2017" s="14" t="str">
        <x:f>IF(E2017&lt;0,"Componente negativo — manter e investigar","OK")</x:f>
        <x:v>OK</x:v>
      </x:c>
    </x:row>
    <x:row r="2018">
      <x:c r="A2018" s="51" t="n">
        <x:v>44166</x:v>
      </x:c>
      <x:c r="B2018" s="14" t="str">
        <x:v>Sudeste</x:v>
      </x:c>
      <x:c r="C2018" s="14" t="str">
        <x:v>SUDESTE / CENTRO - OESTE</x:v>
      </x:c>
      <x:c r="D2018" s="53" t="str">
        <x:v>Livre</x:v>
      </x:c>
      <x:c r="E2018" s="49" t="n">
        <x:v>278.54</x:v>
      </x:c>
      <x:c r="F2018" s="52" t="n">
        <x:v>1</x:v>
      </x:c>
      <x:c r="G2018" s="54" t="n">
        <x:v>46220</x:v>
      </x:c>
      <x:c r="H2018" s="14" t="str">
        <x:f>IF(E2018&lt;0,"Componente negativo — manter e investigar","OK")</x:f>
        <x:v>OK</x:v>
      </x:c>
    </x:row>
    <x:row r="2019">
      <x:c r="A2019" s="51" t="n">
        <x:v>44166</x:v>
      </x:c>
      <x:c r="B2019" s="14" t="str">
        <x:v>Sul</x:v>
      </x:c>
      <x:c r="C2019" s="14" t="str">
        <x:v>SUL</x:v>
      </x:c>
      <x:c r="D2019" s="53" t="str">
        <x:v>Cativo</x:v>
      </x:c>
      <x:c r="E2019" s="49" t="n">
        <x:v>2116828.2600000002</x:v>
      </x:c>
      <x:c r="F2019" s="52" t="n">
        <x:v>10645484</x:v>
      </x:c>
      <x:c r="G2019" s="54" t="n">
        <x:v>46220</x:v>
      </x:c>
      <x:c r="H2019" s="14" t="str">
        <x:f>IF(E2019&lt;0,"Componente negativo — manter e investigar","OK")</x:f>
        <x:v>OK</x:v>
      </x:c>
    </x:row>
    <x:row r="2020">
      <x:c r="A2020" s="51" t="n">
        <x:v>44197</x:v>
      </x:c>
      <x:c r="B2020" s="14" t="str">
        <x:v>Centro-Oeste</x:v>
      </x:c>
      <x:c r="C2020" s="14" t="str">
        <x:v>SISTEMAS ISOLADOS</x:v>
      </x:c>
      <x:c r="D2020" s="53" t="str">
        <x:v>Cativo</x:v>
      </x:c>
      <x:c r="E2020" s="49" t="n">
        <x:v>182.433</x:v>
      </x:c>
      <x:c r="F2020" s="52" t="n">
        <x:v>832</x:v>
      </x:c>
      <x:c r="G2020" s="54" t="n">
        <x:v>46220</x:v>
      </x:c>
      <x:c r="H2020" s="14" t="str">
        <x:f>IF(E2020&lt;0,"Componente negativo — manter e investigar","OK")</x:f>
        <x:v>OK</x:v>
      </x:c>
    </x:row>
    <x:row r="2021">
      <x:c r="A2021" s="51" t="n">
        <x:v>44197</x:v>
      </x:c>
      <x:c r="B2021" s="14" t="str">
        <x:v>Centro-Oeste</x:v>
      </x:c>
      <x:c r="C2021" s="14" t="str">
        <x:v>SUDESTE / CENTRO - OESTE</x:v>
      </x:c>
      <x:c r="D2021" s="53" t="str">
        <x:v>Cativo</x:v>
      </x:c>
      <x:c r="E2021" s="49" t="n">
        <x:v>1183447.7650000001</x:v>
      </x:c>
      <x:c r="F2021" s="52" t="n">
        <x:v>5830494</x:v>
      </x:c>
      <x:c r="G2021" s="54" t="n">
        <x:v>46220</x:v>
      </x:c>
      <x:c r="H2021" s="14" t="str">
        <x:f>IF(E2021&lt;0,"Componente negativo — manter e investigar","OK")</x:f>
        <x:v>OK</x:v>
      </x:c>
    </x:row>
    <x:row r="2022">
      <x:c r="A2022" s="51" t="n">
        <x:v>44197</x:v>
      </x:c>
      <x:c r="B2022" s="14" t="str">
        <x:v>Nordeste</x:v>
      </x:c>
      <x:c r="C2022" s="14" t="str">
        <x:v>NORDESTE</x:v>
      </x:c>
      <x:c r="D2022" s="53" t="str">
        <x:v>Cativo</x:v>
      </x:c>
      <x:c r="E2022" s="49" t="n">
        <x:v>2459723.949</x:v>
      </x:c>
      <x:c r="F2022" s="52" t="n">
        <x:v>17694459</x:v>
      </x:c>
      <x:c r="G2022" s="54" t="n">
        <x:v>46220</x:v>
      </x:c>
      <x:c r="H2022" s="14" t="str">
        <x:f>IF(E2022&lt;0,"Componente negativo — manter e investigar","OK")</x:f>
        <x:v>OK</x:v>
      </x:c>
    </x:row>
    <x:row r="2023">
      <x:c r="A2023" s="51" t="n">
        <x:v>44197</x:v>
      </x:c>
      <x:c r="B2023" s="14" t="str">
        <x:v>Nordeste</x:v>
      </x:c>
      <x:c r="C2023" s="14" t="str">
        <x:v>NORTE INTERLIGADO</x:v>
      </x:c>
      <x:c r="D2023" s="53" t="str">
        <x:v>Cativo</x:v>
      </x:c>
      <x:c r="E2023" s="49" t="n">
        <x:v>302886.491</x:v>
      </x:c>
      <x:c r="F2023" s="52" t="n">
        <x:v>2298706</x:v>
      </x:c>
      <x:c r="G2023" s="54" t="n">
        <x:v>46220</x:v>
      </x:c>
      <x:c r="H2023" s="14" t="str">
        <x:f>IF(E2023&lt;0,"Componente negativo — manter e investigar","OK")</x:f>
        <x:v>OK</x:v>
      </x:c>
    </x:row>
    <x:row r="2024">
      <x:c r="A2024" s="51" t="n">
        <x:v>44197</x:v>
      </x:c>
      <x:c r="B2024" s="14" t="str">
        <x:v>Nordeste</x:v>
      </x:c>
      <x:c r="C2024" s="14" t="str">
        <x:v>SISTEMAS ISOLADOS</x:v>
      </x:c>
      <x:c r="D2024" s="53" t="str">
        <x:v>Cativo</x:v>
      </x:c>
      <x:c r="E2024" s="49" t="n">
        <x:v>635</x:v>
      </x:c>
      <x:c r="F2024" s="52" t="n">
        <x:v>661</x:v>
      </x:c>
      <x:c r="G2024" s="54" t="n">
        <x:v>46220</x:v>
      </x:c>
      <x:c r="H2024" s="14" t="str">
        <x:f>IF(E2024&lt;0,"Componente negativo — manter e investigar","OK")</x:f>
        <x:v>OK</x:v>
      </x:c>
    </x:row>
    <x:row r="2025">
      <x:c r="A2025" s="51" t="n">
        <x:v>44197</x:v>
      </x:c>
      <x:c r="B2025" s="14" t="str">
        <x:v>Norte</x:v>
      </x:c>
      <x:c r="C2025" s="14" t="str">
        <x:v>NORTE INTERLIGADO</x:v>
      </x:c>
      <x:c r="D2025" s="53" t="str">
        <x:v>Cativo</x:v>
      </x:c>
      <x:c r="E2025" s="49" t="n">
        <x:v>571087.965</x:v>
      </x:c>
      <x:c r="F2025" s="52" t="n">
        <x:v>3551362</x:v>
      </x:c>
      <x:c r="G2025" s="54" t="n">
        <x:v>46220</x:v>
      </x:c>
      <x:c r="H2025" s="14" t="str">
        <x:f>IF(E2025&lt;0,"Componente negativo — manter e investigar","OK")</x:f>
        <x:v>OK</x:v>
      </x:c>
    </x:row>
    <x:row r="2026">
      <x:c r="A2026" s="51" t="n">
        <x:v>44197</x:v>
      </x:c>
      <x:c r="B2026" s="14" t="str">
        <x:v>Norte</x:v>
      </x:c>
      <x:c r="C2026" s="14" t="str">
        <x:v>SISTEMAS ISOLADOS</x:v>
      </x:c>
      <x:c r="D2026" s="53" t="str">
        <x:v>Cativo</x:v>
      </x:c>
      <x:c r="E2026" s="49" t="n">
        <x:v>120069.274</x:v>
      </x:c>
      <x:c r="F2026" s="52" t="n">
        <x:v>668030</x:v>
      </x:c>
      <x:c r="G2026" s="54" t="n">
        <x:v>46220</x:v>
      </x:c>
      <x:c r="H2026" s="14" t="str">
        <x:f>IF(E2026&lt;0,"Componente negativo — manter e investigar","OK")</x:f>
        <x:v>OK</x:v>
      </x:c>
    </x:row>
    <x:row r="2027">
      <x:c r="A2027" s="51" t="n">
        <x:v>44197</x:v>
      </x:c>
      <x:c r="B2027" s="14" t="str">
        <x:v>Norte</x:v>
      </x:c>
      <x:c r="C2027" s="14" t="str">
        <x:v>SUDESTE / CENTRO - OESTE</x:v>
      </x:c>
      <x:c r="D2027" s="53" t="str">
        <x:v>Cativo</x:v>
      </x:c>
      <x:c r="E2027" s="49" t="n">
        <x:v>138162.686</x:v>
      </x:c>
      <x:c r="F2027" s="52" t="n">
        <x:v>621205</x:v>
      </x:c>
      <x:c r="G2027" s="54" t="n">
        <x:v>46220</x:v>
      </x:c>
      <x:c r="H2027" s="14" t="str">
        <x:f>IF(E2027&lt;0,"Componente negativo — manter e investigar","OK")</x:f>
        <x:v>OK</x:v>
      </x:c>
    </x:row>
    <x:row r="2028">
      <x:c r="A2028" s="51" t="n">
        <x:v>44197</x:v>
      </x:c>
      <x:c r="B2028" s="14" t="str">
        <x:v>Sudeste</x:v>
      </x:c>
      <x:c r="C2028" s="14" t="str">
        <x:v>SUDESTE / CENTRO - OESTE</x:v>
      </x:c>
      <x:c r="D2028" s="53" t="str">
        <x:v>Cativo</x:v>
      </x:c>
      <x:c r="E2028" s="49" t="n">
        <x:v>6555907.059</x:v>
      </x:c>
      <x:c r="F2028" s="52" t="n">
        <x:v>33404260</x:v>
      </x:c>
      <x:c r="G2028" s="54" t="n">
        <x:v>46220</x:v>
      </x:c>
      <x:c r="H2028" s="14" t="str">
        <x:f>IF(E2028&lt;0,"Componente negativo — manter e investigar","OK")</x:f>
        <x:v>OK</x:v>
      </x:c>
    </x:row>
    <x:row r="2029">
      <x:c r="A2029" s="51" t="n">
        <x:v>44197</x:v>
      </x:c>
      <x:c r="B2029" s="14" t="str">
        <x:v>Sudeste</x:v>
      </x:c>
      <x:c r="C2029" s="14" t="str">
        <x:v>SUDESTE / CENTRO - OESTE</x:v>
      </x:c>
      <x:c r="D2029" s="53" t="str">
        <x:v>Livre</x:v>
      </x:c>
      <x:c r="E2029" s="49" t="n">
        <x:v>470</x:v>
      </x:c>
      <x:c r="F2029" s="52" t="n">
        <x:v>1</x:v>
      </x:c>
      <x:c r="G2029" s="54" t="n">
        <x:v>46220</x:v>
      </x:c>
      <x:c r="H2029" s="14" t="str">
        <x:f>IF(E2029&lt;0,"Componente negativo — manter e investigar","OK")</x:f>
        <x:v>OK</x:v>
      </x:c>
    </x:row>
    <x:row r="2030">
      <x:c r="A2030" s="51" t="n">
        <x:v>44197</x:v>
      </x:c>
      <x:c r="B2030" s="14" t="str">
        <x:v>Sul</x:v>
      </x:c>
      <x:c r="C2030" s="14" t="str">
        <x:v>SUL</x:v>
      </x:c>
      <x:c r="D2030" s="53" t="str">
        <x:v>Cativo</x:v>
      </x:c>
      <x:c r="E2030" s="49" t="n">
        <x:v>2273434.202</x:v>
      </x:c>
      <x:c r="F2030" s="52" t="n">
        <x:v>10669347</x:v>
      </x:c>
      <x:c r="G2030" s="54" t="n">
        <x:v>46220</x:v>
      </x:c>
      <x:c r="H2030" s="14" t="str">
        <x:f>IF(E2030&lt;0,"Componente negativo — manter e investigar","OK")</x:f>
        <x:v>OK</x:v>
      </x:c>
    </x:row>
    <x:row r="2031">
      <x:c r="A2031" s="51" t="n">
        <x:v>44228</x:v>
      </x:c>
      <x:c r="B2031" s="14" t="str">
        <x:v>Centro-Oeste</x:v>
      </x:c>
      <x:c r="C2031" s="14" t="str">
        <x:v>SISTEMAS ISOLADOS</x:v>
      </x:c>
      <x:c r="D2031" s="53" t="str">
        <x:v>Cativo</x:v>
      </x:c>
      <x:c r="E2031" s="49" t="n">
        <x:v>198.198</x:v>
      </x:c>
      <x:c r="F2031" s="52" t="n">
        <x:v>837</x:v>
      </x:c>
      <x:c r="G2031" s="54" t="n">
        <x:v>46220</x:v>
      </x:c>
      <x:c r="H2031" s="14" t="str">
        <x:f>IF(E2031&lt;0,"Componente negativo — manter e investigar","OK")</x:f>
        <x:v>OK</x:v>
      </x:c>
    </x:row>
    <x:row r="2032">
      <x:c r="A2032" s="51" t="n">
        <x:v>44228</x:v>
      </x:c>
      <x:c r="B2032" s="14" t="str">
        <x:v>Centro-Oeste</x:v>
      </x:c>
      <x:c r="C2032" s="14" t="str">
        <x:v>SUDESTE / CENTRO - OESTE</x:v>
      </x:c>
      <x:c r="D2032" s="53" t="str">
        <x:v>Cativo</x:v>
      </x:c>
      <x:c r="E2032" s="49" t="n">
        <x:v>1098887.46</x:v>
      </x:c>
      <x:c r="F2032" s="52" t="n">
        <x:v>5858574</x:v>
      </x:c>
      <x:c r="G2032" s="54" t="n">
        <x:v>46220</x:v>
      </x:c>
      <x:c r="H2032" s="14" t="str">
        <x:f>IF(E2032&lt;0,"Componente negativo — manter e investigar","OK")</x:f>
        <x:v>OK</x:v>
      </x:c>
    </x:row>
    <x:row r="2033">
      <x:c r="A2033" s="51" t="n">
        <x:v>44228</x:v>
      </x:c>
      <x:c r="B2033" s="14" t="str">
        <x:v>Nordeste</x:v>
      </x:c>
      <x:c r="C2033" s="14" t="str">
        <x:v>NORDESTE</x:v>
      </x:c>
      <x:c r="D2033" s="53" t="str">
        <x:v>Cativo</x:v>
      </x:c>
      <x:c r="E2033" s="49" t="n">
        <x:v>2333855.039</x:v>
      </x:c>
      <x:c r="F2033" s="52" t="n">
        <x:v>17773575</x:v>
      </x:c>
      <x:c r="G2033" s="54" t="n">
        <x:v>46220</x:v>
      </x:c>
      <x:c r="H2033" s="14" t="str">
        <x:f>IF(E2033&lt;0,"Componente negativo — manter e investigar","OK")</x:f>
        <x:v>OK</x:v>
      </x:c>
    </x:row>
    <x:row r="2034">
      <x:c r="A2034" s="51" t="n">
        <x:v>44228</x:v>
      </x:c>
      <x:c r="B2034" s="14" t="str">
        <x:v>Nordeste</x:v>
      </x:c>
      <x:c r="C2034" s="14" t="str">
        <x:v>NORTE INTERLIGADO</x:v>
      </x:c>
      <x:c r="D2034" s="53" t="str">
        <x:v>Cativo</x:v>
      </x:c>
      <x:c r="E2034" s="49" t="n">
        <x:v>288998.48</x:v>
      </x:c>
      <x:c r="F2034" s="52" t="n">
        <x:v>2299051</x:v>
      </x:c>
      <x:c r="G2034" s="54" t="n">
        <x:v>46220</x:v>
      </x:c>
      <x:c r="H2034" s="14" t="str">
        <x:f>IF(E2034&lt;0,"Componente negativo — manter e investigar","OK")</x:f>
        <x:v>OK</x:v>
      </x:c>
    </x:row>
    <x:row r="2035">
      <x:c r="A2035" s="51" t="n">
        <x:v>44228</x:v>
      </x:c>
      <x:c r="B2035" s="14" t="str">
        <x:v>Nordeste</x:v>
      </x:c>
      <x:c r="C2035" s="14" t="str">
        <x:v>SISTEMAS ISOLADOS</x:v>
      </x:c>
      <x:c r="D2035" s="53" t="str">
        <x:v>Cativo</x:v>
      </x:c>
      <x:c r="E2035" s="49" t="n">
        <x:v>640</x:v>
      </x:c>
      <x:c r="F2035" s="52" t="n">
        <x:v>663</x:v>
      </x:c>
      <x:c r="G2035" s="54" t="n">
        <x:v>46220</x:v>
      </x:c>
      <x:c r="H2035" s="14" t="str">
        <x:f>IF(E2035&lt;0,"Componente negativo — manter e investigar","OK")</x:f>
        <x:v>OK</x:v>
      </x:c>
    </x:row>
    <x:row r="2036">
      <x:c r="A2036" s="51" t="n">
        <x:v>44228</x:v>
      </x:c>
      <x:c r="B2036" s="14" t="str">
        <x:v>Norte</x:v>
      </x:c>
      <x:c r="C2036" s="14" t="str">
        <x:v>NORTE INTERLIGADO</x:v>
      </x:c>
      <x:c r="D2036" s="53" t="str">
        <x:v>Cativo</x:v>
      </x:c>
      <x:c r="E2036" s="49" t="n">
        <x:v>547812.735</x:v>
      </x:c>
      <x:c r="F2036" s="52" t="n">
        <x:v>3550034</x:v>
      </x:c>
      <x:c r="G2036" s="54" t="n">
        <x:v>46220</x:v>
      </x:c>
      <x:c r="H2036" s="14" t="str">
        <x:f>IF(E2036&lt;0,"Componente negativo — manter e investigar","OK")</x:f>
        <x:v>OK</x:v>
      </x:c>
    </x:row>
    <x:row r="2037">
      <x:c r="A2037" s="51" t="n">
        <x:v>44228</x:v>
      </x:c>
      <x:c r="B2037" s="14" t="str">
        <x:v>Norte</x:v>
      </x:c>
      <x:c r="C2037" s="14" t="str">
        <x:v>SISTEMAS ISOLADOS</x:v>
      </x:c>
      <x:c r="D2037" s="53" t="str">
        <x:v>Cativo</x:v>
      </x:c>
      <x:c r="E2037" s="49" t="n">
        <x:v>116921.677</x:v>
      </x:c>
      <x:c r="F2037" s="52" t="n">
        <x:v>669473</x:v>
      </x:c>
      <x:c r="G2037" s="54" t="n">
        <x:v>46220</x:v>
      </x:c>
      <x:c r="H2037" s="14" t="str">
        <x:f>IF(E2037&lt;0,"Componente negativo — manter e investigar","OK")</x:f>
        <x:v>OK</x:v>
      </x:c>
    </x:row>
    <x:row r="2038">
      <x:c r="A2038" s="51" t="n">
        <x:v>44228</x:v>
      </x:c>
      <x:c r="B2038" s="14" t="str">
        <x:v>Norte</x:v>
      </x:c>
      <x:c r="C2038" s="14" t="str">
        <x:v>SUDESTE / CENTRO - OESTE</x:v>
      </x:c>
      <x:c r="D2038" s="53" t="str">
        <x:v>Cativo</x:v>
      </x:c>
      <x:c r="E2038" s="49" t="n">
        <x:v>133531.434</x:v>
      </x:c>
      <x:c r="F2038" s="52" t="n">
        <x:v>621282</x:v>
      </x:c>
      <x:c r="G2038" s="54" t="n">
        <x:v>46220</x:v>
      </x:c>
      <x:c r="H2038" s="14" t="str">
        <x:f>IF(E2038&lt;0,"Componente negativo — manter e investigar","OK")</x:f>
        <x:v>OK</x:v>
      </x:c>
    </x:row>
    <x:row r="2039">
      <x:c r="A2039" s="51" t="n">
        <x:v>44228</x:v>
      </x:c>
      <x:c r="B2039" s="14" t="str">
        <x:v>Sudeste</x:v>
      </x:c>
      <x:c r="C2039" s="14" t="str">
        <x:v>SUDESTE / CENTRO - OESTE</x:v>
      </x:c>
      <x:c r="D2039" s="53" t="str">
        <x:v>Cativo</x:v>
      </x:c>
      <x:c r="E2039" s="49" t="n">
        <x:v>6191767.717</x:v>
      </x:c>
      <x:c r="F2039" s="52" t="n">
        <x:v>33267835</x:v>
      </x:c>
      <x:c r="G2039" s="54" t="n">
        <x:v>46220</x:v>
      </x:c>
      <x:c r="H2039" s="14" t="str">
        <x:f>IF(E2039&lt;0,"Componente negativo — manter e investigar","OK")</x:f>
        <x:v>OK</x:v>
      </x:c>
    </x:row>
    <x:row r="2040">
      <x:c r="A2040" s="51" t="n">
        <x:v>44228</x:v>
      </x:c>
      <x:c r="B2040" s="14" t="str">
        <x:v>Sudeste</x:v>
      </x:c>
      <x:c r="C2040" s="14" t="str">
        <x:v>SUDESTE / CENTRO - OESTE</x:v>
      </x:c>
      <x:c r="D2040" s="53" t="str">
        <x:v>Livre</x:v>
      </x:c>
      <x:c r="E2040" s="49" t="n">
        <x:v>262</x:v>
      </x:c>
      <x:c r="F2040" s="52" t="n">
        <x:v>1</x:v>
      </x:c>
      <x:c r="G2040" s="54" t="n">
        <x:v>46220</x:v>
      </x:c>
      <x:c r="H2040" s="14" t="str">
        <x:f>IF(E2040&lt;0,"Componente negativo — manter e investigar","OK")</x:f>
        <x:v>OK</x:v>
      </x:c>
    </x:row>
    <x:row r="2041">
      <x:c r="A2041" s="51" t="n">
        <x:v>44228</x:v>
      </x:c>
      <x:c r="B2041" s="14" t="str">
        <x:v>Sul</x:v>
      </x:c>
      <x:c r="C2041" s="14" t="str">
        <x:v>SUL</x:v>
      </x:c>
      <x:c r="D2041" s="53" t="str">
        <x:v>Cativo</x:v>
      </x:c>
      <x:c r="E2041" s="49" t="n">
        <x:v>2119584.542</x:v>
      </x:c>
      <x:c r="F2041" s="52" t="n">
        <x:v>10686343</x:v>
      </x:c>
      <x:c r="G2041" s="54" t="n">
        <x:v>46220</x:v>
      </x:c>
      <x:c r="H2041" s="14" t="str">
        <x:f>IF(E2041&lt;0,"Componente negativo — manter e investigar","OK")</x:f>
        <x:v>OK</x:v>
      </x:c>
    </x:row>
    <x:row r="2042">
      <x:c r="A2042" s="51" t="n">
        <x:v>44256</x:v>
      </x:c>
      <x:c r="B2042" s="14" t="str">
        <x:v>Centro-Oeste</x:v>
      </x:c>
      <x:c r="C2042" s="14" t="str">
        <x:v>SISTEMAS ISOLADOS</x:v>
      </x:c>
      <x:c r="D2042" s="53" t="str">
        <x:v>Cativo</x:v>
      </x:c>
      <x:c r="E2042" s="49" t="n">
        <x:v>198.728</x:v>
      </x:c>
      <x:c r="F2042" s="52" t="n">
        <x:v>845</x:v>
      </x:c>
      <x:c r="G2042" s="54" t="n">
        <x:v>46220</x:v>
      </x:c>
      <x:c r="H2042" s="14" t="str">
        <x:f>IF(E2042&lt;0,"Componente negativo — manter e investigar","OK")</x:f>
        <x:v>OK</x:v>
      </x:c>
    </x:row>
    <x:row r="2043">
      <x:c r="A2043" s="51" t="n">
        <x:v>44256</x:v>
      </x:c>
      <x:c r="B2043" s="14" t="str">
        <x:v>Centro-Oeste</x:v>
      </x:c>
      <x:c r="C2043" s="14" t="str">
        <x:v>SUDESTE / CENTRO - OESTE</x:v>
      </x:c>
      <x:c r="D2043" s="53" t="str">
        <x:v>Cativo</x:v>
      </x:c>
      <x:c r="E2043" s="49" t="n">
        <x:v>1150655.564</x:v>
      </x:c>
      <x:c r="F2043" s="52" t="n">
        <x:v>5865383</x:v>
      </x:c>
      <x:c r="G2043" s="54" t="n">
        <x:v>46220</x:v>
      </x:c>
      <x:c r="H2043" s="14" t="str">
        <x:f>IF(E2043&lt;0,"Componente negativo — manter e investigar","OK")</x:f>
        <x:v>OK</x:v>
      </x:c>
    </x:row>
    <x:row r="2044">
      <x:c r="A2044" s="51" t="n">
        <x:v>44256</x:v>
      </x:c>
      <x:c r="B2044" s="14" t="str">
        <x:v>Nordeste</x:v>
      </x:c>
      <x:c r="C2044" s="14" t="str">
        <x:v>NORDESTE</x:v>
      </x:c>
      <x:c r="D2044" s="53" t="str">
        <x:v>Cativo</x:v>
      </x:c>
      <x:c r="E2044" s="49" t="n">
        <x:v>2444179.223</x:v>
      </x:c>
      <x:c r="F2044" s="52" t="n">
        <x:v>17802835</x:v>
      </x:c>
      <x:c r="G2044" s="54" t="n">
        <x:v>46220</x:v>
      </x:c>
      <x:c r="H2044" s="14" t="str">
        <x:f>IF(E2044&lt;0,"Componente negativo — manter e investigar","OK")</x:f>
        <x:v>OK</x:v>
      </x:c>
    </x:row>
    <x:row r="2045">
      <x:c r="A2045" s="51" t="n">
        <x:v>44256</x:v>
      </x:c>
      <x:c r="B2045" s="14" t="str">
        <x:v>Nordeste</x:v>
      </x:c>
      <x:c r="C2045" s="14" t="str">
        <x:v>NORTE INTERLIGADO</x:v>
      </x:c>
      <x:c r="D2045" s="53" t="str">
        <x:v>Cativo</x:v>
      </x:c>
      <x:c r="E2045" s="49" t="n">
        <x:v>286653.567</x:v>
      </x:c>
      <x:c r="F2045" s="52" t="n">
        <x:v>2304459</x:v>
      </x:c>
      <x:c r="G2045" s="54" t="n">
        <x:v>46220</x:v>
      </x:c>
      <x:c r="H2045" s="14" t="str">
        <x:f>IF(E2045&lt;0,"Componente negativo — manter e investigar","OK")</x:f>
        <x:v>OK</x:v>
      </x:c>
    </x:row>
    <x:row r="2046">
      <x:c r="A2046" s="51" t="n">
        <x:v>44256</x:v>
      </x:c>
      <x:c r="B2046" s="14" t="str">
        <x:v>Nordeste</x:v>
      </x:c>
      <x:c r="C2046" s="14" t="str">
        <x:v>SISTEMAS ISOLADOS</x:v>
      </x:c>
      <x:c r="D2046" s="53" t="str">
        <x:v>Cativo</x:v>
      </x:c>
      <x:c r="E2046" s="49" t="n">
        <x:v>743</x:v>
      </x:c>
      <x:c r="F2046" s="52" t="n">
        <x:v>661</x:v>
      </x:c>
      <x:c r="G2046" s="54" t="n">
        <x:v>46220</x:v>
      </x:c>
      <x:c r="H2046" s="14" t="str">
        <x:f>IF(E2046&lt;0,"Componente negativo — manter e investigar","OK")</x:f>
        <x:v>OK</x:v>
      </x:c>
    </x:row>
    <x:row r="2047">
      <x:c r="A2047" s="51" t="n">
        <x:v>44256</x:v>
      </x:c>
      <x:c r="B2047" s="14" t="str">
        <x:v>Norte</x:v>
      </x:c>
      <x:c r="C2047" s="14" t="str">
        <x:v>NORTE INTERLIGADO</x:v>
      </x:c>
      <x:c r="D2047" s="53" t="str">
        <x:v>Cativo</x:v>
      </x:c>
      <x:c r="E2047" s="49" t="n">
        <x:v>550806.522</x:v>
      </x:c>
      <x:c r="F2047" s="52" t="n">
        <x:v>3558593</x:v>
      </x:c>
      <x:c r="G2047" s="54" t="n">
        <x:v>46220</x:v>
      </x:c>
      <x:c r="H2047" s="14" t="str">
        <x:f>IF(E2047&lt;0,"Componente negativo — manter e investigar","OK")</x:f>
        <x:v>OK</x:v>
      </x:c>
    </x:row>
    <x:row r="2048">
      <x:c r="A2048" s="51" t="n">
        <x:v>44256</x:v>
      </x:c>
      <x:c r="B2048" s="14" t="str">
        <x:v>Norte</x:v>
      </x:c>
      <x:c r="C2048" s="14" t="str">
        <x:v>SISTEMAS ISOLADOS</x:v>
      </x:c>
      <x:c r="D2048" s="53" t="str">
        <x:v>Cativo</x:v>
      </x:c>
      <x:c r="E2048" s="49" t="n">
        <x:v>118445.136</x:v>
      </x:c>
      <x:c r="F2048" s="52" t="n">
        <x:v>669181</x:v>
      </x:c>
      <x:c r="G2048" s="54" t="n">
        <x:v>46220</x:v>
      </x:c>
      <x:c r="H2048" s="14" t="str">
        <x:f>IF(E2048&lt;0,"Componente negativo — manter e investigar","OK")</x:f>
        <x:v>OK</x:v>
      </x:c>
    </x:row>
    <x:row r="2049">
      <x:c r="A2049" s="51" t="n">
        <x:v>44256</x:v>
      </x:c>
      <x:c r="B2049" s="14" t="str">
        <x:v>Norte</x:v>
      </x:c>
      <x:c r="C2049" s="14" t="str">
        <x:v>SUDESTE / CENTRO - OESTE</x:v>
      </x:c>
      <x:c r="D2049" s="53" t="str">
        <x:v>Cativo</x:v>
      </x:c>
      <x:c r="E2049" s="49" t="n">
        <x:v>142297.396</x:v>
      </x:c>
      <x:c r="F2049" s="52" t="n">
        <x:v>620470</x:v>
      </x:c>
      <x:c r="G2049" s="54" t="n">
        <x:v>46220</x:v>
      </x:c>
      <x:c r="H2049" s="14" t="str">
        <x:f>IF(E2049&lt;0,"Componente negativo — manter e investigar","OK")</x:f>
        <x:v>OK</x:v>
      </x:c>
    </x:row>
    <x:row r="2050">
      <x:c r="A2050" s="51" t="n">
        <x:v>44256</x:v>
      </x:c>
      <x:c r="B2050" s="14" t="str">
        <x:v>Sudeste</x:v>
      </x:c>
      <x:c r="C2050" s="14" t="str">
        <x:v>SUDESTE / CENTRO - OESTE</x:v>
      </x:c>
      <x:c r="D2050" s="53" t="str">
        <x:v>Cativo</x:v>
      </x:c>
      <x:c r="E2050" s="49" t="n">
        <x:v>6318182.877</x:v>
      </x:c>
      <x:c r="F2050" s="52" t="n">
        <x:v>33413496</x:v>
      </x:c>
      <x:c r="G2050" s="54" t="n">
        <x:v>46220</x:v>
      </x:c>
      <x:c r="H2050" s="14" t="str">
        <x:f>IF(E2050&lt;0,"Componente negativo — manter e investigar","OK")</x:f>
        <x:v>OK</x:v>
      </x:c>
    </x:row>
    <x:row r="2051">
      <x:c r="A2051" s="51" t="n">
        <x:v>44256</x:v>
      </x:c>
      <x:c r="B2051" s="14" t="str">
        <x:v>Sudeste</x:v>
      </x:c>
      <x:c r="C2051" s="14" t="str">
        <x:v>SUDESTE / CENTRO - OESTE</x:v>
      </x:c>
      <x:c r="D2051" s="53" t="str">
        <x:v>Livre</x:v>
      </x:c>
      <x:c r="E2051" s="49" t="n">
        <x:v>262</x:v>
      </x:c>
      <x:c r="F2051" s="52" t="n">
        <x:v>1</x:v>
      </x:c>
      <x:c r="G2051" s="54" t="n">
        <x:v>46220</x:v>
      </x:c>
      <x:c r="H2051" s="14" t="str">
        <x:f>IF(E2051&lt;0,"Componente negativo — manter e investigar","OK")</x:f>
        <x:v>OK</x:v>
      </x:c>
    </x:row>
    <x:row r="2052">
      <x:c r="A2052" s="51" t="n">
        <x:v>44256</x:v>
      </x:c>
      <x:c r="B2052" s="14" t="str">
        <x:v>Sul</x:v>
      </x:c>
      <x:c r="C2052" s="14" t="str">
        <x:v>SUL</x:v>
      </x:c>
      <x:c r="D2052" s="53" t="str">
        <x:v>Cativo</x:v>
      </x:c>
      <x:c r="E2052" s="49" t="n">
        <x:v>2205119.2099999995</x:v>
      </x:c>
      <x:c r="F2052" s="52" t="n">
        <x:v>10715287</x:v>
      </x:c>
      <x:c r="G2052" s="54" t="n">
        <x:v>46220</x:v>
      </x:c>
      <x:c r="H2052" s="14" t="str">
        <x:f>IF(E2052&lt;0,"Componente negativo — manter e investigar","OK")</x:f>
        <x:v>OK</x:v>
      </x:c>
    </x:row>
    <x:row r="2053">
      <x:c r="A2053" s="51" t="n">
        <x:v>44287</x:v>
      </x:c>
      <x:c r="B2053" s="14" t="str">
        <x:v>Centro-Oeste</x:v>
      </x:c>
      <x:c r="C2053" s="14" t="str">
        <x:v>SISTEMAS ISOLADOS</x:v>
      </x:c>
      <x:c r="D2053" s="53" t="str">
        <x:v>Cativo</x:v>
      </x:c>
      <x:c r="E2053" s="49" t="n">
        <x:v>217.942</x:v>
      </x:c>
      <x:c r="F2053" s="52" t="n">
        <x:v>850</x:v>
      </x:c>
      <x:c r="G2053" s="54" t="n">
        <x:v>46220</x:v>
      </x:c>
      <x:c r="H2053" s="14" t="str">
        <x:f>IF(E2053&lt;0,"Componente negativo — manter e investigar","OK")</x:f>
        <x:v>OK</x:v>
      </x:c>
    </x:row>
    <x:row r="2054">
      <x:c r="A2054" s="51" t="n">
        <x:v>44287</x:v>
      </x:c>
      <x:c r="B2054" s="14" t="str">
        <x:v>Centro-Oeste</x:v>
      </x:c>
      <x:c r="C2054" s="14" t="str">
        <x:v>SUDESTE / CENTRO - OESTE</x:v>
      </x:c>
      <x:c r="D2054" s="53" t="str">
        <x:v>Cativo</x:v>
      </x:c>
      <x:c r="E2054" s="49" t="n">
        <x:v>1203272.5579999997</x:v>
      </x:c>
      <x:c r="F2054" s="52" t="n">
        <x:v>5878012</x:v>
      </x:c>
      <x:c r="G2054" s="54" t="n">
        <x:v>46220</x:v>
      </x:c>
      <x:c r="H2054" s="14" t="str">
        <x:f>IF(E2054&lt;0,"Componente negativo — manter e investigar","OK")</x:f>
        <x:v>OK</x:v>
      </x:c>
    </x:row>
    <x:row r="2055">
      <x:c r="A2055" s="51" t="n">
        <x:v>44287</x:v>
      </x:c>
      <x:c r="B2055" s="14" t="str">
        <x:v>Nordeste</x:v>
      </x:c>
      <x:c r="C2055" s="14" t="str">
        <x:v>NORDESTE</x:v>
      </x:c>
      <x:c r="D2055" s="53" t="str">
        <x:v>Cativo</x:v>
      </x:c>
      <x:c r="E2055" s="49" t="n">
        <x:v>2482046.999</x:v>
      </x:c>
      <x:c r="F2055" s="52" t="n">
        <x:v>17841253</x:v>
      </x:c>
      <x:c r="G2055" s="54" t="n">
        <x:v>46220</x:v>
      </x:c>
      <x:c r="H2055" s="14" t="str">
        <x:f>IF(E2055&lt;0,"Componente negativo — manter e investigar","OK")</x:f>
        <x:v>OK</x:v>
      </x:c>
    </x:row>
    <x:row r="2056">
      <x:c r="A2056" s="51" t="n">
        <x:v>44287</x:v>
      </x:c>
      <x:c r="B2056" s="14" t="str">
        <x:v>Nordeste</x:v>
      </x:c>
      <x:c r="C2056" s="14" t="str">
        <x:v>NORTE INTERLIGADO</x:v>
      </x:c>
      <x:c r="D2056" s="53" t="str">
        <x:v>Cativo</x:v>
      </x:c>
      <x:c r="E2056" s="49" t="n">
        <x:v>296033.777</x:v>
      </x:c>
      <x:c r="F2056" s="52" t="n">
        <x:v>2289866</x:v>
      </x:c>
      <x:c r="G2056" s="54" t="n">
        <x:v>46220</x:v>
      </x:c>
      <x:c r="H2056" s="14" t="str">
        <x:f>IF(E2056&lt;0,"Componente negativo — manter e investigar","OK")</x:f>
        <x:v>OK</x:v>
      </x:c>
    </x:row>
    <x:row r="2057">
      <x:c r="A2057" s="51" t="n">
        <x:v>44287</x:v>
      </x:c>
      <x:c r="B2057" s="14" t="str">
        <x:v>Nordeste</x:v>
      </x:c>
      <x:c r="C2057" s="14" t="str">
        <x:v>SISTEMAS ISOLADOS</x:v>
      </x:c>
      <x:c r="D2057" s="53" t="str">
        <x:v>Cativo</x:v>
      </x:c>
      <x:c r="E2057" s="49" t="n">
        <x:v>676</x:v>
      </x:c>
      <x:c r="F2057" s="52" t="n">
        <x:v>663</x:v>
      </x:c>
      <x:c r="G2057" s="54" t="n">
        <x:v>46220</x:v>
      </x:c>
      <x:c r="H2057" s="14" t="str">
        <x:f>IF(E2057&lt;0,"Componente negativo — manter e investigar","OK")</x:f>
        <x:v>OK</x:v>
      </x:c>
    </x:row>
    <x:row r="2058">
      <x:c r="A2058" s="51" t="n">
        <x:v>44287</x:v>
      </x:c>
      <x:c r="B2058" s="14" t="str">
        <x:v>Norte</x:v>
      </x:c>
      <x:c r="C2058" s="14" t="str">
        <x:v>NORTE INTERLIGADO</x:v>
      </x:c>
      <x:c r="D2058" s="53" t="str">
        <x:v>Cativo</x:v>
      </x:c>
      <x:c r="E2058" s="49" t="n">
        <x:v>586981.511</x:v>
      </x:c>
      <x:c r="F2058" s="52" t="n">
        <x:v>3480386</x:v>
      </x:c>
      <x:c r="G2058" s="54" t="n">
        <x:v>46220</x:v>
      </x:c>
      <x:c r="H2058" s="14" t="str">
        <x:f>IF(E2058&lt;0,"Componente negativo — manter e investigar","OK")</x:f>
        <x:v>OK</x:v>
      </x:c>
    </x:row>
    <x:row r="2059">
      <x:c r="A2059" s="51" t="n">
        <x:v>44287</x:v>
      </x:c>
      <x:c r="B2059" s="14" t="str">
        <x:v>Norte</x:v>
      </x:c>
      <x:c r="C2059" s="14" t="str">
        <x:v>SISTEMAS ISOLADOS</x:v>
      </x:c>
      <x:c r="D2059" s="53" t="str">
        <x:v>Cativo</x:v>
      </x:c>
      <x:c r="E2059" s="49" t="n">
        <x:v>129250.961</x:v>
      </x:c>
      <x:c r="F2059" s="52" t="n">
        <x:v>658388</x:v>
      </x:c>
      <x:c r="G2059" s="54" t="n">
        <x:v>46220</x:v>
      </x:c>
      <x:c r="H2059" s="14" t="str">
        <x:f>IF(E2059&lt;0,"Componente negativo — manter e investigar","OK")</x:f>
        <x:v>OK</x:v>
      </x:c>
    </x:row>
    <x:row r="2060">
      <x:c r="A2060" s="51" t="n">
        <x:v>44287</x:v>
      </x:c>
      <x:c r="B2060" s="14" t="str">
        <x:v>Norte</x:v>
      </x:c>
      <x:c r="C2060" s="14" t="str">
        <x:v>SUDESTE / CENTRO - OESTE</x:v>
      </x:c>
      <x:c r="D2060" s="53" t="str">
        <x:v>Cativo</x:v>
      </x:c>
      <x:c r="E2060" s="49" t="n">
        <x:v>147353.912</x:v>
      </x:c>
      <x:c r="F2060" s="52" t="n">
        <x:v>621687</x:v>
      </x:c>
      <x:c r="G2060" s="54" t="n">
        <x:v>46220</x:v>
      </x:c>
      <x:c r="H2060" s="14" t="str">
        <x:f>IF(E2060&lt;0,"Componente negativo — manter e investigar","OK")</x:f>
        <x:v>OK</x:v>
      </x:c>
    </x:row>
    <x:row r="2061">
      <x:c r="A2061" s="51" t="n">
        <x:v>44287</x:v>
      </x:c>
      <x:c r="B2061" s="14" t="str">
        <x:v>Sudeste</x:v>
      </x:c>
      <x:c r="C2061" s="14" t="str">
        <x:v>SUDESTE / CENTRO - OESTE</x:v>
      </x:c>
      <x:c r="D2061" s="53" t="str">
        <x:v>Cativo</x:v>
      </x:c>
      <x:c r="E2061" s="49" t="n">
        <x:v>6350860.848</x:v>
      </x:c>
      <x:c r="F2061" s="52" t="n">
        <x:v>33431215</x:v>
      </x:c>
      <x:c r="G2061" s="54" t="n">
        <x:v>46220</x:v>
      </x:c>
      <x:c r="H2061" s="14" t="str">
        <x:f>IF(E2061&lt;0,"Componente negativo — manter e investigar","OK")</x:f>
        <x:v>OK</x:v>
      </x:c>
    </x:row>
    <x:row r="2062">
      <x:c r="A2062" s="51" t="n">
        <x:v>44287</x:v>
      </x:c>
      <x:c r="B2062" s="14" t="str">
        <x:v>Sudeste</x:v>
      </x:c>
      <x:c r="C2062" s="14" t="str">
        <x:v>SUDESTE / CENTRO - OESTE</x:v>
      </x:c>
      <x:c r="D2062" s="53" t="str">
        <x:v>Livre</x:v>
      </x:c>
      <x:c r="E2062" s="49" t="n">
        <x:v>298</x:v>
      </x:c>
      <x:c r="F2062" s="52" t="n">
        <x:v>1</x:v>
      </x:c>
      <x:c r="G2062" s="54" t="n">
        <x:v>46220</x:v>
      </x:c>
      <x:c r="H2062" s="14" t="str">
        <x:f>IF(E2062&lt;0,"Componente negativo — manter e investigar","OK")</x:f>
        <x:v>OK</x:v>
      </x:c>
    </x:row>
    <x:row r="2063">
      <x:c r="A2063" s="51" t="n">
        <x:v>44287</x:v>
      </x:c>
      <x:c r="B2063" s="14" t="str">
        <x:v>Sul</x:v>
      </x:c>
      <x:c r="C2063" s="14" t="str">
        <x:v>SUL</x:v>
      </x:c>
      <x:c r="D2063" s="53" t="str">
        <x:v>Cativo</x:v>
      </x:c>
      <x:c r="E2063" s="49" t="n">
        <x:v>2122891.665</x:v>
      </x:c>
      <x:c r="F2063" s="52" t="n">
        <x:v>10731808</x:v>
      </x:c>
      <x:c r="G2063" s="54" t="n">
        <x:v>46220</x:v>
      </x:c>
      <x:c r="H2063" s="14" t="str">
        <x:f>IF(E2063&lt;0,"Componente negativo — manter e investigar","OK")</x:f>
        <x:v>OK</x:v>
      </x:c>
    </x:row>
    <x:row r="2064">
      <x:c r="A2064" s="51" t="n">
        <x:v>44317</x:v>
      </x:c>
      <x:c r="B2064" s="14" t="str">
        <x:v>Centro-Oeste</x:v>
      </x:c>
      <x:c r="C2064" s="14" t="str">
        <x:v>SISTEMAS ISOLADOS</x:v>
      </x:c>
      <x:c r="D2064" s="53" t="str">
        <x:v>Cativo</x:v>
      </x:c>
      <x:c r="E2064" s="49" t="n">
        <x:v>201.617</x:v>
      </x:c>
      <x:c r="F2064" s="52" t="n">
        <x:v>854</x:v>
      </x:c>
      <x:c r="G2064" s="54" t="n">
        <x:v>46220</x:v>
      </x:c>
      <x:c r="H2064" s="14" t="str">
        <x:f>IF(E2064&lt;0,"Componente negativo — manter e investigar","OK")</x:f>
        <x:v>OK</x:v>
      </x:c>
    </x:row>
    <x:row r="2065">
      <x:c r="A2065" s="51" t="n">
        <x:v>44317</x:v>
      </x:c>
      <x:c r="B2065" s="14" t="str">
        <x:v>Centro-Oeste</x:v>
      </x:c>
      <x:c r="C2065" s="14" t="str">
        <x:v>SUDESTE / CENTRO - OESTE</x:v>
      </x:c>
      <x:c r="D2065" s="53" t="str">
        <x:v>Cativo</x:v>
      </x:c>
      <x:c r="E2065" s="49" t="n">
        <x:v>1067490.185</x:v>
      </x:c>
      <x:c r="F2065" s="52" t="n">
        <x:v>5888452</x:v>
      </x:c>
      <x:c r="G2065" s="54" t="n">
        <x:v>46220</x:v>
      </x:c>
      <x:c r="H2065" s="14" t="str">
        <x:f>IF(E2065&lt;0,"Componente negativo — manter e investigar","OK")</x:f>
        <x:v>OK</x:v>
      </x:c>
    </x:row>
    <x:row r="2066">
      <x:c r="A2066" s="51" t="n">
        <x:v>44317</x:v>
      </x:c>
      <x:c r="B2066" s="14" t="str">
        <x:v>Nordeste</x:v>
      </x:c>
      <x:c r="C2066" s="14" t="str">
        <x:v>NORDESTE</x:v>
      </x:c>
      <x:c r="D2066" s="53" t="str">
        <x:v>Cativo</x:v>
      </x:c>
      <x:c r="E2066" s="49" t="n">
        <x:v>2251444.5829999996</x:v>
      </x:c>
      <x:c r="F2066" s="52" t="n">
        <x:v>17871636</x:v>
      </x:c>
      <x:c r="G2066" s="54" t="n">
        <x:v>46220</x:v>
      </x:c>
      <x:c r="H2066" s="14" t="str">
        <x:f>IF(E2066&lt;0,"Componente negativo — manter e investigar","OK")</x:f>
        <x:v>OK</x:v>
      </x:c>
    </x:row>
    <x:row r="2067">
      <x:c r="A2067" s="51" t="n">
        <x:v>44317</x:v>
      </x:c>
      <x:c r="B2067" s="14" t="str">
        <x:v>Nordeste</x:v>
      </x:c>
      <x:c r="C2067" s="14" t="str">
        <x:v>NORTE INTERLIGADO</x:v>
      </x:c>
      <x:c r="D2067" s="53" t="str">
        <x:v>Cativo</x:v>
      </x:c>
      <x:c r="E2067" s="49" t="n">
        <x:v>289497.097</x:v>
      </x:c>
      <x:c r="F2067" s="52" t="n">
        <x:v>2297544</x:v>
      </x:c>
      <x:c r="G2067" s="54" t="n">
        <x:v>46220</x:v>
      </x:c>
      <x:c r="H2067" s="14" t="str">
        <x:f>IF(E2067&lt;0,"Componente negativo — manter e investigar","OK")</x:f>
        <x:v>OK</x:v>
      </x:c>
    </x:row>
    <x:row r="2068">
      <x:c r="A2068" s="51" t="n">
        <x:v>44317</x:v>
      </x:c>
      <x:c r="B2068" s="14" t="str">
        <x:v>Nordeste</x:v>
      </x:c>
      <x:c r="C2068" s="14" t="str">
        <x:v>SISTEMAS ISOLADOS</x:v>
      </x:c>
      <x:c r="D2068" s="53" t="str">
        <x:v>Cativo</x:v>
      </x:c>
      <x:c r="E2068" s="49" t="n">
        <x:v>631</x:v>
      </x:c>
      <x:c r="F2068" s="52" t="n">
        <x:v>661</x:v>
      </x:c>
      <x:c r="G2068" s="54" t="n">
        <x:v>46220</x:v>
      </x:c>
      <x:c r="H2068" s="14" t="str">
        <x:f>IF(E2068&lt;0,"Componente negativo — manter e investigar","OK")</x:f>
        <x:v>OK</x:v>
      </x:c>
    </x:row>
    <x:row r="2069">
      <x:c r="A2069" s="51" t="n">
        <x:v>44317</x:v>
      </x:c>
      <x:c r="B2069" s="14" t="str">
        <x:v>Norte</x:v>
      </x:c>
      <x:c r="C2069" s="14" t="str">
        <x:v>NORTE INTERLIGADO</x:v>
      </x:c>
      <x:c r="D2069" s="53" t="str">
        <x:v>Cativo</x:v>
      </x:c>
      <x:c r="E2069" s="49" t="n">
        <x:v>590284.6270000001</x:v>
      </x:c>
      <x:c r="F2069" s="52" t="n">
        <x:v>3491744</x:v>
      </x:c>
      <x:c r="G2069" s="54" t="n">
        <x:v>46220</x:v>
      </x:c>
      <x:c r="H2069" s="14" t="str">
        <x:f>IF(E2069&lt;0,"Componente negativo — manter e investigar","OK")</x:f>
        <x:v>OK</x:v>
      </x:c>
    </x:row>
    <x:row r="2070">
      <x:c r="A2070" s="51" t="n">
        <x:v>44317</x:v>
      </x:c>
      <x:c r="B2070" s="14" t="str">
        <x:v>Norte</x:v>
      </x:c>
      <x:c r="C2070" s="14" t="str">
        <x:v>SISTEMAS ISOLADOS</x:v>
      </x:c>
      <x:c r="D2070" s="53" t="str">
        <x:v>Cativo</x:v>
      </x:c>
      <x:c r="E2070" s="49" t="n">
        <x:v>121544.847</x:v>
      </x:c>
      <x:c r="F2070" s="52" t="n">
        <x:v>648051</x:v>
      </x:c>
      <x:c r="G2070" s="54" t="n">
        <x:v>46220</x:v>
      </x:c>
      <x:c r="H2070" s="14" t="str">
        <x:f>IF(E2070&lt;0,"Componente negativo — manter e investigar","OK")</x:f>
        <x:v>OK</x:v>
      </x:c>
    </x:row>
    <x:row r="2071">
      <x:c r="A2071" s="51" t="n">
        <x:v>44317</x:v>
      </x:c>
      <x:c r="B2071" s="14" t="str">
        <x:v>Norte</x:v>
      </x:c>
      <x:c r="C2071" s="14" t="str">
        <x:v>SUDESTE / CENTRO - OESTE</x:v>
      </x:c>
      <x:c r="D2071" s="53" t="str">
        <x:v>Cativo</x:v>
      </x:c>
      <x:c r="E2071" s="49" t="n">
        <x:v>145588.306</x:v>
      </x:c>
      <x:c r="F2071" s="52" t="n">
        <x:v>630131</x:v>
      </x:c>
      <x:c r="G2071" s="54" t="n">
        <x:v>46220</x:v>
      </x:c>
      <x:c r="H2071" s="14" t="str">
        <x:f>IF(E2071&lt;0,"Componente negativo — manter e investigar","OK")</x:f>
        <x:v>OK</x:v>
      </x:c>
    </x:row>
    <x:row r="2072">
      <x:c r="A2072" s="51" t="n">
        <x:v>44317</x:v>
      </x:c>
      <x:c r="B2072" s="14" t="str">
        <x:v>Sudeste</x:v>
      </x:c>
      <x:c r="C2072" s="14" t="str">
        <x:v>SUDESTE / CENTRO - OESTE</x:v>
      </x:c>
      <x:c r="D2072" s="53" t="str">
        <x:v>Cativo</x:v>
      </x:c>
      <x:c r="E2072" s="49" t="n">
        <x:v>5593464.257000001</x:v>
      </x:c>
      <x:c r="F2072" s="52" t="n">
        <x:v>33455198</x:v>
      </x:c>
      <x:c r="G2072" s="54" t="n">
        <x:v>46220</x:v>
      </x:c>
      <x:c r="H2072" s="14" t="str">
        <x:f>IF(E2072&lt;0,"Componente negativo — manter e investigar","OK")</x:f>
        <x:v>OK</x:v>
      </x:c>
    </x:row>
    <x:row r="2073">
      <x:c r="A2073" s="51" t="n">
        <x:v>44317</x:v>
      </x:c>
      <x:c r="B2073" s="14" t="str">
        <x:v>Sudeste</x:v>
      </x:c>
      <x:c r="C2073" s="14" t="str">
        <x:v>SUDESTE / CENTRO - OESTE</x:v>
      </x:c>
      <x:c r="D2073" s="53" t="str">
        <x:v>Livre</x:v>
      </x:c>
      <x:c r="E2073" s="49" t="n">
        <x:v>436</x:v>
      </x:c>
      <x:c r="F2073" s="52" t="n">
        <x:v>1</x:v>
      </x:c>
      <x:c r="G2073" s="54" t="n">
        <x:v>46220</x:v>
      </x:c>
      <x:c r="H2073" s="14" t="str">
        <x:f>IF(E2073&lt;0,"Componente negativo — manter e investigar","OK")</x:f>
        <x:v>OK</x:v>
      </x:c>
    </x:row>
    <x:row r="2074">
      <x:c r="A2074" s="51" t="n">
        <x:v>44317</x:v>
      </x:c>
      <x:c r="B2074" s="14" t="str">
        <x:v>Sul</x:v>
      </x:c>
      <x:c r="C2074" s="14" t="str">
        <x:v>SUL</x:v>
      </x:c>
      <x:c r="D2074" s="53" t="str">
        <x:v>Cativo</x:v>
      </x:c>
      <x:c r="E2074" s="49" t="n">
        <x:v>1881303.8720000002</x:v>
      </x:c>
      <x:c r="F2074" s="52" t="n">
        <x:v>10744043</x:v>
      </x:c>
      <x:c r="G2074" s="54" t="n">
        <x:v>46220</x:v>
      </x:c>
      <x:c r="H2074" s="14" t="str">
        <x:f>IF(E2074&lt;0,"Componente negativo — manter e investigar","OK")</x:f>
        <x:v>OK</x:v>
      </x:c>
    </x:row>
    <x:row r="2075">
      <x:c r="A2075" s="51" t="n">
        <x:v>44348</x:v>
      </x:c>
      <x:c r="B2075" s="14" t="str">
        <x:v>Centro-Oeste</x:v>
      </x:c>
      <x:c r="C2075" s="14" t="str">
        <x:v>SISTEMAS ISOLADOS</x:v>
      </x:c>
      <x:c r="D2075" s="53" t="str">
        <x:v>Cativo</x:v>
      </x:c>
      <x:c r="E2075" s="49" t="n">
        <x:v>234.423</x:v>
      </x:c>
      <x:c r="F2075" s="52" t="n">
        <x:v>868</x:v>
      </x:c>
      <x:c r="G2075" s="54" t="n">
        <x:v>46220</x:v>
      </x:c>
      <x:c r="H2075" s="14" t="str">
        <x:f>IF(E2075&lt;0,"Componente negativo — manter e investigar","OK")</x:f>
        <x:v>OK</x:v>
      </x:c>
    </x:row>
    <x:row r="2076">
      <x:c r="A2076" s="51" t="n">
        <x:v>44348</x:v>
      </x:c>
      <x:c r="B2076" s="14" t="str">
        <x:v>Centro-Oeste</x:v>
      </x:c>
      <x:c r="C2076" s="14" t="str">
        <x:v>SUDESTE / CENTRO - OESTE</x:v>
      </x:c>
      <x:c r="D2076" s="53" t="str">
        <x:v>Cativo</x:v>
      </x:c>
      <x:c r="E2076" s="49" t="n">
        <x:v>1119103.8790000002</x:v>
      </x:c>
      <x:c r="F2076" s="52" t="n">
        <x:v>5899155</x:v>
      </x:c>
      <x:c r="G2076" s="54" t="n">
        <x:v>46220</x:v>
      </x:c>
      <x:c r="H2076" s="14" t="str">
        <x:f>IF(E2076&lt;0,"Componente negativo — manter e investigar","OK")</x:f>
        <x:v>OK</x:v>
      </x:c>
    </x:row>
    <x:row r="2077">
      <x:c r="A2077" s="51" t="n">
        <x:v>44348</x:v>
      </x:c>
      <x:c r="B2077" s="14" t="str">
        <x:v>Nordeste</x:v>
      </x:c>
      <x:c r="C2077" s="14" t="str">
        <x:v>NORDESTE</x:v>
      </x:c>
      <x:c r="D2077" s="53" t="str">
        <x:v>Cativo</x:v>
      </x:c>
      <x:c r="E2077" s="49" t="n">
        <x:v>2269266.784</x:v>
      </x:c>
      <x:c r="F2077" s="52" t="n">
        <x:v>17902717</x:v>
      </x:c>
      <x:c r="G2077" s="54" t="n">
        <x:v>46220</x:v>
      </x:c>
      <x:c r="H2077" s="14" t="str">
        <x:f>IF(E2077&lt;0,"Componente negativo — manter e investigar","OK")</x:f>
        <x:v>OK</x:v>
      </x:c>
    </x:row>
    <x:row r="2078">
      <x:c r="A2078" s="51" t="n">
        <x:v>44348</x:v>
      </x:c>
      <x:c r="B2078" s="14" t="str">
        <x:v>Nordeste</x:v>
      </x:c>
      <x:c r="C2078" s="14" t="str">
        <x:v>NORTE INTERLIGADO</x:v>
      </x:c>
      <x:c r="D2078" s="53" t="str">
        <x:v>Cativo</x:v>
      </x:c>
      <x:c r="E2078" s="49" t="n">
        <x:v>297522.743</x:v>
      </x:c>
      <x:c r="F2078" s="52" t="n">
        <x:v>2304629</x:v>
      </x:c>
      <x:c r="G2078" s="54" t="n">
        <x:v>46220</x:v>
      </x:c>
      <x:c r="H2078" s="14" t="str">
        <x:f>IF(E2078&lt;0,"Componente negativo — manter e investigar","OK")</x:f>
        <x:v>OK</x:v>
      </x:c>
    </x:row>
    <x:row r="2079">
      <x:c r="A2079" s="51" t="n">
        <x:v>44348</x:v>
      </x:c>
      <x:c r="B2079" s="14" t="str">
        <x:v>Nordeste</x:v>
      </x:c>
      <x:c r="C2079" s="14" t="str">
        <x:v>SISTEMAS ISOLADOS</x:v>
      </x:c>
      <x:c r="D2079" s="53" t="str">
        <x:v>Cativo</x:v>
      </x:c>
      <x:c r="E2079" s="49" t="n">
        <x:v>684</x:v>
      </x:c>
      <x:c r="F2079" s="52" t="n">
        <x:v>663</x:v>
      </x:c>
      <x:c r="G2079" s="54" t="n">
        <x:v>46220</x:v>
      </x:c>
      <x:c r="H2079" s="14" t="str">
        <x:f>IF(E2079&lt;0,"Componente negativo — manter e investigar","OK")</x:f>
        <x:v>OK</x:v>
      </x:c>
    </x:row>
    <x:row r="2080">
      <x:c r="A2080" s="51" t="n">
        <x:v>44348</x:v>
      </x:c>
      <x:c r="B2080" s="14" t="str">
        <x:v>Norte</x:v>
      </x:c>
      <x:c r="C2080" s="14" t="str">
        <x:v>NORTE INTERLIGADO</x:v>
      </x:c>
      <x:c r="D2080" s="53" t="str">
        <x:v>Cativo</x:v>
      </x:c>
      <x:c r="E2080" s="49" t="n">
        <x:v>633234.1059999999</x:v>
      </x:c>
      <x:c r="F2080" s="52" t="n">
        <x:v>3539261</x:v>
      </x:c>
      <x:c r="G2080" s="54" t="n">
        <x:v>46220</x:v>
      </x:c>
      <x:c r="H2080" s="14" t="str">
        <x:f>IF(E2080&lt;0,"Componente negativo — manter e investigar","OK")</x:f>
        <x:v>OK</x:v>
      </x:c>
    </x:row>
    <x:row r="2081">
      <x:c r="A2081" s="51" t="n">
        <x:v>44348</x:v>
      </x:c>
      <x:c r="B2081" s="14" t="str">
        <x:v>Norte</x:v>
      </x:c>
      <x:c r="C2081" s="14" t="str">
        <x:v>SISTEMAS ISOLADOS</x:v>
      </x:c>
      <x:c r="D2081" s="53" t="str">
        <x:v>Cativo</x:v>
      </x:c>
      <x:c r="E2081" s="49" t="n">
        <x:v>118843.277</x:v>
      </x:c>
      <x:c r="F2081" s="52" t="n">
        <x:v>615543</x:v>
      </x:c>
      <x:c r="G2081" s="54" t="n">
        <x:v>46220</x:v>
      </x:c>
      <x:c r="H2081" s="14" t="str">
        <x:f>IF(E2081&lt;0,"Componente negativo — manter e investigar","OK")</x:f>
        <x:v>OK</x:v>
      </x:c>
    </x:row>
    <x:row r="2082">
      <x:c r="A2082" s="51" t="n">
        <x:v>44348</x:v>
      </x:c>
      <x:c r="B2082" s="14" t="str">
        <x:v>Norte</x:v>
      </x:c>
      <x:c r="C2082" s="14" t="str">
        <x:v>SUDESTE / CENTRO - OESTE</x:v>
      </x:c>
      <x:c r="D2082" s="53" t="str">
        <x:v>Cativo</x:v>
      </x:c>
      <x:c r="E2082" s="49" t="n">
        <x:v>150739.403</x:v>
      </x:c>
      <x:c r="F2082" s="52" t="n">
        <x:v>630825</x:v>
      </x:c>
      <x:c r="G2082" s="54" t="n">
        <x:v>46220</x:v>
      </x:c>
      <x:c r="H2082" s="14" t="str">
        <x:f>IF(E2082&lt;0,"Componente negativo — manter e investigar","OK")</x:f>
        <x:v>OK</x:v>
      </x:c>
    </x:row>
    <x:row r="2083">
      <x:c r="A2083" s="51" t="n">
        <x:v>44348</x:v>
      </x:c>
      <x:c r="B2083" s="14" t="str">
        <x:v>Sudeste</x:v>
      </x:c>
      <x:c r="C2083" s="14" t="str">
        <x:v>SUDESTE / CENTRO - OESTE</x:v>
      </x:c>
      <x:c r="D2083" s="53" t="str">
        <x:v>Cativo</x:v>
      </x:c>
      <x:c r="E2083" s="49" t="n">
        <x:v>5505622.671999999</x:v>
      </x:c>
      <x:c r="F2083" s="52" t="n">
        <x:v>33636130</x:v>
      </x:c>
      <x:c r="G2083" s="54" t="n">
        <x:v>46220</x:v>
      </x:c>
      <x:c r="H2083" s="14" t="str">
        <x:f>IF(E2083&lt;0,"Componente negativo — manter e investigar","OK")</x:f>
        <x:v>OK</x:v>
      </x:c>
    </x:row>
    <x:row r="2084">
      <x:c r="A2084" s="51" t="n">
        <x:v>44348</x:v>
      </x:c>
      <x:c r="B2084" s="14" t="str">
        <x:v>Sudeste</x:v>
      </x:c>
      <x:c r="C2084" s="14" t="str">
        <x:v>SUDESTE / CENTRO - OESTE</x:v>
      </x:c>
      <x:c r="D2084" s="53" t="str">
        <x:v>Livre</x:v>
      </x:c>
      <x:c r="E2084" s="49" t="n">
        <x:v>436</x:v>
      </x:c>
      <x:c r="F2084" s="52" t="n">
        <x:v>1</x:v>
      </x:c>
      <x:c r="G2084" s="54" t="n">
        <x:v>46220</x:v>
      </x:c>
      <x:c r="H2084" s="14" t="str">
        <x:f>IF(E2084&lt;0,"Componente negativo — manter e investigar","OK")</x:f>
        <x:v>OK</x:v>
      </x:c>
    </x:row>
    <x:row r="2085">
      <x:c r="A2085" s="51" t="n">
        <x:v>44348</x:v>
      </x:c>
      <x:c r="B2085" s="14" t="str">
        <x:v>Sul</x:v>
      </x:c>
      <x:c r="C2085" s="14" t="str">
        <x:v>SUL</x:v>
      </x:c>
      <x:c r="D2085" s="53" t="str">
        <x:v>Cativo</x:v>
      </x:c>
      <x:c r="E2085" s="49" t="n">
        <x:v>1873583.535</x:v>
      </x:c>
      <x:c r="F2085" s="52" t="n">
        <x:v>10760333</x:v>
      </x:c>
      <x:c r="G2085" s="54" t="n">
        <x:v>46220</x:v>
      </x:c>
      <x:c r="H2085" s="14" t="str">
        <x:f>IF(E2085&lt;0,"Componente negativo — manter e investigar","OK")</x:f>
        <x:v>OK</x:v>
      </x:c>
    </x:row>
    <x:row r="2086">
      <x:c r="A2086" s="51" t="n">
        <x:v>44378</x:v>
      </x:c>
      <x:c r="B2086" s="14" t="str">
        <x:v>Centro-Oeste</x:v>
      </x:c>
      <x:c r="C2086" s="14" t="str">
        <x:v>SISTEMAS ISOLADOS</x:v>
      </x:c>
      <x:c r="D2086" s="53" t="str">
        <x:v>Cativo</x:v>
      </x:c>
      <x:c r="E2086" s="49" t="n">
        <x:v>221.057</x:v>
      </x:c>
      <x:c r="F2086" s="52" t="n">
        <x:v>878</x:v>
      </x:c>
      <x:c r="G2086" s="54" t="n">
        <x:v>46220</x:v>
      </x:c>
      <x:c r="H2086" s="14" t="str">
        <x:f>IF(E2086&lt;0,"Componente negativo — manter e investigar","OK")</x:f>
        <x:v>OK</x:v>
      </x:c>
    </x:row>
    <x:row r="2087">
      <x:c r="A2087" s="51" t="n">
        <x:v>44378</x:v>
      </x:c>
      <x:c r="B2087" s="14" t="str">
        <x:v>Centro-Oeste</x:v>
      </x:c>
      <x:c r="C2087" s="14" t="str">
        <x:v>SUDESTE / CENTRO - OESTE</x:v>
      </x:c>
      <x:c r="D2087" s="53" t="str">
        <x:v>Cativo</x:v>
      </x:c>
      <x:c r="E2087" s="49" t="n">
        <x:v>1000481.951</x:v>
      </x:c>
      <x:c r="F2087" s="52" t="n">
        <x:v>5914853</x:v>
      </x:c>
      <x:c r="G2087" s="54" t="n">
        <x:v>46220</x:v>
      </x:c>
      <x:c r="H2087" s="14" t="str">
        <x:f>IF(E2087&lt;0,"Componente negativo — manter e investigar","OK")</x:f>
        <x:v>OK</x:v>
      </x:c>
    </x:row>
    <x:row r="2088">
      <x:c r="A2088" s="51" t="n">
        <x:v>44378</x:v>
      </x:c>
      <x:c r="B2088" s="14" t="str">
        <x:v>Nordeste</x:v>
      </x:c>
      <x:c r="C2088" s="14" t="str">
        <x:v>NORDESTE</x:v>
      </x:c>
      <x:c r="D2088" s="53" t="str">
        <x:v>Cativo</x:v>
      </x:c>
      <x:c r="E2088" s="49" t="n">
        <x:v>2169062.358</x:v>
      </x:c>
      <x:c r="F2088" s="52" t="n">
        <x:v>17983519</x:v>
      </x:c>
      <x:c r="G2088" s="54" t="n">
        <x:v>46220</x:v>
      </x:c>
      <x:c r="H2088" s="14" t="str">
        <x:f>IF(E2088&lt;0,"Componente negativo — manter e investigar","OK")</x:f>
        <x:v>OK</x:v>
      </x:c>
    </x:row>
    <x:row r="2089">
      <x:c r="A2089" s="51" t="n">
        <x:v>44378</x:v>
      </x:c>
      <x:c r="B2089" s="14" t="str">
        <x:v>Nordeste</x:v>
      </x:c>
      <x:c r="C2089" s="14" t="str">
        <x:v>NORTE INTERLIGADO</x:v>
      </x:c>
      <x:c r="D2089" s="53" t="str">
        <x:v>Cativo</x:v>
      </x:c>
      <x:c r="E2089" s="49" t="n">
        <x:v>309336.108</x:v>
      </x:c>
      <x:c r="F2089" s="52" t="n">
        <x:v>2310064</x:v>
      </x:c>
      <x:c r="G2089" s="54" t="n">
        <x:v>46220</x:v>
      </x:c>
      <x:c r="H2089" s="14" t="str">
        <x:f>IF(E2089&lt;0,"Componente negativo — manter e investigar","OK")</x:f>
        <x:v>OK</x:v>
      </x:c>
    </x:row>
    <x:row r="2090">
      <x:c r="A2090" s="51" t="n">
        <x:v>44378</x:v>
      </x:c>
      <x:c r="B2090" s="14" t="str">
        <x:v>Nordeste</x:v>
      </x:c>
      <x:c r="C2090" s="14" t="str">
        <x:v>SISTEMAS ISOLADOS</x:v>
      </x:c>
      <x:c r="D2090" s="53" t="str">
        <x:v>Cativo</x:v>
      </x:c>
      <x:c r="E2090" s="49" t="n">
        <x:v>604</x:v>
      </x:c>
      <x:c r="F2090" s="52" t="n">
        <x:v>664</x:v>
      </x:c>
      <x:c r="G2090" s="54" t="n">
        <x:v>46220</x:v>
      </x:c>
      <x:c r="H2090" s="14" t="str">
        <x:f>IF(E2090&lt;0,"Componente negativo — manter e investigar","OK")</x:f>
        <x:v>OK</x:v>
      </x:c>
    </x:row>
    <x:row r="2091">
      <x:c r="A2091" s="51" t="n">
        <x:v>44378</x:v>
      </x:c>
      <x:c r="B2091" s="14" t="str">
        <x:v>Norte</x:v>
      </x:c>
      <x:c r="C2091" s="14" t="str">
        <x:v>NORTE INTERLIGADO</x:v>
      </x:c>
      <x:c r="D2091" s="53" t="str">
        <x:v>Cativo</x:v>
      </x:c>
      <x:c r="E2091" s="49" t="n">
        <x:v>610362.75</x:v>
      </x:c>
      <x:c r="F2091" s="52" t="n">
        <x:v>3550895</x:v>
      </x:c>
      <x:c r="G2091" s="54" t="n">
        <x:v>46220</x:v>
      </x:c>
      <x:c r="H2091" s="14" t="str">
        <x:f>IF(E2091&lt;0,"Componente negativo — manter e investigar","OK")</x:f>
        <x:v>OK</x:v>
      </x:c>
    </x:row>
    <x:row r="2092">
      <x:c r="A2092" s="51" t="n">
        <x:v>44378</x:v>
      </x:c>
      <x:c r="B2092" s="14" t="str">
        <x:v>Norte</x:v>
      </x:c>
      <x:c r="C2092" s="14" t="str">
        <x:v>SISTEMAS ISOLADOS</x:v>
      </x:c>
      <x:c r="D2092" s="53" t="str">
        <x:v>Cativo</x:v>
      </x:c>
      <x:c r="E2092" s="49" t="n">
        <x:v>115094.825</x:v>
      </x:c>
      <x:c r="F2092" s="52" t="n">
        <x:v>611685</x:v>
      </x:c>
      <x:c r="G2092" s="54" t="n">
        <x:v>46220</x:v>
      </x:c>
      <x:c r="H2092" s="14" t="str">
        <x:f>IF(E2092&lt;0,"Componente negativo — manter e investigar","OK")</x:f>
        <x:v>OK</x:v>
      </x:c>
    </x:row>
    <x:row r="2093">
      <x:c r="A2093" s="51" t="n">
        <x:v>44378</x:v>
      </x:c>
      <x:c r="B2093" s="14" t="str">
        <x:v>Norte</x:v>
      </x:c>
      <x:c r="C2093" s="14" t="str">
        <x:v>SUDESTE / CENTRO - OESTE</x:v>
      </x:c>
      <x:c r="D2093" s="53" t="str">
        <x:v>Cativo</x:v>
      </x:c>
      <x:c r="E2093" s="49" t="n">
        <x:v>139187.786</x:v>
      </x:c>
      <x:c r="F2093" s="52" t="n">
        <x:v>631722</x:v>
      </x:c>
      <x:c r="G2093" s="54" t="n">
        <x:v>46220</x:v>
      </x:c>
      <x:c r="H2093" s="14" t="str">
        <x:f>IF(E2093&lt;0,"Componente negativo — manter e investigar","OK")</x:f>
        <x:v>OK</x:v>
      </x:c>
    </x:row>
    <x:row r="2094">
      <x:c r="A2094" s="51" t="n">
        <x:v>44378</x:v>
      </x:c>
      <x:c r="B2094" s="14" t="str">
        <x:v>Sudeste</x:v>
      </x:c>
      <x:c r="C2094" s="14" t="str">
        <x:v>SUDESTE / CENTRO - OESTE</x:v>
      </x:c>
      <x:c r="D2094" s="53" t="str">
        <x:v>Cativo</x:v>
      </x:c>
      <x:c r="E2094" s="49" t="n">
        <x:v>5357775.013</x:v>
      </x:c>
      <x:c r="F2094" s="52" t="n">
        <x:v>33695010</x:v>
      </x:c>
      <x:c r="G2094" s="54" t="n">
        <x:v>46220</x:v>
      </x:c>
      <x:c r="H2094" s="14" t="str">
        <x:f>IF(E2094&lt;0,"Componente negativo — manter e investigar","OK")</x:f>
        <x:v>OK</x:v>
      </x:c>
    </x:row>
    <x:row r="2095">
      <x:c r="A2095" s="51" t="n">
        <x:v>44378</x:v>
      </x:c>
      <x:c r="B2095" s="14" t="str">
        <x:v>Sudeste</x:v>
      </x:c>
      <x:c r="C2095" s="14" t="str">
        <x:v>SUDESTE / CENTRO - OESTE</x:v>
      </x:c>
      <x:c r="D2095" s="53" t="str">
        <x:v>Livre</x:v>
      </x:c>
      <x:c r="E2095" s="49" t="n">
        <x:v>374</x:v>
      </x:c>
      <x:c r="F2095" s="52" t="n">
        <x:v>1</x:v>
      </x:c>
      <x:c r="G2095" s="54" t="n">
        <x:v>46220</x:v>
      </x:c>
      <x:c r="H2095" s="14" t="str">
        <x:f>IF(E2095&lt;0,"Componente negativo — manter e investigar","OK")</x:f>
        <x:v>OK</x:v>
      </x:c>
    </x:row>
    <x:row r="2096">
      <x:c r="A2096" s="51" t="n">
        <x:v>44378</x:v>
      </x:c>
      <x:c r="B2096" s="14" t="str">
        <x:v>Sul</x:v>
      </x:c>
      <x:c r="C2096" s="14" t="str">
        <x:v>SUL</x:v>
      </x:c>
      <x:c r="D2096" s="53" t="str">
        <x:v>Cativo</x:v>
      </x:c>
      <x:c r="E2096" s="49" t="n">
        <x:v>1964097.1579999998</x:v>
      </x:c>
      <x:c r="F2096" s="52" t="n">
        <x:v>10783041</x:v>
      </x:c>
      <x:c r="G2096" s="54" t="n">
        <x:v>46220</x:v>
      </x:c>
      <x:c r="H2096" s="14" t="str">
        <x:f>IF(E2096&lt;0,"Componente negativo — manter e investigar","OK")</x:f>
        <x:v>OK</x:v>
      </x:c>
    </x:row>
    <x:row r="2097">
      <x:c r="A2097" s="51" t="n">
        <x:v>44409</x:v>
      </x:c>
      <x:c r="B2097" s="14" t="str">
        <x:v>Centro-Oeste</x:v>
      </x:c>
      <x:c r="C2097" s="14" t="str">
        <x:v>SISTEMAS ISOLADOS</x:v>
      </x:c>
      <x:c r="D2097" s="53" t="str">
        <x:v>Cativo</x:v>
      </x:c>
      <x:c r="E2097" s="49" t="n">
        <x:v>242.738</x:v>
      </x:c>
      <x:c r="F2097" s="52" t="n">
        <x:v>887</x:v>
      </x:c>
      <x:c r="G2097" s="54" t="n">
        <x:v>46220</x:v>
      </x:c>
      <x:c r="H2097" s="14" t="str">
        <x:f>IF(E2097&lt;0,"Componente negativo — manter e investigar","OK")</x:f>
        <x:v>OK</x:v>
      </x:c>
    </x:row>
    <x:row r="2098">
      <x:c r="A2098" s="51" t="n">
        <x:v>44409</x:v>
      </x:c>
      <x:c r="B2098" s="14" t="str">
        <x:v>Centro-Oeste</x:v>
      </x:c>
      <x:c r="C2098" s="14" t="str">
        <x:v>SUDESTE / CENTRO - OESTE</x:v>
      </x:c>
      <x:c r="D2098" s="53" t="str">
        <x:v>Cativo</x:v>
      </x:c>
      <x:c r="E2098" s="49" t="n">
        <x:v>1010415.606</x:v>
      </x:c>
      <x:c r="F2098" s="52" t="n">
        <x:v>5934739</x:v>
      </x:c>
      <x:c r="G2098" s="54" t="n">
        <x:v>46220</x:v>
      </x:c>
      <x:c r="H2098" s="14" t="str">
        <x:f>IF(E2098&lt;0,"Componente negativo — manter e investigar","OK")</x:f>
        <x:v>OK</x:v>
      </x:c>
    </x:row>
    <x:row r="2099">
      <x:c r="A2099" s="51" t="n">
        <x:v>44409</x:v>
      </x:c>
      <x:c r="B2099" s="14" t="str">
        <x:v>Nordeste</x:v>
      </x:c>
      <x:c r="C2099" s="14" t="str">
        <x:v>NORDESTE</x:v>
      </x:c>
      <x:c r="D2099" s="53" t="str">
        <x:v>Cativo</x:v>
      </x:c>
      <x:c r="E2099" s="49" t="n">
        <x:v>2145769.5330000003</x:v>
      </x:c>
      <x:c r="F2099" s="52" t="n">
        <x:v>18018763</x:v>
      </x:c>
      <x:c r="G2099" s="54" t="n">
        <x:v>46220</x:v>
      </x:c>
      <x:c r="H2099" s="14" t="str">
        <x:f>IF(E2099&lt;0,"Componente negativo — manter e investigar","OK")</x:f>
        <x:v>OK</x:v>
      </x:c>
    </x:row>
    <x:row r="2100">
      <x:c r="A2100" s="51" t="n">
        <x:v>44409</x:v>
      </x:c>
      <x:c r="B2100" s="14" t="str">
        <x:v>Nordeste</x:v>
      </x:c>
      <x:c r="C2100" s="14" t="str">
        <x:v>NORTE INTERLIGADO</x:v>
      </x:c>
      <x:c r="D2100" s="53" t="str">
        <x:v>Cativo</x:v>
      </x:c>
      <x:c r="E2100" s="49" t="n">
        <x:v>316221.206</x:v>
      </x:c>
      <x:c r="F2100" s="52" t="n">
        <x:v>2309430</x:v>
      </x:c>
      <x:c r="G2100" s="54" t="n">
        <x:v>46220</x:v>
      </x:c>
      <x:c r="H2100" s="14" t="str">
        <x:f>IF(E2100&lt;0,"Componente negativo — manter e investigar","OK")</x:f>
        <x:v>OK</x:v>
      </x:c>
    </x:row>
    <x:row r="2101">
      <x:c r="A2101" s="51" t="n">
        <x:v>44409</x:v>
      </x:c>
      <x:c r="B2101" s="14" t="str">
        <x:v>Nordeste</x:v>
      </x:c>
      <x:c r="C2101" s="14" t="str">
        <x:v>SISTEMAS ISOLADOS</x:v>
      </x:c>
      <x:c r="D2101" s="53" t="str">
        <x:v>Cativo</x:v>
      </x:c>
      <x:c r="E2101" s="49" t="n">
        <x:v>676</x:v>
      </x:c>
      <x:c r="F2101" s="52" t="n">
        <x:v>663</x:v>
      </x:c>
      <x:c r="G2101" s="54" t="n">
        <x:v>46220</x:v>
      </x:c>
      <x:c r="H2101" s="14" t="str">
        <x:f>IF(E2101&lt;0,"Componente negativo — manter e investigar","OK")</x:f>
        <x:v>OK</x:v>
      </x:c>
    </x:row>
    <x:row r="2102">
      <x:c r="A2102" s="51" t="n">
        <x:v>44409</x:v>
      </x:c>
      <x:c r="B2102" s="14" t="str">
        <x:v>Norte</x:v>
      </x:c>
      <x:c r="C2102" s="14" t="str">
        <x:v>NORTE INTERLIGADO</x:v>
      </x:c>
      <x:c r="D2102" s="53" t="str">
        <x:v>Cativo</x:v>
      </x:c>
      <x:c r="E2102" s="49" t="n">
        <x:v>644827.253</x:v>
      </x:c>
      <x:c r="F2102" s="52" t="n">
        <x:v>3565340</x:v>
      </x:c>
      <x:c r="G2102" s="54" t="n">
        <x:v>46220</x:v>
      </x:c>
      <x:c r="H2102" s="14" t="str">
        <x:f>IF(E2102&lt;0,"Componente negativo — manter e investigar","OK")</x:f>
        <x:v>OK</x:v>
      </x:c>
    </x:row>
    <x:row r="2103">
      <x:c r="A2103" s="51" t="n">
        <x:v>44409</x:v>
      </x:c>
      <x:c r="B2103" s="14" t="str">
        <x:v>Norte</x:v>
      </x:c>
      <x:c r="C2103" s="14" t="str">
        <x:v>SISTEMAS ISOLADOS</x:v>
      </x:c>
      <x:c r="D2103" s="53" t="str">
        <x:v>Cativo</x:v>
      </x:c>
      <x:c r="E2103" s="49" t="n">
        <x:v>121846.22</x:v>
      </x:c>
      <x:c r="F2103" s="52" t="n">
        <x:v>612088</x:v>
      </x:c>
      <x:c r="G2103" s="54" t="n">
        <x:v>46220</x:v>
      </x:c>
      <x:c r="H2103" s="14" t="str">
        <x:f>IF(E2103&lt;0,"Componente negativo — manter e investigar","OK")</x:f>
        <x:v>OK</x:v>
      </x:c>
    </x:row>
    <x:row r="2104">
      <x:c r="A2104" s="51" t="n">
        <x:v>44409</x:v>
      </x:c>
      <x:c r="B2104" s="14" t="str">
        <x:v>Norte</x:v>
      </x:c>
      <x:c r="C2104" s="14" t="str">
        <x:v>SUDESTE / CENTRO - OESTE</x:v>
      </x:c>
      <x:c r="D2104" s="53" t="str">
        <x:v>Cativo</x:v>
      </x:c>
      <x:c r="E2104" s="49" t="n">
        <x:v>154935.28</x:v>
      </x:c>
      <x:c r="F2104" s="52" t="n">
        <x:v>632402</x:v>
      </x:c>
      <x:c r="G2104" s="54" t="n">
        <x:v>46220</x:v>
      </x:c>
      <x:c r="H2104" s="14" t="str">
        <x:f>IF(E2104&lt;0,"Componente negativo — manter e investigar","OK")</x:f>
        <x:v>OK</x:v>
      </x:c>
    </x:row>
    <x:row r="2105">
      <x:c r="A2105" s="51" t="n">
        <x:v>44409</x:v>
      </x:c>
      <x:c r="B2105" s="14" t="str">
        <x:v>Sudeste</x:v>
      </x:c>
      <x:c r="C2105" s="14" t="str">
        <x:v>SUDESTE / CENTRO - OESTE</x:v>
      </x:c>
      <x:c r="D2105" s="53" t="str">
        <x:v>Cativo</x:v>
      </x:c>
      <x:c r="E2105" s="49" t="n">
        <x:v>5419234.535999999</x:v>
      </x:c>
      <x:c r="F2105" s="52" t="n">
        <x:v>33781173</x:v>
      </x:c>
      <x:c r="G2105" s="54" t="n">
        <x:v>46220</x:v>
      </x:c>
      <x:c r="H2105" s="14" t="str">
        <x:f>IF(E2105&lt;0,"Componente negativo — manter e investigar","OK")</x:f>
        <x:v>OK</x:v>
      </x:c>
    </x:row>
    <x:row r="2106">
      <x:c r="A2106" s="51" t="n">
        <x:v>44409</x:v>
      </x:c>
      <x:c r="B2106" s="14" t="str">
        <x:v>Sudeste</x:v>
      </x:c>
      <x:c r="C2106" s="14" t="str">
        <x:v>SUDESTE / CENTRO - OESTE</x:v>
      </x:c>
      <x:c r="D2106" s="53" t="str">
        <x:v>Livre</x:v>
      </x:c>
      <x:c r="E2106" s="49" t="n">
        <x:v>336</x:v>
      </x:c>
      <x:c r="F2106" s="52" t="n">
        <x:v>1</x:v>
      </x:c>
      <x:c r="G2106" s="54" t="n">
        <x:v>46220</x:v>
      </x:c>
      <x:c r="H2106" s="14" t="str">
        <x:f>IF(E2106&lt;0,"Componente negativo — manter e investigar","OK")</x:f>
        <x:v>OK</x:v>
      </x:c>
    </x:row>
    <x:row r="2107">
      <x:c r="A2107" s="51" t="n">
        <x:v>44409</x:v>
      </x:c>
      <x:c r="B2107" s="14" t="str">
        <x:v>Sul</x:v>
      </x:c>
      <x:c r="C2107" s="14" t="str">
        <x:v>SUL</x:v>
      </x:c>
      <x:c r="D2107" s="53" t="str">
        <x:v>Cativo</x:v>
      </x:c>
      <x:c r="E2107" s="49" t="n">
        <x:v>1982015.1609999998</x:v>
      </x:c>
      <x:c r="F2107" s="52" t="n">
        <x:v>10807793</x:v>
      </x:c>
      <x:c r="G2107" s="54" t="n">
        <x:v>46220</x:v>
      </x:c>
      <x:c r="H2107" s="14" t="str">
        <x:f>IF(E2107&lt;0,"Componente negativo — manter e investigar","OK")</x:f>
        <x:v>OK</x:v>
      </x:c>
    </x:row>
    <x:row r="2108">
      <x:c r="A2108" s="51" t="n">
        <x:v>44440</x:v>
      </x:c>
      <x:c r="B2108" s="14" t="str">
        <x:v>Centro-Oeste</x:v>
      </x:c>
      <x:c r="C2108" s="14" t="str">
        <x:v>SISTEMAS ISOLADOS</x:v>
      </x:c>
      <x:c r="D2108" s="53" t="str">
        <x:v>Cativo</x:v>
      </x:c>
      <x:c r="E2108" s="49" t="n">
        <x:v>263.471</x:v>
      </x:c>
      <x:c r="F2108" s="52" t="n">
        <x:v>893</x:v>
      </x:c>
      <x:c r="G2108" s="54" t="n">
        <x:v>46220</x:v>
      </x:c>
      <x:c r="H2108" s="14" t="str">
        <x:f>IF(E2108&lt;0,"Componente negativo — manter e investigar","OK")</x:f>
        <x:v>OK</x:v>
      </x:c>
    </x:row>
    <x:row r="2109">
      <x:c r="A2109" s="51" t="n">
        <x:v>44440</x:v>
      </x:c>
      <x:c r="B2109" s="14" t="str">
        <x:v>Centro-Oeste</x:v>
      </x:c>
      <x:c r="C2109" s="14" t="str">
        <x:v>SUDESTE / CENTRO - OESTE</x:v>
      </x:c>
      <x:c r="D2109" s="53" t="str">
        <x:v>Cativo</x:v>
      </x:c>
      <x:c r="E2109" s="49" t="n">
        <x:v>1250164.5359999998</x:v>
      </x:c>
      <x:c r="F2109" s="52" t="n">
        <x:v>5944680</x:v>
      </x:c>
      <x:c r="G2109" s="54" t="n">
        <x:v>46220</x:v>
      </x:c>
      <x:c r="H2109" s="14" t="str">
        <x:f>IF(E2109&lt;0,"Componente negativo — manter e investigar","OK")</x:f>
        <x:v>OK</x:v>
      </x:c>
    </x:row>
    <x:row r="2110">
      <x:c r="A2110" s="51" t="n">
        <x:v>44440</x:v>
      </x:c>
      <x:c r="B2110" s="14" t="str">
        <x:v>Nordeste</x:v>
      </x:c>
      <x:c r="C2110" s="14" t="str">
        <x:v>NORDESTE</x:v>
      </x:c>
      <x:c r="D2110" s="53" t="str">
        <x:v>Cativo</x:v>
      </x:c>
      <x:c r="E2110" s="49" t="n">
        <x:v>2223310.7320000003</x:v>
      </x:c>
      <x:c r="F2110" s="52" t="n">
        <x:v>18022062</x:v>
      </x:c>
      <x:c r="G2110" s="54" t="n">
        <x:v>46220</x:v>
      </x:c>
      <x:c r="H2110" s="14" t="str">
        <x:f>IF(E2110&lt;0,"Componente negativo — manter e investigar","OK")</x:f>
        <x:v>OK</x:v>
      </x:c>
    </x:row>
    <x:row r="2111">
      <x:c r="A2111" s="51" t="n">
        <x:v>44440</x:v>
      </x:c>
      <x:c r="B2111" s="14" t="str">
        <x:v>Nordeste</x:v>
      </x:c>
      <x:c r="C2111" s="14" t="str">
        <x:v>NORTE INTERLIGADO</x:v>
      </x:c>
      <x:c r="D2111" s="53" t="str">
        <x:v>Cativo</x:v>
      </x:c>
      <x:c r="E2111" s="49" t="n">
        <x:v>336709.455</x:v>
      </x:c>
      <x:c r="F2111" s="52" t="n">
        <x:v>2313286</x:v>
      </x:c>
      <x:c r="G2111" s="54" t="n">
        <x:v>46220</x:v>
      </x:c>
      <x:c r="H2111" s="14" t="str">
        <x:f>IF(E2111&lt;0,"Componente negativo — manter e investigar","OK")</x:f>
        <x:v>OK</x:v>
      </x:c>
    </x:row>
    <x:row r="2112">
      <x:c r="A2112" s="51" t="n">
        <x:v>44440</x:v>
      </x:c>
      <x:c r="B2112" s="14" t="str">
        <x:v>Nordeste</x:v>
      </x:c>
      <x:c r="C2112" s="14" t="str">
        <x:v>SISTEMAS ISOLADOS</x:v>
      </x:c>
      <x:c r="D2112" s="53" t="str">
        <x:v>Cativo</x:v>
      </x:c>
      <x:c r="E2112" s="49" t="n">
        <x:v>674</x:v>
      </x:c>
      <x:c r="F2112" s="52" t="n">
        <x:v>665</x:v>
      </x:c>
      <x:c r="G2112" s="54" t="n">
        <x:v>46220</x:v>
      </x:c>
      <x:c r="H2112" s="14" t="str">
        <x:f>IF(E2112&lt;0,"Componente negativo — manter e investigar","OK")</x:f>
        <x:v>OK</x:v>
      </x:c>
    </x:row>
    <x:row r="2113">
      <x:c r="A2113" s="51" t="n">
        <x:v>44440</x:v>
      </x:c>
      <x:c r="B2113" s="14" t="str">
        <x:v>Norte</x:v>
      </x:c>
      <x:c r="C2113" s="14" t="str">
        <x:v>NORTE INTERLIGADO</x:v>
      </x:c>
      <x:c r="D2113" s="53" t="str">
        <x:v>Cativo</x:v>
      </x:c>
      <x:c r="E2113" s="49" t="n">
        <x:v>678609.179</x:v>
      </x:c>
      <x:c r="F2113" s="52" t="n">
        <x:v>3577959</x:v>
      </x:c>
      <x:c r="G2113" s="54" t="n">
        <x:v>46220</x:v>
      </x:c>
      <x:c r="H2113" s="14" t="str">
        <x:f>IF(E2113&lt;0,"Componente negativo — manter e investigar","OK")</x:f>
        <x:v>OK</x:v>
      </x:c>
    </x:row>
    <x:row r="2114">
      <x:c r="A2114" s="51" t="n">
        <x:v>44440</x:v>
      </x:c>
      <x:c r="B2114" s="14" t="str">
        <x:v>Norte</x:v>
      </x:c>
      <x:c r="C2114" s="14" t="str">
        <x:v>SISTEMAS ISOLADOS</x:v>
      </x:c>
      <x:c r="D2114" s="53" t="str">
        <x:v>Cativo</x:v>
      </x:c>
      <x:c r="E2114" s="49" t="n">
        <x:v>134275.824</x:v>
      </x:c>
      <x:c r="F2114" s="52" t="n">
        <x:v>613722</x:v>
      </x:c>
      <x:c r="G2114" s="54" t="n">
        <x:v>46220</x:v>
      </x:c>
      <x:c r="H2114" s="14" t="str">
        <x:f>IF(E2114&lt;0,"Componente negativo — manter e investigar","OK")</x:f>
        <x:v>OK</x:v>
      </x:c>
    </x:row>
    <x:row r="2115">
      <x:c r="A2115" s="51" t="n">
        <x:v>44440</x:v>
      </x:c>
      <x:c r="B2115" s="14" t="str">
        <x:v>Norte</x:v>
      </x:c>
      <x:c r="C2115" s="14" t="str">
        <x:v>SUDESTE / CENTRO - OESTE</x:v>
      </x:c>
      <x:c r="D2115" s="53" t="str">
        <x:v>Cativo</x:v>
      </x:c>
      <x:c r="E2115" s="49" t="n">
        <x:v>175360.613</x:v>
      </x:c>
      <x:c r="F2115" s="52" t="n">
        <x:v>633740</x:v>
      </x:c>
      <x:c r="G2115" s="54" t="n">
        <x:v>46220</x:v>
      </x:c>
      <x:c r="H2115" s="14" t="str">
        <x:f>IF(E2115&lt;0,"Componente negativo — manter e investigar","OK")</x:f>
        <x:v>OK</x:v>
      </x:c>
    </x:row>
    <x:row r="2116">
      <x:c r="A2116" s="51" t="n">
        <x:v>44440</x:v>
      </x:c>
      <x:c r="B2116" s="14" t="str">
        <x:v>Sudeste</x:v>
      </x:c>
      <x:c r="C2116" s="14" t="str">
        <x:v>SUDESTE / CENTRO - OESTE</x:v>
      </x:c>
      <x:c r="D2116" s="53" t="str">
        <x:v>Cativo</x:v>
      </x:c>
      <x:c r="E2116" s="49" t="n">
        <x:v>5923250.858</x:v>
      </x:c>
      <x:c r="F2116" s="52" t="n">
        <x:v>33837730</x:v>
      </x:c>
      <x:c r="G2116" s="54" t="n">
        <x:v>46220</x:v>
      </x:c>
      <x:c r="H2116" s="14" t="str">
        <x:f>IF(E2116&lt;0,"Componente negativo — manter e investigar","OK")</x:f>
        <x:v>OK</x:v>
      </x:c>
    </x:row>
    <x:row r="2117">
      <x:c r="A2117" s="51" t="n">
        <x:v>44440</x:v>
      </x:c>
      <x:c r="B2117" s="14" t="str">
        <x:v>Sudeste</x:v>
      </x:c>
      <x:c r="C2117" s="14" t="str">
        <x:v>SUDESTE / CENTRO - OESTE</x:v>
      </x:c>
      <x:c r="D2117" s="53" t="str">
        <x:v>Livre</x:v>
      </x:c>
      <x:c r="E2117" s="49" t="n">
        <x:v>419</x:v>
      </x:c>
      <x:c r="F2117" s="52" t="n">
        <x:v>1</x:v>
      </x:c>
      <x:c r="G2117" s="54" t="n">
        <x:v>46220</x:v>
      </x:c>
      <x:c r="H2117" s="14" t="str">
        <x:f>IF(E2117&lt;0,"Componente negativo — manter e investigar","OK")</x:f>
        <x:v>OK</x:v>
      </x:c>
    </x:row>
    <x:row r="2118">
      <x:c r="A2118" s="51" t="n">
        <x:v>44440</x:v>
      </x:c>
      <x:c r="B2118" s="14" t="str">
        <x:v>Sul</x:v>
      </x:c>
      <x:c r="C2118" s="14" t="str">
        <x:v>SUL</x:v>
      </x:c>
      <x:c r="D2118" s="53" t="str">
        <x:v>Cativo</x:v>
      </x:c>
      <x:c r="E2118" s="49" t="n">
        <x:v>1836741.918</x:v>
      </x:c>
      <x:c r="F2118" s="52" t="n">
        <x:v>10824279</x:v>
      </x:c>
      <x:c r="G2118" s="54" t="n">
        <x:v>46220</x:v>
      </x:c>
      <x:c r="H2118" s="14" t="str">
        <x:f>IF(E2118&lt;0,"Componente negativo — manter e investigar","OK")</x:f>
        <x:v>OK</x:v>
      </x:c>
    </x:row>
    <x:row r="2119">
      <x:c r="A2119" s="51" t="n">
        <x:v>44470</x:v>
      </x:c>
      <x:c r="B2119" s="14" t="str">
        <x:v>Centro-Oeste</x:v>
      </x:c>
      <x:c r="C2119" s="14" t="str">
        <x:v>SISTEMAS ISOLADOS</x:v>
      </x:c>
      <x:c r="D2119" s="53" t="str">
        <x:v>Cativo</x:v>
      </x:c>
      <x:c r="E2119" s="49" t="n">
        <x:v>241.352</x:v>
      </x:c>
      <x:c r="F2119" s="52" t="n">
        <x:v>896</x:v>
      </x:c>
      <x:c r="G2119" s="54" t="n">
        <x:v>46220</x:v>
      </x:c>
      <x:c r="H2119" s="14" t="str">
        <x:f>IF(E2119&lt;0,"Componente negativo — manter e investigar","OK")</x:f>
        <x:v>OK</x:v>
      </x:c>
    </x:row>
    <x:row r="2120">
      <x:c r="A2120" s="51" t="n">
        <x:v>44470</x:v>
      </x:c>
      <x:c r="B2120" s="14" t="str">
        <x:v>Centro-Oeste</x:v>
      </x:c>
      <x:c r="C2120" s="14" t="str">
        <x:v>SUDESTE / CENTRO - OESTE</x:v>
      </x:c>
      <x:c r="D2120" s="53" t="str">
        <x:v>Cativo</x:v>
      </x:c>
      <x:c r="E2120" s="49" t="n">
        <x:v>1260004.15</x:v>
      </x:c>
      <x:c r="F2120" s="52" t="n">
        <x:v>5949776</x:v>
      </x:c>
      <x:c r="G2120" s="54" t="n">
        <x:v>46220</x:v>
      </x:c>
      <x:c r="H2120" s="14" t="str">
        <x:f>IF(E2120&lt;0,"Componente negativo — manter e investigar","OK")</x:f>
        <x:v>OK</x:v>
      </x:c>
    </x:row>
    <x:row r="2121">
      <x:c r="A2121" s="51" t="n">
        <x:v>44470</x:v>
      </x:c>
      <x:c r="B2121" s="14" t="str">
        <x:v>Nordeste</x:v>
      </x:c>
      <x:c r="C2121" s="14" t="str">
        <x:v>NORDESTE</x:v>
      </x:c>
      <x:c r="D2121" s="53" t="str">
        <x:v>Cativo</x:v>
      </x:c>
      <x:c r="E2121" s="49" t="n">
        <x:v>2338017.039</x:v>
      </x:c>
      <x:c r="F2121" s="52" t="n">
        <x:v>18029062</x:v>
      </x:c>
      <x:c r="G2121" s="54" t="n">
        <x:v>46220</x:v>
      </x:c>
      <x:c r="H2121" s="14" t="str">
        <x:f>IF(E2121&lt;0,"Componente negativo — manter e investigar","OK")</x:f>
        <x:v>OK</x:v>
      </x:c>
    </x:row>
    <x:row r="2122">
      <x:c r="A2122" s="51" t="n">
        <x:v>44470</x:v>
      </x:c>
      <x:c r="B2122" s="14" t="str">
        <x:v>Nordeste</x:v>
      </x:c>
      <x:c r="C2122" s="14" t="str">
        <x:v>NORTE INTERLIGADO</x:v>
      </x:c>
      <x:c r="D2122" s="53" t="str">
        <x:v>Cativo</x:v>
      </x:c>
      <x:c r="E2122" s="49" t="n">
        <x:v>340386.616</x:v>
      </x:c>
      <x:c r="F2122" s="52" t="n">
        <x:v>2313521</x:v>
      </x:c>
      <x:c r="G2122" s="54" t="n">
        <x:v>46220</x:v>
      </x:c>
      <x:c r="H2122" s="14" t="str">
        <x:f>IF(E2122&lt;0,"Componente negativo — manter e investigar","OK")</x:f>
        <x:v>OK</x:v>
      </x:c>
    </x:row>
    <x:row r="2123">
      <x:c r="A2123" s="51" t="n">
        <x:v>44470</x:v>
      </x:c>
      <x:c r="B2123" s="14" t="str">
        <x:v>Nordeste</x:v>
      </x:c>
      <x:c r="C2123" s="14" t="str">
        <x:v>SISTEMAS ISOLADOS</x:v>
      </x:c>
      <x:c r="D2123" s="53" t="str">
        <x:v>Cativo</x:v>
      </x:c>
      <x:c r="E2123" s="49" t="n">
        <x:v>745</x:v>
      </x:c>
      <x:c r="F2123" s="52" t="n">
        <x:v>666</x:v>
      </x:c>
      <x:c r="G2123" s="54" t="n">
        <x:v>46220</x:v>
      </x:c>
      <x:c r="H2123" s="14" t="str">
        <x:f>IF(E2123&lt;0,"Componente negativo — manter e investigar","OK")</x:f>
        <x:v>OK</x:v>
      </x:c>
    </x:row>
    <x:row r="2124">
      <x:c r="A2124" s="51" t="n">
        <x:v>44470</x:v>
      </x:c>
      <x:c r="B2124" s="14" t="str">
        <x:v>Norte</x:v>
      </x:c>
      <x:c r="C2124" s="14" t="str">
        <x:v>NORTE INTERLIGADO</x:v>
      </x:c>
      <x:c r="D2124" s="53" t="str">
        <x:v>Cativo</x:v>
      </x:c>
      <x:c r="E2124" s="49" t="n">
        <x:v>662880.318</x:v>
      </x:c>
      <x:c r="F2124" s="52" t="n">
        <x:v>3657534</x:v>
      </x:c>
      <x:c r="G2124" s="54" t="n">
        <x:v>46220</x:v>
      </x:c>
      <x:c r="H2124" s="14" t="str">
        <x:f>IF(E2124&lt;0,"Componente negativo — manter e investigar","OK")</x:f>
        <x:v>OK</x:v>
      </x:c>
    </x:row>
    <x:row r="2125">
      <x:c r="A2125" s="51" t="n">
        <x:v>44470</x:v>
      </x:c>
      <x:c r="B2125" s="14" t="str">
        <x:v>Norte</x:v>
      </x:c>
      <x:c r="C2125" s="14" t="str">
        <x:v>SISTEMAS ISOLADOS</x:v>
      </x:c>
      <x:c r="D2125" s="53" t="str">
        <x:v>Cativo</x:v>
      </x:c>
      <x:c r="E2125" s="49" t="n">
        <x:v>134662.836</x:v>
      </x:c>
      <x:c r="F2125" s="52" t="n">
        <x:v>610049</x:v>
      </x:c>
      <x:c r="G2125" s="54" t="n">
        <x:v>46220</x:v>
      </x:c>
      <x:c r="H2125" s="14" t="str">
        <x:f>IF(E2125&lt;0,"Componente negativo — manter e investigar","OK")</x:f>
        <x:v>OK</x:v>
      </x:c>
    </x:row>
    <x:row r="2126">
      <x:c r="A2126" s="51" t="n">
        <x:v>44470</x:v>
      </x:c>
      <x:c r="B2126" s="14" t="str">
        <x:v>Norte</x:v>
      </x:c>
      <x:c r="C2126" s="14" t="str">
        <x:v>SUDESTE / CENTRO - OESTE</x:v>
      </x:c>
      <x:c r="D2126" s="53" t="str">
        <x:v>Cativo</x:v>
      </x:c>
      <x:c r="E2126" s="49" t="n">
        <x:v>178170.312</x:v>
      </x:c>
      <x:c r="F2126" s="52" t="n">
        <x:v>647169</x:v>
      </x:c>
      <x:c r="G2126" s="54" t="n">
        <x:v>46220</x:v>
      </x:c>
      <x:c r="H2126" s="14" t="str">
        <x:f>IF(E2126&lt;0,"Componente negativo — manter e investigar","OK")</x:f>
        <x:v>OK</x:v>
      </x:c>
    </x:row>
    <x:row r="2127">
      <x:c r="A2127" s="51" t="n">
        <x:v>44470</x:v>
      </x:c>
      <x:c r="B2127" s="14" t="str">
        <x:v>Sudeste</x:v>
      </x:c>
      <x:c r="C2127" s="14" t="str">
        <x:v>SUDESTE / CENTRO - OESTE</x:v>
      </x:c>
      <x:c r="D2127" s="53" t="str">
        <x:v>Cativo</x:v>
      </x:c>
      <x:c r="E2127" s="49" t="n">
        <x:v>5705283.4229999995</x:v>
      </x:c>
      <x:c r="F2127" s="52" t="n">
        <x:v>33882359</x:v>
      </x:c>
      <x:c r="G2127" s="54" t="n">
        <x:v>46220</x:v>
      </x:c>
      <x:c r="H2127" s="14" t="str">
        <x:f>IF(E2127&lt;0,"Componente negativo — manter e investigar","OK")</x:f>
        <x:v>OK</x:v>
      </x:c>
    </x:row>
    <x:row r="2128">
      <x:c r="A2128" s="51" t="n">
        <x:v>44470</x:v>
      </x:c>
      <x:c r="B2128" s="14" t="str">
        <x:v>Sudeste</x:v>
      </x:c>
      <x:c r="C2128" s="14" t="str">
        <x:v>SUDESTE / CENTRO - OESTE</x:v>
      </x:c>
      <x:c r="D2128" s="53" t="str">
        <x:v>Livre</x:v>
      </x:c>
      <x:c r="E2128" s="49" t="n">
        <x:v>391</x:v>
      </x:c>
      <x:c r="F2128" s="52" t="n">
        <x:v>1</x:v>
      </x:c>
      <x:c r="G2128" s="54" t="n">
        <x:v>46220</x:v>
      </x:c>
      <x:c r="H2128" s="14" t="str">
        <x:f>IF(E2128&lt;0,"Componente negativo — manter e investigar","OK")</x:f>
        <x:v>OK</x:v>
      </x:c>
    </x:row>
    <x:row r="2129">
      <x:c r="A2129" s="51" t="n">
        <x:v>44470</x:v>
      </x:c>
      <x:c r="B2129" s="14" t="str">
        <x:v>Sul</x:v>
      </x:c>
      <x:c r="C2129" s="14" t="str">
        <x:v>SUL</x:v>
      </x:c>
      <x:c r="D2129" s="53" t="str">
        <x:v>Cativo</x:v>
      </x:c>
      <x:c r="E2129" s="49" t="n">
        <x:v>1878102.825</x:v>
      </x:c>
      <x:c r="F2129" s="52" t="n">
        <x:v>10844863</x:v>
      </x:c>
      <x:c r="G2129" s="54" t="n">
        <x:v>46220</x:v>
      </x:c>
      <x:c r="H2129" s="14" t="str">
        <x:f>IF(E2129&lt;0,"Componente negativo — manter e investigar","OK")</x:f>
        <x:v>OK</x:v>
      </x:c>
    </x:row>
    <x:row r="2130">
      <x:c r="A2130" s="51" t="n">
        <x:v>44501</x:v>
      </x:c>
      <x:c r="B2130" s="14" t="str">
        <x:v>Centro-Oeste</x:v>
      </x:c>
      <x:c r="C2130" s="14" t="str">
        <x:v>SISTEMAS ISOLADOS</x:v>
      </x:c>
      <x:c r="D2130" s="53" t="str">
        <x:v>Cativo</x:v>
      </x:c>
      <x:c r="E2130" s="49" t="n">
        <x:v>246.442</x:v>
      </x:c>
      <x:c r="F2130" s="52" t="n">
        <x:v>919</x:v>
      </x:c>
      <x:c r="G2130" s="54" t="n">
        <x:v>46220</x:v>
      </x:c>
      <x:c r="H2130" s="14" t="str">
        <x:f>IF(E2130&lt;0,"Componente negativo — manter e investigar","OK")</x:f>
        <x:v>OK</x:v>
      </x:c>
    </x:row>
    <x:row r="2131">
      <x:c r="A2131" s="51" t="n">
        <x:v>44501</x:v>
      </x:c>
      <x:c r="B2131" s="14" t="str">
        <x:v>Centro-Oeste</x:v>
      </x:c>
      <x:c r="C2131" s="14" t="str">
        <x:v>SUDESTE / CENTRO - OESTE</x:v>
      </x:c>
      <x:c r="D2131" s="53" t="str">
        <x:v>Cativo</x:v>
      </x:c>
      <x:c r="E2131" s="49" t="n">
        <x:v>1146463.883</x:v>
      </x:c>
      <x:c r="F2131" s="52" t="n">
        <x:v>5957345</x:v>
      </x:c>
      <x:c r="G2131" s="54" t="n">
        <x:v>46220</x:v>
      </x:c>
      <x:c r="H2131" s="14" t="str">
        <x:f>IF(E2131&lt;0,"Componente negativo — manter e investigar","OK")</x:f>
        <x:v>OK</x:v>
      </x:c>
    </x:row>
    <x:row r="2132">
      <x:c r="A2132" s="51" t="n">
        <x:v>44501</x:v>
      </x:c>
      <x:c r="B2132" s="14" t="str">
        <x:v>Nordeste</x:v>
      </x:c>
      <x:c r="C2132" s="14" t="str">
        <x:v>NORDESTE</x:v>
      </x:c>
      <x:c r="D2132" s="53" t="str">
        <x:v>Cativo</x:v>
      </x:c>
      <x:c r="E2132" s="49" t="n">
        <x:v>2333338.745</x:v>
      </x:c>
      <x:c r="F2132" s="52" t="n">
        <x:v>18048548</x:v>
      </x:c>
      <x:c r="G2132" s="54" t="n">
        <x:v>46220</x:v>
      </x:c>
      <x:c r="H2132" s="14" t="str">
        <x:f>IF(E2132&lt;0,"Componente negativo — manter e investigar","OK")</x:f>
        <x:v>OK</x:v>
      </x:c>
    </x:row>
    <x:row r="2133">
      <x:c r="A2133" s="51" t="n">
        <x:v>44501</x:v>
      </x:c>
      <x:c r="B2133" s="14" t="str">
        <x:v>Nordeste</x:v>
      </x:c>
      <x:c r="C2133" s="14" t="str">
        <x:v>NORTE INTERLIGADO</x:v>
      </x:c>
      <x:c r="D2133" s="53" t="str">
        <x:v>Cativo</x:v>
      </x:c>
      <x:c r="E2133" s="49" t="n">
        <x:v>334097.666</x:v>
      </x:c>
      <x:c r="F2133" s="52" t="n">
        <x:v>2320497</x:v>
      </x:c>
      <x:c r="G2133" s="54" t="n">
        <x:v>46220</x:v>
      </x:c>
      <x:c r="H2133" s="14" t="str">
        <x:f>IF(E2133&lt;0,"Componente negativo — manter e investigar","OK")</x:f>
        <x:v>OK</x:v>
      </x:c>
    </x:row>
    <x:row r="2134">
      <x:c r="A2134" s="51" t="n">
        <x:v>44501</x:v>
      </x:c>
      <x:c r="B2134" s="14" t="str">
        <x:v>Nordeste</x:v>
      </x:c>
      <x:c r="C2134" s="14" t="str">
        <x:v>SISTEMAS ISOLADOS</x:v>
      </x:c>
      <x:c r="D2134" s="53" t="str">
        <x:v>Cativo</x:v>
      </x:c>
      <x:c r="E2134" s="49" t="n">
        <x:v>715</x:v>
      </x:c>
      <x:c r="F2134" s="52" t="n">
        <x:v>668</x:v>
      </x:c>
      <x:c r="G2134" s="54" t="n">
        <x:v>46220</x:v>
      </x:c>
      <x:c r="H2134" s="14" t="str">
        <x:f>IF(E2134&lt;0,"Componente negativo — manter e investigar","OK")</x:f>
        <x:v>OK</x:v>
      </x:c>
    </x:row>
    <x:row r="2135">
      <x:c r="A2135" s="51" t="n">
        <x:v>44501</x:v>
      </x:c>
      <x:c r="B2135" s="14" t="str">
        <x:v>Norte</x:v>
      </x:c>
      <x:c r="C2135" s="14" t="str">
        <x:v>NORTE INTERLIGADO</x:v>
      </x:c>
      <x:c r="D2135" s="53" t="str">
        <x:v>Cativo</x:v>
      </x:c>
      <x:c r="E2135" s="49" t="n">
        <x:v>663334.744</x:v>
      </x:c>
      <x:c r="F2135" s="52" t="n">
        <x:v>3596391</x:v>
      </x:c>
      <x:c r="G2135" s="54" t="n">
        <x:v>46220</x:v>
      </x:c>
      <x:c r="H2135" s="14" t="str">
        <x:f>IF(E2135&lt;0,"Componente negativo — manter e investigar","OK")</x:f>
        <x:v>OK</x:v>
      </x:c>
    </x:row>
    <x:row r="2136">
      <x:c r="A2136" s="51" t="n">
        <x:v>44501</x:v>
      </x:c>
      <x:c r="B2136" s="14" t="str">
        <x:v>Norte</x:v>
      </x:c>
      <x:c r="C2136" s="14" t="str">
        <x:v>SISTEMAS ISOLADOS</x:v>
      </x:c>
      <x:c r="D2136" s="53" t="str">
        <x:v>Cativo</x:v>
      </x:c>
      <x:c r="E2136" s="49" t="n">
        <x:v>132738.599</x:v>
      </x:c>
      <x:c r="F2136" s="52" t="n">
        <x:v>605881</x:v>
      </x:c>
      <x:c r="G2136" s="54" t="n">
        <x:v>46220</x:v>
      </x:c>
      <x:c r="H2136" s="14" t="str">
        <x:f>IF(E2136&lt;0,"Componente negativo — manter e investigar","OK")</x:f>
        <x:v>OK</x:v>
      </x:c>
    </x:row>
    <x:row r="2137">
      <x:c r="A2137" s="51" t="n">
        <x:v>44501</x:v>
      </x:c>
      <x:c r="B2137" s="14" t="str">
        <x:v>Norte</x:v>
      </x:c>
      <x:c r="C2137" s="14" t="str">
        <x:v>SUDESTE / CENTRO - OESTE</x:v>
      </x:c>
      <x:c r="D2137" s="53" t="str">
        <x:v>Cativo</x:v>
      </x:c>
      <x:c r="E2137" s="49" t="n">
        <x:v>162060.545</x:v>
      </x:c>
      <x:c r="F2137" s="52" t="n">
        <x:v>645256</x:v>
      </x:c>
      <x:c r="G2137" s="54" t="n">
        <x:v>46220</x:v>
      </x:c>
      <x:c r="H2137" s="14" t="str">
        <x:f>IF(E2137&lt;0,"Componente negativo — manter e investigar","OK")</x:f>
        <x:v>OK</x:v>
      </x:c>
    </x:row>
    <x:row r="2138">
      <x:c r="A2138" s="51" t="n">
        <x:v>44501</x:v>
      </x:c>
      <x:c r="B2138" s="14" t="str">
        <x:v>Sudeste</x:v>
      </x:c>
      <x:c r="C2138" s="14" t="str">
        <x:v>SUDESTE / CENTRO - OESTE</x:v>
      </x:c>
      <x:c r="D2138" s="53" t="str">
        <x:v>Cativo</x:v>
      </x:c>
      <x:c r="E2138" s="49" t="n">
        <x:v>5627181.234999999</x:v>
      </x:c>
      <x:c r="F2138" s="52" t="n">
        <x:v>33923071</x:v>
      </x:c>
      <x:c r="G2138" s="54" t="n">
        <x:v>46220</x:v>
      </x:c>
      <x:c r="H2138" s="14" t="str">
        <x:f>IF(E2138&lt;0,"Componente negativo — manter e investigar","OK")</x:f>
        <x:v>OK</x:v>
      </x:c>
    </x:row>
    <x:row r="2139">
      <x:c r="A2139" s="51" t="n">
        <x:v>44501</x:v>
      </x:c>
      <x:c r="B2139" s="14" t="str">
        <x:v>Sudeste</x:v>
      </x:c>
      <x:c r="C2139" s="14" t="str">
        <x:v>SUDESTE / CENTRO - OESTE</x:v>
      </x:c>
      <x:c r="D2139" s="53" t="str">
        <x:v>Livre</x:v>
      </x:c>
      <x:c r="E2139" s="49" t="n">
        <x:v>453</x:v>
      </x:c>
      <x:c r="F2139" s="52" t="n">
        <x:v>1</x:v>
      </x:c>
      <x:c r="G2139" s="54" t="n">
        <x:v>46220</x:v>
      </x:c>
      <x:c r="H2139" s="14" t="str">
        <x:f>IF(E2139&lt;0,"Componente negativo — manter e investigar","OK")</x:f>
        <x:v>OK</x:v>
      </x:c>
    </x:row>
    <x:row r="2140">
      <x:c r="A2140" s="51" t="n">
        <x:v>44501</x:v>
      </x:c>
      <x:c r="B2140" s="14" t="str">
        <x:v>Sul</x:v>
      </x:c>
      <x:c r="C2140" s="14" t="str">
        <x:v>SUL</x:v>
      </x:c>
      <x:c r="D2140" s="53" t="str">
        <x:v>Cativo</x:v>
      </x:c>
      <x:c r="E2140" s="49" t="n">
        <x:v>1945066.323</x:v>
      </x:c>
      <x:c r="F2140" s="52" t="n">
        <x:v>10867478</x:v>
      </x:c>
      <x:c r="G2140" s="54" t="n">
        <x:v>46220</x:v>
      </x:c>
      <x:c r="H2140" s="14" t="str">
        <x:f>IF(E2140&lt;0,"Componente negativo — manter e investigar","OK")</x:f>
        <x:v>OK</x:v>
      </x:c>
    </x:row>
    <x:row r="2141">
      <x:c r="A2141" s="51" t="n">
        <x:v>44531</x:v>
      </x:c>
      <x:c r="B2141" s="14" t="str">
        <x:v>Centro-Oeste</x:v>
      </x:c>
      <x:c r="C2141" s="14" t="str">
        <x:v>SISTEMAS ISOLADOS</x:v>
      </x:c>
      <x:c r="D2141" s="53" t="str">
        <x:v>Cativo</x:v>
      </x:c>
      <x:c r="E2141" s="49" t="n">
        <x:v>259.384</x:v>
      </x:c>
      <x:c r="F2141" s="52" t="n">
        <x:v>917</x:v>
      </x:c>
      <x:c r="G2141" s="54" t="n">
        <x:v>46220</x:v>
      </x:c>
      <x:c r="H2141" s="14" t="str">
        <x:f>IF(E2141&lt;0,"Componente negativo — manter e investigar","OK")</x:f>
        <x:v>OK</x:v>
      </x:c>
    </x:row>
    <x:row r="2142">
      <x:c r="A2142" s="51" t="n">
        <x:v>44531</x:v>
      </x:c>
      <x:c r="B2142" s="14" t="str">
        <x:v>Centro-Oeste</x:v>
      </x:c>
      <x:c r="C2142" s="14" t="str">
        <x:v>SUDESTE / CENTRO - OESTE</x:v>
      </x:c>
      <x:c r="D2142" s="53" t="str">
        <x:v>Cativo</x:v>
      </x:c>
      <x:c r="E2142" s="49" t="n">
        <x:v>1214356.63</x:v>
      </x:c>
      <x:c r="F2142" s="52" t="n">
        <x:v>5974471</x:v>
      </x:c>
      <x:c r="G2142" s="54" t="n">
        <x:v>46220</x:v>
      </x:c>
      <x:c r="H2142" s="14" t="str">
        <x:f>IF(E2142&lt;0,"Componente negativo — manter e investigar","OK")</x:f>
        <x:v>OK</x:v>
      </x:c>
    </x:row>
    <x:row r="2143">
      <x:c r="A2143" s="51" t="n">
        <x:v>44531</x:v>
      </x:c>
      <x:c r="B2143" s="14" t="str">
        <x:v>Nordeste</x:v>
      </x:c>
      <x:c r="C2143" s="14" t="str">
        <x:v>NORDESTE</x:v>
      </x:c>
      <x:c r="D2143" s="53" t="str">
        <x:v>Cativo</x:v>
      </x:c>
      <x:c r="E2143" s="49" t="n">
        <x:v>2492389.4739999995</x:v>
      </x:c>
      <x:c r="F2143" s="52" t="n">
        <x:v>18104700</x:v>
      </x:c>
      <x:c r="G2143" s="54" t="n">
        <x:v>46220</x:v>
      </x:c>
      <x:c r="H2143" s="14" t="str">
        <x:f>IF(E2143&lt;0,"Componente negativo — manter e investigar","OK")</x:f>
        <x:v>OK</x:v>
      </x:c>
    </x:row>
    <x:row r="2144">
      <x:c r="A2144" s="51" t="n">
        <x:v>44531</x:v>
      </x:c>
      <x:c r="B2144" s="14" t="str">
        <x:v>Nordeste</x:v>
      </x:c>
      <x:c r="C2144" s="14" t="str">
        <x:v>NORTE INTERLIGADO</x:v>
      </x:c>
      <x:c r="D2144" s="53" t="str">
        <x:v>Cativo</x:v>
      </x:c>
      <x:c r="E2144" s="49" t="n">
        <x:v>338420.289</x:v>
      </x:c>
      <x:c r="F2144" s="52" t="n">
        <x:v>2327284</x:v>
      </x:c>
      <x:c r="G2144" s="54" t="n">
        <x:v>46220</x:v>
      </x:c>
      <x:c r="H2144" s="14" t="str">
        <x:f>IF(E2144&lt;0,"Componente negativo — manter e investigar","OK")</x:f>
        <x:v>OK</x:v>
      </x:c>
    </x:row>
    <x:row r="2145">
      <x:c r="A2145" s="51" t="n">
        <x:v>44531</x:v>
      </x:c>
      <x:c r="B2145" s="14" t="str">
        <x:v>Nordeste</x:v>
      </x:c>
      <x:c r="C2145" s="14" t="str">
        <x:v>SISTEMAS ISOLADOS</x:v>
      </x:c>
      <x:c r="D2145" s="53" t="str">
        <x:v>Cativo</x:v>
      </x:c>
      <x:c r="E2145" s="49" t="n">
        <x:v>831</x:v>
      </x:c>
      <x:c r="F2145" s="52" t="n">
        <x:v>669</x:v>
      </x:c>
      <x:c r="G2145" s="54" t="n">
        <x:v>46220</x:v>
      </x:c>
      <x:c r="H2145" s="14" t="str">
        <x:f>IF(E2145&lt;0,"Componente negativo — manter e investigar","OK")</x:f>
        <x:v>OK</x:v>
      </x:c>
    </x:row>
    <x:row r="2146">
      <x:c r="A2146" s="51" t="n">
        <x:v>44531</x:v>
      </x:c>
      <x:c r="B2146" s="14" t="str">
        <x:v>Norte</x:v>
      </x:c>
      <x:c r="C2146" s="14" t="str">
        <x:v>NORTE INTERLIGADO</x:v>
      </x:c>
      <x:c r="D2146" s="53" t="str">
        <x:v>Cativo</x:v>
      </x:c>
      <x:c r="E2146" s="49" t="n">
        <x:v>661105.627</x:v>
      </x:c>
      <x:c r="F2146" s="52" t="n">
        <x:v>3589662</x:v>
      </x:c>
      <x:c r="G2146" s="54" t="n">
        <x:v>46220</x:v>
      </x:c>
      <x:c r="H2146" s="14" t="str">
        <x:f>IF(E2146&lt;0,"Componente negativo — manter e investigar","OK")</x:f>
        <x:v>OK</x:v>
      </x:c>
    </x:row>
    <x:row r="2147">
      <x:c r="A2147" s="51" t="n">
        <x:v>44531</x:v>
      </x:c>
      <x:c r="B2147" s="14" t="str">
        <x:v>Norte</x:v>
      </x:c>
      <x:c r="C2147" s="14" t="str">
        <x:v>SISTEMAS ISOLADOS</x:v>
      </x:c>
      <x:c r="D2147" s="53" t="str">
        <x:v>Cativo</x:v>
      </x:c>
      <x:c r="E2147" s="49" t="n">
        <x:v>127012.752</x:v>
      </x:c>
      <x:c r="F2147" s="52" t="n">
        <x:v>606000</x:v>
      </x:c>
      <x:c r="G2147" s="54" t="n">
        <x:v>46220</x:v>
      </x:c>
      <x:c r="H2147" s="14" t="str">
        <x:f>IF(E2147&lt;0,"Componente negativo — manter e investigar","OK")</x:f>
        <x:v>OK</x:v>
      </x:c>
    </x:row>
    <x:row r="2148">
      <x:c r="A2148" s="51" t="n">
        <x:v>44531</x:v>
      </x:c>
      <x:c r="B2148" s="14" t="str">
        <x:v>Norte</x:v>
      </x:c>
      <x:c r="C2148" s="14" t="str">
        <x:v>SUDESTE / CENTRO - OESTE</x:v>
      </x:c>
      <x:c r="D2148" s="53" t="str">
        <x:v>Cativo</x:v>
      </x:c>
      <x:c r="E2148" s="49" t="n">
        <x:v>158197.87</x:v>
      </x:c>
      <x:c r="F2148" s="52" t="n">
        <x:v>646710</x:v>
      </x:c>
      <x:c r="G2148" s="54" t="n">
        <x:v>46220</x:v>
      </x:c>
      <x:c r="H2148" s="14" t="str">
        <x:f>IF(E2148&lt;0,"Componente negativo — manter e investigar","OK")</x:f>
        <x:v>OK</x:v>
      </x:c>
    </x:row>
    <x:row r="2149">
      <x:c r="A2149" s="51" t="n">
        <x:v>44531</x:v>
      </x:c>
      <x:c r="B2149" s="14" t="str">
        <x:v>Sudeste</x:v>
      </x:c>
      <x:c r="C2149" s="14" t="str">
        <x:v>SUDESTE / CENTRO - OESTE</x:v>
      </x:c>
      <x:c r="D2149" s="53" t="str">
        <x:v>Cativo</x:v>
      </x:c>
      <x:c r="E2149" s="49" t="n">
        <x:v>6005510.863</x:v>
      </x:c>
      <x:c r="F2149" s="52" t="n">
        <x:v>33939166</x:v>
      </x:c>
      <x:c r="G2149" s="54" t="n">
        <x:v>46220</x:v>
      </x:c>
      <x:c r="H2149" s="14" t="str">
        <x:f>IF(E2149&lt;0,"Componente negativo — manter e investigar","OK")</x:f>
        <x:v>OK</x:v>
      </x:c>
    </x:row>
    <x:row r="2150">
      <x:c r="A2150" s="51" t="n">
        <x:v>44531</x:v>
      </x:c>
      <x:c r="B2150" s="14" t="str">
        <x:v>Sudeste</x:v>
      </x:c>
      <x:c r="C2150" s="14" t="str">
        <x:v>SUDESTE / CENTRO - OESTE</x:v>
      </x:c>
      <x:c r="D2150" s="53" t="str">
        <x:v>Livre</x:v>
      </x:c>
      <x:c r="E2150" s="49" t="n">
        <x:v>415</x:v>
      </x:c>
      <x:c r="F2150" s="52" t="n">
        <x:v>1</x:v>
      </x:c>
      <x:c r="G2150" s="54" t="n">
        <x:v>46220</x:v>
      </x:c>
      <x:c r="H2150" s="14" t="str">
        <x:f>IF(E2150&lt;0,"Componente negativo — manter e investigar","OK")</x:f>
        <x:v>OK</x:v>
      </x:c>
    </x:row>
    <x:row r="2151">
      <x:c r="A2151" s="51" t="n">
        <x:v>44531</x:v>
      </x:c>
      <x:c r="B2151" s="14" t="str">
        <x:v>Sul</x:v>
      </x:c>
      <x:c r="C2151" s="14" t="str">
        <x:v>SUL</x:v>
      </x:c>
      <x:c r="D2151" s="53" t="str">
        <x:v>Cativo</x:v>
      </x:c>
      <x:c r="E2151" s="49" t="n">
        <x:v>2082090.5239999997</x:v>
      </x:c>
      <x:c r="F2151" s="52" t="n">
        <x:v>10885373</x:v>
      </x:c>
      <x:c r="G2151" s="54" t="n">
        <x:v>46220</x:v>
      </x:c>
      <x:c r="H2151" s="14" t="str">
        <x:f>IF(E2151&lt;0,"Componente negativo — manter e investigar","OK")</x:f>
        <x:v>OK</x:v>
      </x:c>
    </x:row>
    <x:row r="2152">
      <x:c r="A2152" s="51" t="n">
        <x:v>44562</x:v>
      </x:c>
      <x:c r="B2152" s="14" t="str">
        <x:v>Centro-Oeste</x:v>
      </x:c>
      <x:c r="C2152" s="14" t="str">
        <x:v>SISTEMAS ISOLADOS</x:v>
      </x:c>
      <x:c r="D2152" s="53" t="str">
        <x:v>Cativo</x:v>
      </x:c>
      <x:c r="E2152" s="49" t="n">
        <x:v>223.755</x:v>
      </x:c>
      <x:c r="F2152" s="52" t="n">
        <x:v>923</x:v>
      </x:c>
      <x:c r="G2152" s="54" t="n">
        <x:v>46220</x:v>
      </x:c>
      <x:c r="H2152" s="14" t="str">
        <x:f>IF(E2152&lt;0,"Componente negativo — manter e investigar","OK")</x:f>
        <x:v>OK</x:v>
      </x:c>
    </x:row>
    <x:row r="2153">
      <x:c r="A2153" s="51" t="n">
        <x:v>44562</x:v>
      </x:c>
      <x:c r="B2153" s="14" t="str">
        <x:v>Centro-Oeste</x:v>
      </x:c>
      <x:c r="C2153" s="14" t="str">
        <x:v>SUDESTE / CENTRO - OESTE</x:v>
      </x:c>
      <x:c r="D2153" s="53" t="str">
        <x:v>Cativo</x:v>
      </x:c>
      <x:c r="E2153" s="49" t="n">
        <x:v>1156867.2889999999</x:v>
      </x:c>
      <x:c r="F2153" s="52" t="n">
        <x:v>5954092</x:v>
      </x:c>
      <x:c r="G2153" s="54" t="n">
        <x:v>46220</x:v>
      </x:c>
      <x:c r="H2153" s="14" t="str">
        <x:f>IF(E2153&lt;0,"Componente negativo — manter e investigar","OK")</x:f>
        <x:v>OK</x:v>
      </x:c>
    </x:row>
    <x:row r="2154">
      <x:c r="A2154" s="51" t="n">
        <x:v>44562</x:v>
      </x:c>
      <x:c r="B2154" s="14" t="str">
        <x:v>Nordeste</x:v>
      </x:c>
      <x:c r="C2154" s="14" t="str">
        <x:v>NORDESTE</x:v>
      </x:c>
      <x:c r="D2154" s="53" t="str">
        <x:v>Cativo</x:v>
      </x:c>
      <x:c r="E2154" s="49" t="n">
        <x:v>2379850.5490000006</x:v>
      </x:c>
      <x:c r="F2154" s="52" t="n">
        <x:v>18289971</x:v>
      </x:c>
      <x:c r="G2154" s="54" t="n">
        <x:v>46220</x:v>
      </x:c>
      <x:c r="H2154" s="14" t="str">
        <x:f>IF(E2154&lt;0,"Componente negativo — manter e investigar","OK")</x:f>
        <x:v>OK</x:v>
      </x:c>
    </x:row>
    <x:row r="2155">
      <x:c r="A2155" s="51" t="n">
        <x:v>44562</x:v>
      </x:c>
      <x:c r="B2155" s="14" t="str">
        <x:v>Nordeste</x:v>
      </x:c>
      <x:c r="C2155" s="14" t="str">
        <x:v>NORTE INTERLIGADO</x:v>
      </x:c>
      <x:c r="D2155" s="53" t="str">
        <x:v>Cativo</x:v>
      </x:c>
      <x:c r="E2155" s="49" t="n">
        <x:v>306722.521</x:v>
      </x:c>
      <x:c r="F2155" s="52" t="n">
        <x:v>2331387</x:v>
      </x:c>
      <x:c r="G2155" s="54" t="n">
        <x:v>46220</x:v>
      </x:c>
      <x:c r="H2155" s="14" t="str">
        <x:f>IF(E2155&lt;0,"Componente negativo — manter e investigar","OK")</x:f>
        <x:v>OK</x:v>
      </x:c>
    </x:row>
    <x:row r="2156">
      <x:c r="A2156" s="51" t="n">
        <x:v>44562</x:v>
      </x:c>
      <x:c r="B2156" s="14" t="str">
        <x:v>Nordeste</x:v>
      </x:c>
      <x:c r="C2156" s="14" t="str">
        <x:v>SISTEMAS ISOLADOS</x:v>
      </x:c>
      <x:c r="D2156" s="53" t="str">
        <x:v>Cativo</x:v>
      </x:c>
      <x:c r="E2156" s="49" t="n">
        <x:v>769</x:v>
      </x:c>
      <x:c r="F2156" s="52" t="n">
        <x:v>667</x:v>
      </x:c>
      <x:c r="G2156" s="54" t="n">
        <x:v>46220</x:v>
      </x:c>
      <x:c r="H2156" s="14" t="str">
        <x:f>IF(E2156&lt;0,"Componente negativo — manter e investigar","OK")</x:f>
        <x:v>OK</x:v>
      </x:c>
    </x:row>
    <x:row r="2157">
      <x:c r="A2157" s="51" t="n">
        <x:v>44562</x:v>
      </x:c>
      <x:c r="B2157" s="14" t="str">
        <x:v>Norte</x:v>
      </x:c>
      <x:c r="C2157" s="14" t="str">
        <x:v>NORTE INTERLIGADO</x:v>
      </x:c>
      <x:c r="D2157" s="53" t="str">
        <x:v>Cativo</x:v>
      </x:c>
      <x:c r="E2157" s="49" t="n">
        <x:v>594731.7760000001</x:v>
      </x:c>
      <x:c r="F2157" s="52" t="n">
        <x:v>3600799</x:v>
      </x:c>
      <x:c r="G2157" s="54" t="n">
        <x:v>46220</x:v>
      </x:c>
      <x:c r="H2157" s="14" t="str">
        <x:f>IF(E2157&lt;0,"Componente negativo — manter e investigar","OK")</x:f>
        <x:v>OK</x:v>
      </x:c>
    </x:row>
    <x:row r="2158">
      <x:c r="A2158" s="51" t="n">
        <x:v>44562</x:v>
      </x:c>
      <x:c r="B2158" s="14" t="str">
        <x:v>Norte</x:v>
      </x:c>
      <x:c r="C2158" s="14" t="str">
        <x:v>SISTEMAS ISOLADOS</x:v>
      </x:c>
      <x:c r="D2158" s="53" t="str">
        <x:v>Cativo</x:v>
      </x:c>
      <x:c r="E2158" s="49" t="n">
        <x:v>123362.126</x:v>
      </x:c>
      <x:c r="F2158" s="52" t="n">
        <x:v>602925</x:v>
      </x:c>
      <x:c r="G2158" s="54" t="n">
        <x:v>46220</x:v>
      </x:c>
      <x:c r="H2158" s="14" t="str">
        <x:f>IF(E2158&lt;0,"Componente negativo — manter e investigar","OK")</x:f>
        <x:v>OK</x:v>
      </x:c>
    </x:row>
    <x:row r="2159">
      <x:c r="A2159" s="51" t="n">
        <x:v>44562</x:v>
      </x:c>
      <x:c r="B2159" s="14" t="str">
        <x:v>Norte</x:v>
      </x:c>
      <x:c r="C2159" s="14" t="str">
        <x:v>SUDESTE / CENTRO - OESTE</x:v>
      </x:c>
      <x:c r="D2159" s="53" t="str">
        <x:v>Cativo</x:v>
      </x:c>
      <x:c r="E2159" s="49" t="n">
        <x:v>160552.523</x:v>
      </x:c>
      <x:c r="F2159" s="52" t="n">
        <x:v>660133</x:v>
      </x:c>
      <x:c r="G2159" s="54" t="n">
        <x:v>46220</x:v>
      </x:c>
      <x:c r="H2159" s="14" t="str">
        <x:f>IF(E2159&lt;0,"Componente negativo — manter e investigar","OK")</x:f>
        <x:v>OK</x:v>
      </x:c>
    </x:row>
    <x:row r="2160">
      <x:c r="A2160" s="51" t="n">
        <x:v>44562</x:v>
      </x:c>
      <x:c r="B2160" s="14" t="str">
        <x:v>Sudeste</x:v>
      </x:c>
      <x:c r="C2160" s="14" t="str">
        <x:v>SUDESTE / CENTRO - OESTE</x:v>
      </x:c>
      <x:c r="D2160" s="53" t="str">
        <x:v>Cativo</x:v>
      </x:c>
      <x:c r="E2160" s="49" t="n">
        <x:v>5943048.191000001</x:v>
      </x:c>
      <x:c r="F2160" s="52" t="n">
        <x:v>34307543</x:v>
      </x:c>
      <x:c r="G2160" s="54" t="n">
        <x:v>46220</x:v>
      </x:c>
      <x:c r="H2160" s="14" t="str">
        <x:f>IF(E2160&lt;0,"Componente negativo — manter e investigar","OK")</x:f>
        <x:v>OK</x:v>
      </x:c>
    </x:row>
    <x:row r="2161">
      <x:c r="A2161" s="51" t="n">
        <x:v>44562</x:v>
      </x:c>
      <x:c r="B2161" s="14" t="str">
        <x:v>Sudeste</x:v>
      </x:c>
      <x:c r="C2161" s="14" t="str">
        <x:v>SUDESTE / CENTRO - OESTE</x:v>
      </x:c>
      <x:c r="D2161" s="53" t="str">
        <x:v>Livre</x:v>
      </x:c>
      <x:c r="E2161" s="49" t="n">
        <x:v>360.414</x:v>
      </x:c>
      <x:c r="F2161" s="52" t="n">
        <x:v>1</x:v>
      </x:c>
      <x:c r="G2161" s="54" t="n">
        <x:v>46220</x:v>
      </x:c>
      <x:c r="H2161" s="14" t="str">
        <x:f>IF(E2161&lt;0,"Componente negativo — manter e investigar","OK")</x:f>
        <x:v>OK</x:v>
      </x:c>
    </x:row>
    <x:row r="2162">
      <x:c r="A2162" s="51" t="n">
        <x:v>44562</x:v>
      </x:c>
      <x:c r="B2162" s="14" t="str">
        <x:v>Sul</x:v>
      </x:c>
      <x:c r="C2162" s="14" t="str">
        <x:v>SUL</x:v>
      </x:c>
      <x:c r="D2162" s="53" t="str">
        <x:v>Cativo</x:v>
      </x:c>
      <x:c r="E2162" s="49" t="n">
        <x:v>2347817.757</x:v>
      </x:c>
      <x:c r="F2162" s="52" t="n">
        <x:v>10909913</x:v>
      </x:c>
      <x:c r="G2162" s="54" t="n">
        <x:v>46220</x:v>
      </x:c>
      <x:c r="H2162" s="14" t="str">
        <x:f>IF(E2162&lt;0,"Componente negativo — manter e investigar","OK")</x:f>
        <x:v>OK</x:v>
      </x:c>
    </x:row>
    <x:row r="2163">
      <x:c r="A2163" s="51" t="n">
        <x:v>44593</x:v>
      </x:c>
      <x:c r="B2163" s="14" t="str">
        <x:v>Centro-Oeste</x:v>
      </x:c>
      <x:c r="C2163" s="14" t="str">
        <x:v>SISTEMAS ISOLADOS</x:v>
      </x:c>
      <x:c r="D2163" s="53" t="str">
        <x:v>Cativo</x:v>
      </x:c>
      <x:c r="E2163" s="49" t="n">
        <x:v>228.684</x:v>
      </x:c>
      <x:c r="F2163" s="52" t="n">
        <x:v>946</x:v>
      </x:c>
      <x:c r="G2163" s="54" t="n">
        <x:v>46220</x:v>
      </x:c>
      <x:c r="H2163" s="14" t="str">
        <x:f>IF(E2163&lt;0,"Componente negativo — manter e investigar","OK")</x:f>
        <x:v>OK</x:v>
      </x:c>
    </x:row>
    <x:row r="2164">
      <x:c r="A2164" s="51" t="n">
        <x:v>44593</x:v>
      </x:c>
      <x:c r="B2164" s="14" t="str">
        <x:v>Centro-Oeste</x:v>
      </x:c>
      <x:c r="C2164" s="14" t="str">
        <x:v>SUDESTE / CENTRO - OESTE</x:v>
      </x:c>
      <x:c r="D2164" s="53" t="str">
        <x:v>Cativo</x:v>
      </x:c>
      <x:c r="E2164" s="49" t="n">
        <x:v>1128998.903</x:v>
      </x:c>
      <x:c r="F2164" s="52" t="n">
        <x:v>5985181</x:v>
      </x:c>
      <x:c r="G2164" s="54" t="n">
        <x:v>46220</x:v>
      </x:c>
      <x:c r="H2164" s="14" t="str">
        <x:f>IF(E2164&lt;0,"Componente negativo — manter e investigar","OK")</x:f>
        <x:v>OK</x:v>
      </x:c>
    </x:row>
    <x:row r="2165">
      <x:c r="A2165" s="51" t="n">
        <x:v>44593</x:v>
      </x:c>
      <x:c r="B2165" s="14" t="str">
        <x:v>Nordeste</x:v>
      </x:c>
      <x:c r="C2165" s="14" t="str">
        <x:v>NORDESTE</x:v>
      </x:c>
      <x:c r="D2165" s="53" t="str">
        <x:v>Cativo</x:v>
      </x:c>
      <x:c r="E2165" s="49" t="n">
        <x:v>2291729.0250000004</x:v>
      </x:c>
      <x:c r="F2165" s="52" t="n">
        <x:v>18344063</x:v>
      </x:c>
      <x:c r="G2165" s="54" t="n">
        <x:v>46220</x:v>
      </x:c>
      <x:c r="H2165" s="14" t="str">
        <x:f>IF(E2165&lt;0,"Componente negativo — manter e investigar","OK")</x:f>
        <x:v>OK</x:v>
      </x:c>
    </x:row>
    <x:row r="2166">
      <x:c r="A2166" s="51" t="n">
        <x:v>44593</x:v>
      </x:c>
      <x:c r="B2166" s="14" t="str">
        <x:v>Nordeste</x:v>
      </x:c>
      <x:c r="C2166" s="14" t="str">
        <x:v>NORTE INTERLIGADO</x:v>
      </x:c>
      <x:c r="D2166" s="53" t="str">
        <x:v>Cativo</x:v>
      </x:c>
      <x:c r="E2166" s="49" t="n">
        <x:v>282842.766</x:v>
      </x:c>
      <x:c r="F2166" s="52" t="n">
        <x:v>2337501</x:v>
      </x:c>
      <x:c r="G2166" s="54" t="n">
        <x:v>46220</x:v>
      </x:c>
      <x:c r="H2166" s="14" t="str">
        <x:f>IF(E2166&lt;0,"Componente negativo — manter e investigar","OK")</x:f>
        <x:v>OK</x:v>
      </x:c>
    </x:row>
    <x:row r="2167">
      <x:c r="A2167" s="51" t="n">
        <x:v>44593</x:v>
      </x:c>
      <x:c r="B2167" s="14" t="str">
        <x:v>Nordeste</x:v>
      </x:c>
      <x:c r="C2167" s="14" t="str">
        <x:v>SISTEMAS ISOLADOS</x:v>
      </x:c>
      <x:c r="D2167" s="53" t="str">
        <x:v>Cativo</x:v>
      </x:c>
      <x:c r="E2167" s="49" t="n">
        <x:v>838</x:v>
      </x:c>
      <x:c r="F2167" s="52" t="n">
        <x:v>677</x:v>
      </x:c>
      <x:c r="G2167" s="54" t="n">
        <x:v>46220</x:v>
      </x:c>
      <x:c r="H2167" s="14" t="str">
        <x:f>IF(E2167&lt;0,"Componente negativo — manter e investigar","OK")</x:f>
        <x:v>OK</x:v>
      </x:c>
    </x:row>
    <x:row r="2168">
      <x:c r="A2168" s="51" t="n">
        <x:v>44593</x:v>
      </x:c>
      <x:c r="B2168" s="14" t="str">
        <x:v>Norte</x:v>
      </x:c>
      <x:c r="C2168" s="14" t="str">
        <x:v>NORTE INTERLIGADO</x:v>
      </x:c>
      <x:c r="D2168" s="53" t="str">
        <x:v>Cativo</x:v>
      </x:c>
      <x:c r="E2168" s="49" t="n">
        <x:v>564661.41</x:v>
      </x:c>
      <x:c r="F2168" s="52" t="n">
        <x:v>3593611</x:v>
      </x:c>
      <x:c r="G2168" s="54" t="n">
        <x:v>46220</x:v>
      </x:c>
      <x:c r="H2168" s="14" t="str">
        <x:f>IF(E2168&lt;0,"Componente negativo — manter e investigar","OK")</x:f>
        <x:v>OK</x:v>
      </x:c>
    </x:row>
    <x:row r="2169">
      <x:c r="A2169" s="51" t="n">
        <x:v>44593</x:v>
      </x:c>
      <x:c r="B2169" s="14" t="str">
        <x:v>Norte</x:v>
      </x:c>
      <x:c r="C2169" s="14" t="str">
        <x:v>SISTEMAS ISOLADOS</x:v>
      </x:c>
      <x:c r="D2169" s="53" t="str">
        <x:v>Cativo</x:v>
      </x:c>
      <x:c r="E2169" s="49" t="n">
        <x:v>120425.706</x:v>
      </x:c>
      <x:c r="F2169" s="52" t="n">
        <x:v>595667</x:v>
      </x:c>
      <x:c r="G2169" s="54" t="n">
        <x:v>46220</x:v>
      </x:c>
      <x:c r="H2169" s="14" t="str">
        <x:f>IF(E2169&lt;0,"Componente negativo — manter e investigar","OK")</x:f>
        <x:v>OK</x:v>
      </x:c>
    </x:row>
    <x:row r="2170">
      <x:c r="A2170" s="51" t="n">
        <x:v>44593</x:v>
      </x:c>
      <x:c r="B2170" s="14" t="str">
        <x:v>Norte</x:v>
      </x:c>
      <x:c r="C2170" s="14" t="str">
        <x:v>SUDESTE / CENTRO - OESTE</x:v>
      </x:c>
      <x:c r="D2170" s="53" t="str">
        <x:v>Cativo</x:v>
      </x:c>
      <x:c r="E2170" s="49" t="n">
        <x:v>144663.577</x:v>
      </x:c>
      <x:c r="F2170" s="52" t="n">
        <x:v>666565</x:v>
      </x:c>
      <x:c r="G2170" s="54" t="n">
        <x:v>46220</x:v>
      </x:c>
      <x:c r="H2170" s="14" t="str">
        <x:f>IF(E2170&lt;0,"Componente negativo — manter e investigar","OK")</x:f>
        <x:v>OK</x:v>
      </x:c>
    </x:row>
    <x:row r="2171">
      <x:c r="A2171" s="51" t="n">
        <x:v>44593</x:v>
      </x:c>
      <x:c r="B2171" s="14" t="str">
        <x:v>Sudeste</x:v>
      </x:c>
      <x:c r="C2171" s="14" t="str">
        <x:v>SUDESTE / CENTRO - OESTE</x:v>
      </x:c>
      <x:c r="D2171" s="53" t="str">
        <x:v>Cativo</x:v>
      </x:c>
      <x:c r="E2171" s="49" t="n">
        <x:v>6005253.637</x:v>
      </x:c>
      <x:c r="F2171" s="52" t="n">
        <x:v>34396447</x:v>
      </x:c>
      <x:c r="G2171" s="54" t="n">
        <x:v>46220</x:v>
      </x:c>
      <x:c r="H2171" s="14" t="str">
        <x:f>IF(E2171&lt;0,"Componente negativo — manter e investigar","OK")</x:f>
        <x:v>OK</x:v>
      </x:c>
    </x:row>
    <x:row r="2172">
      <x:c r="A2172" s="51" t="n">
        <x:v>44593</x:v>
      </x:c>
      <x:c r="B2172" s="14" t="str">
        <x:v>Sudeste</x:v>
      </x:c>
      <x:c r="C2172" s="14" t="str">
        <x:v>SUDESTE / CENTRO - OESTE</x:v>
      </x:c>
      <x:c r="D2172" s="53" t="str">
        <x:v>Livre</x:v>
      </x:c>
      <x:c r="E2172" s="49" t="n">
        <x:v>174.116</x:v>
      </x:c>
      <x:c r="F2172" s="52" t="n">
        <x:v>1</x:v>
      </x:c>
      <x:c r="G2172" s="54" t="n">
        <x:v>46220</x:v>
      </x:c>
      <x:c r="H2172" s="14" t="str">
        <x:f>IF(E2172&lt;0,"Componente negativo — manter e investigar","OK")</x:f>
        <x:v>OK</x:v>
      </x:c>
    </x:row>
    <x:row r="2173">
      <x:c r="A2173" s="51" t="n">
        <x:v>44593</x:v>
      </x:c>
      <x:c r="B2173" s="14" t="str">
        <x:v>Sul</x:v>
      </x:c>
      <x:c r="C2173" s="14" t="str">
        <x:v>SUL</x:v>
      </x:c>
      <x:c r="D2173" s="53" t="str">
        <x:v>Cativo</x:v>
      </x:c>
      <x:c r="E2173" s="49" t="n">
        <x:v>2348275.839</x:v>
      </x:c>
      <x:c r="F2173" s="52" t="n">
        <x:v>10923675</x:v>
      </x:c>
      <x:c r="G2173" s="54" t="n">
        <x:v>46220</x:v>
      </x:c>
      <x:c r="H2173" s="14" t="str">
        <x:f>IF(E2173&lt;0,"Componente negativo — manter e investigar","OK")</x:f>
        <x:v>OK</x:v>
      </x:c>
    </x:row>
    <x:row r="2174">
      <x:c r="A2174" s="51" t="n">
        <x:v>44621</x:v>
      </x:c>
      <x:c r="B2174" s="14" t="str">
        <x:v>Centro-Oeste</x:v>
      </x:c>
      <x:c r="C2174" s="14" t="str">
        <x:v>SISTEMAS ISOLADOS</x:v>
      </x:c>
      <x:c r="D2174" s="53" t="str">
        <x:v>Cativo</x:v>
      </x:c>
      <x:c r="E2174" s="49" t="n">
        <x:v>259.429</x:v>
      </x:c>
      <x:c r="F2174" s="52" t="n">
        <x:v>954</x:v>
      </x:c>
      <x:c r="G2174" s="54" t="n">
        <x:v>46220</x:v>
      </x:c>
      <x:c r="H2174" s="14" t="str">
        <x:f>IF(E2174&lt;0,"Componente negativo — manter e investigar","OK")</x:f>
        <x:v>OK</x:v>
      </x:c>
    </x:row>
    <x:row r="2175">
      <x:c r="A2175" s="51" t="n">
        <x:v>44621</x:v>
      </x:c>
      <x:c r="B2175" s="14" t="str">
        <x:v>Centro-Oeste</x:v>
      </x:c>
      <x:c r="C2175" s="14" t="str">
        <x:v>SUDESTE / CENTRO - OESTE</x:v>
      </x:c>
      <x:c r="D2175" s="53" t="str">
        <x:v>Cativo</x:v>
      </x:c>
      <x:c r="E2175" s="49" t="n">
        <x:v>1194651.977</x:v>
      </x:c>
      <x:c r="F2175" s="52" t="n">
        <x:v>6029024</x:v>
      </x:c>
      <x:c r="G2175" s="54" t="n">
        <x:v>46220</x:v>
      </x:c>
      <x:c r="H2175" s="14" t="str">
        <x:f>IF(E2175&lt;0,"Componente negativo — manter e investigar","OK")</x:f>
        <x:v>OK</x:v>
      </x:c>
    </x:row>
    <x:row r="2176">
      <x:c r="A2176" s="51" t="n">
        <x:v>44621</x:v>
      </x:c>
      <x:c r="B2176" s="14" t="str">
        <x:v>Nordeste</x:v>
      </x:c>
      <x:c r="C2176" s="14" t="str">
        <x:v>NORDESTE</x:v>
      </x:c>
      <x:c r="D2176" s="53" t="str">
        <x:v>Cativo</x:v>
      </x:c>
      <x:c r="E2176" s="49" t="n">
        <x:v>2479529.5409999997</x:v>
      </x:c>
      <x:c r="F2176" s="52" t="n">
        <x:v>18386282</x:v>
      </x:c>
      <x:c r="G2176" s="54" t="n">
        <x:v>46220</x:v>
      </x:c>
      <x:c r="H2176" s="14" t="str">
        <x:f>IF(E2176&lt;0,"Componente negativo — manter e investigar","OK")</x:f>
        <x:v>OK</x:v>
      </x:c>
    </x:row>
    <x:row r="2177">
      <x:c r="A2177" s="51" t="n">
        <x:v>44621</x:v>
      </x:c>
      <x:c r="B2177" s="14" t="str">
        <x:v>Nordeste</x:v>
      </x:c>
      <x:c r="C2177" s="14" t="str">
        <x:v>NORTE INTERLIGADO</x:v>
      </x:c>
      <x:c r="D2177" s="53" t="str">
        <x:v>Cativo</x:v>
      </x:c>
      <x:c r="E2177" s="49" t="n">
        <x:v>324936.584</x:v>
      </x:c>
      <x:c r="F2177" s="52" t="n">
        <x:v>2403383</x:v>
      </x:c>
      <x:c r="G2177" s="54" t="n">
        <x:v>46220</x:v>
      </x:c>
      <x:c r="H2177" s="14" t="str">
        <x:f>IF(E2177&lt;0,"Componente negativo — manter e investigar","OK")</x:f>
        <x:v>OK</x:v>
      </x:c>
    </x:row>
    <x:row r="2178">
      <x:c r="A2178" s="51" t="n">
        <x:v>44621</x:v>
      </x:c>
      <x:c r="B2178" s="14" t="str">
        <x:v>Nordeste</x:v>
      </x:c>
      <x:c r="C2178" s="14" t="str">
        <x:v>SISTEMAS ISOLADOS</x:v>
      </x:c>
      <x:c r="D2178" s="53" t="str">
        <x:v>Cativo</x:v>
      </x:c>
      <x:c r="E2178" s="49" t="n">
        <x:v>876</x:v>
      </x:c>
      <x:c r="F2178" s="52" t="n">
        <x:v>674</x:v>
      </x:c>
      <x:c r="G2178" s="54" t="n">
        <x:v>46220</x:v>
      </x:c>
      <x:c r="H2178" s="14" t="str">
        <x:f>IF(E2178&lt;0,"Componente negativo — manter e investigar","OK")</x:f>
        <x:v>OK</x:v>
      </x:c>
    </x:row>
    <x:row r="2179">
      <x:c r="A2179" s="51" t="n">
        <x:v>44621</x:v>
      </x:c>
      <x:c r="B2179" s="14" t="str">
        <x:v>Norte</x:v>
      </x:c>
      <x:c r="C2179" s="14" t="str">
        <x:v>NORTE INTERLIGADO</x:v>
      </x:c>
      <x:c r="D2179" s="53" t="str">
        <x:v>Cativo</x:v>
      </x:c>
      <x:c r="E2179" s="49" t="n">
        <x:v>604049.702</x:v>
      </x:c>
      <x:c r="F2179" s="52" t="n">
        <x:v>3620951</x:v>
      </x:c>
      <x:c r="G2179" s="54" t="n">
        <x:v>46220</x:v>
      </x:c>
      <x:c r="H2179" s="14" t="str">
        <x:f>IF(E2179&lt;0,"Componente negativo — manter e investigar","OK")</x:f>
        <x:v>OK</x:v>
      </x:c>
    </x:row>
    <x:row r="2180">
      <x:c r="A2180" s="51" t="n">
        <x:v>44621</x:v>
      </x:c>
      <x:c r="B2180" s="14" t="str">
        <x:v>Norte</x:v>
      </x:c>
      <x:c r="C2180" s="14" t="str">
        <x:v>SISTEMAS ISOLADOS</x:v>
      </x:c>
      <x:c r="D2180" s="53" t="str">
        <x:v>Cativo</x:v>
      </x:c>
      <x:c r="E2180" s="49" t="n">
        <x:v>122577.2</x:v>
      </x:c>
      <x:c r="F2180" s="52" t="n">
        <x:v>600021</x:v>
      </x:c>
      <x:c r="G2180" s="54" t="n">
        <x:v>46220</x:v>
      </x:c>
      <x:c r="H2180" s="14" t="str">
        <x:f>IF(E2180&lt;0,"Componente negativo — manter e investigar","OK")</x:f>
        <x:v>OK</x:v>
      </x:c>
    </x:row>
    <x:row r="2181">
      <x:c r="A2181" s="51" t="n">
        <x:v>44621</x:v>
      </x:c>
      <x:c r="B2181" s="14" t="str">
        <x:v>Norte</x:v>
      </x:c>
      <x:c r="C2181" s="14" t="str">
        <x:v>SUDESTE / CENTRO - OESTE</x:v>
      </x:c>
      <x:c r="D2181" s="53" t="str">
        <x:v>Cativo</x:v>
      </x:c>
      <x:c r="E2181" s="49" t="n">
        <x:v>160127.163</x:v>
      </x:c>
      <x:c r="F2181" s="52" t="n">
        <x:v>681121</x:v>
      </x:c>
      <x:c r="G2181" s="54" t="n">
        <x:v>46220</x:v>
      </x:c>
      <x:c r="H2181" s="14" t="str">
        <x:f>IF(E2181&lt;0,"Componente negativo — manter e investigar","OK")</x:f>
        <x:v>OK</x:v>
      </x:c>
    </x:row>
    <x:row r="2182">
      <x:c r="A2182" s="51" t="n">
        <x:v>44621</x:v>
      </x:c>
      <x:c r="B2182" s="14" t="str">
        <x:v>Sudeste</x:v>
      </x:c>
      <x:c r="C2182" s="14" t="str">
        <x:v>SUDESTE / CENTRO - OESTE</x:v>
      </x:c>
      <x:c r="D2182" s="53" t="str">
        <x:v>Cativo</x:v>
      </x:c>
      <x:c r="E2182" s="49" t="n">
        <x:v>6599287.77</x:v>
      </x:c>
      <x:c r="F2182" s="52" t="n">
        <x:v>34428504</x:v>
      </x:c>
      <x:c r="G2182" s="54" t="n">
        <x:v>46220</x:v>
      </x:c>
      <x:c r="H2182" s="14" t="str">
        <x:f>IF(E2182&lt;0,"Componente negativo — manter e investigar","OK")</x:f>
        <x:v>OK</x:v>
      </x:c>
    </x:row>
    <x:row r="2183">
      <x:c r="A2183" s="51" t="n">
        <x:v>44621</x:v>
      </x:c>
      <x:c r="B2183" s="14" t="str">
        <x:v>Sudeste</x:v>
      </x:c>
      <x:c r="C2183" s="14" t="str">
        <x:v>SUDESTE / CENTRO - OESTE</x:v>
      </x:c>
      <x:c r="D2183" s="53" t="str">
        <x:v>Livre</x:v>
      </x:c>
      <x:c r="E2183" s="49" t="n">
        <x:v>349.837</x:v>
      </x:c>
      <x:c r="F2183" s="52" t="n">
        <x:v>1</x:v>
      </x:c>
      <x:c r="G2183" s="54" t="n">
        <x:v>46220</x:v>
      </x:c>
      <x:c r="H2183" s="14" t="str">
        <x:f>IF(E2183&lt;0,"Componente negativo — manter e investigar","OK")</x:f>
        <x:v>OK</x:v>
      </x:c>
    </x:row>
    <x:row r="2184">
      <x:c r="A2184" s="51" t="n">
        <x:v>44621</x:v>
      </x:c>
      <x:c r="B2184" s="14" t="str">
        <x:v>Sul</x:v>
      </x:c>
      <x:c r="C2184" s="14" t="str">
        <x:v>SUL</x:v>
      </x:c>
      <x:c r="D2184" s="53" t="str">
        <x:v>Cativo</x:v>
      </x:c>
      <x:c r="E2184" s="49" t="n">
        <x:v>2392261.9140000003</x:v>
      </x:c>
      <x:c r="F2184" s="52" t="n">
        <x:v>10958592</x:v>
      </x:c>
      <x:c r="G2184" s="54" t="n">
        <x:v>46220</x:v>
      </x:c>
      <x:c r="H2184" s="14" t="str">
        <x:f>IF(E2184&lt;0,"Componente negativo — manter e investigar","OK")</x:f>
        <x:v>OK</x:v>
      </x:c>
    </x:row>
    <x:row r="2185">
      <x:c r="A2185" s="51" t="n">
        <x:v>44652</x:v>
      </x:c>
      <x:c r="B2185" s="14" t="str">
        <x:v>Centro-Oeste</x:v>
      </x:c>
      <x:c r="C2185" s="14" t="str">
        <x:v>SISTEMAS ISOLADOS</x:v>
      </x:c>
      <x:c r="D2185" s="53" t="str">
        <x:v>Cativo</x:v>
      </x:c>
      <x:c r="E2185" s="49" t="n">
        <x:v>271.992</x:v>
      </x:c>
      <x:c r="F2185" s="52" t="n">
        <x:v>955</x:v>
      </x:c>
      <x:c r="G2185" s="54" t="n">
        <x:v>46220</x:v>
      </x:c>
      <x:c r="H2185" s="14" t="str">
        <x:f>IF(E2185&lt;0,"Componente negativo — manter e investigar","OK")</x:f>
        <x:v>OK</x:v>
      </x:c>
    </x:row>
    <x:row r="2186">
      <x:c r="A2186" s="51" t="n">
        <x:v>44652</x:v>
      </x:c>
      <x:c r="B2186" s="14" t="str">
        <x:v>Centro-Oeste</x:v>
      </x:c>
      <x:c r="C2186" s="14" t="str">
        <x:v>SUDESTE / CENTRO - OESTE</x:v>
      </x:c>
      <x:c r="D2186" s="53" t="str">
        <x:v>Cativo</x:v>
      </x:c>
      <x:c r="E2186" s="49" t="n">
        <x:v>1163568.0899999999</x:v>
      </x:c>
      <x:c r="F2186" s="52" t="n">
        <x:v>6036914</x:v>
      </x:c>
      <x:c r="G2186" s="54" t="n">
        <x:v>46220</x:v>
      </x:c>
      <x:c r="H2186" s="14" t="str">
        <x:f>IF(E2186&lt;0,"Componente negativo — manter e investigar","OK")</x:f>
        <x:v>OK</x:v>
      </x:c>
    </x:row>
    <x:row r="2187">
      <x:c r="A2187" s="51" t="n">
        <x:v>44652</x:v>
      </x:c>
      <x:c r="B2187" s="14" t="str">
        <x:v>Nordeste</x:v>
      </x:c>
      <x:c r="C2187" s="14" t="str">
        <x:v>NORDESTE</x:v>
      </x:c>
      <x:c r="D2187" s="53" t="str">
        <x:v>Cativo</x:v>
      </x:c>
      <x:c r="E2187" s="49" t="n">
        <x:v>2320973.5889999997</x:v>
      </x:c>
      <x:c r="F2187" s="52" t="n">
        <x:v>18415753</x:v>
      </x:c>
      <x:c r="G2187" s="54" t="n">
        <x:v>46220</x:v>
      </x:c>
      <x:c r="H2187" s="14" t="str">
        <x:f>IF(E2187&lt;0,"Componente negativo — manter e investigar","OK")</x:f>
        <x:v>OK</x:v>
      </x:c>
    </x:row>
    <x:row r="2188">
      <x:c r="A2188" s="51" t="n">
        <x:v>44652</x:v>
      </x:c>
      <x:c r="B2188" s="14" t="str">
        <x:v>Nordeste</x:v>
      </x:c>
      <x:c r="C2188" s="14" t="str">
        <x:v>NORTE INTERLIGADO</x:v>
      </x:c>
      <x:c r="D2188" s="53" t="str">
        <x:v>Cativo</x:v>
      </x:c>
      <x:c r="E2188" s="49" t="n">
        <x:v>306772.247</x:v>
      </x:c>
      <x:c r="F2188" s="52" t="n">
        <x:v>2428656</x:v>
      </x:c>
      <x:c r="G2188" s="54" t="n">
        <x:v>46220</x:v>
      </x:c>
      <x:c r="H2188" s="14" t="str">
        <x:f>IF(E2188&lt;0,"Componente negativo — manter e investigar","OK")</x:f>
        <x:v>OK</x:v>
      </x:c>
    </x:row>
    <x:row r="2189">
      <x:c r="A2189" s="51" t="n">
        <x:v>44652</x:v>
      </x:c>
      <x:c r="B2189" s="14" t="str">
        <x:v>Nordeste</x:v>
      </x:c>
      <x:c r="C2189" s="14" t="str">
        <x:v>SISTEMAS ISOLADOS</x:v>
      </x:c>
      <x:c r="D2189" s="53" t="str">
        <x:v>Cativo</x:v>
      </x:c>
      <x:c r="E2189" s="49" t="n">
        <x:v>736</x:v>
      </x:c>
      <x:c r="F2189" s="52" t="n">
        <x:v>677</x:v>
      </x:c>
      <x:c r="G2189" s="54" t="n">
        <x:v>46220</x:v>
      </x:c>
      <x:c r="H2189" s="14" t="str">
        <x:f>IF(E2189&lt;0,"Componente negativo — manter e investigar","OK")</x:f>
        <x:v>OK</x:v>
      </x:c>
    </x:row>
    <x:row r="2190">
      <x:c r="A2190" s="51" t="n">
        <x:v>44652</x:v>
      </x:c>
      <x:c r="B2190" s="14" t="str">
        <x:v>Norte</x:v>
      </x:c>
      <x:c r="C2190" s="14" t="str">
        <x:v>NORTE INTERLIGADO</x:v>
      </x:c>
      <x:c r="D2190" s="53" t="str">
        <x:v>Cativo</x:v>
      </x:c>
      <x:c r="E2190" s="49" t="n">
        <x:v>585649.375</x:v>
      </x:c>
      <x:c r="F2190" s="52" t="n">
        <x:v>3652527</x:v>
      </x:c>
      <x:c r="G2190" s="54" t="n">
        <x:v>46220</x:v>
      </x:c>
      <x:c r="H2190" s="14" t="str">
        <x:f>IF(E2190&lt;0,"Componente negativo — manter e investigar","OK")</x:f>
        <x:v>OK</x:v>
      </x:c>
    </x:row>
    <x:row r="2191">
      <x:c r="A2191" s="51" t="n">
        <x:v>44652</x:v>
      </x:c>
      <x:c r="B2191" s="14" t="str">
        <x:v>Norte</x:v>
      </x:c>
      <x:c r="C2191" s="14" t="str">
        <x:v>SISTEMAS ISOLADOS</x:v>
      </x:c>
      <x:c r="D2191" s="53" t="str">
        <x:v>Cativo</x:v>
      </x:c>
      <x:c r="E2191" s="49" t="n">
        <x:v>120107.191</x:v>
      </x:c>
      <x:c r="F2191" s="52" t="n">
        <x:v>597511</x:v>
      </x:c>
      <x:c r="G2191" s="54" t="n">
        <x:v>46220</x:v>
      </x:c>
      <x:c r="H2191" s="14" t="str">
        <x:f>IF(E2191&lt;0,"Componente negativo — manter e investigar","OK")</x:f>
        <x:v>OK</x:v>
      </x:c>
    </x:row>
    <x:row r="2192">
      <x:c r="A2192" s="51" t="n">
        <x:v>44652</x:v>
      </x:c>
      <x:c r="B2192" s="14" t="str">
        <x:v>Norte</x:v>
      </x:c>
      <x:c r="C2192" s="14" t="str">
        <x:v>SUDESTE / CENTRO - OESTE</x:v>
      </x:c>
      <x:c r="D2192" s="53" t="str">
        <x:v>Cativo</x:v>
      </x:c>
      <x:c r="E2192" s="49" t="n">
        <x:v>155235.019</x:v>
      </x:c>
      <x:c r="F2192" s="52" t="n">
        <x:v>686244</x:v>
      </x:c>
      <x:c r="G2192" s="54" t="n">
        <x:v>46220</x:v>
      </x:c>
      <x:c r="H2192" s="14" t="str">
        <x:f>IF(E2192&lt;0,"Componente negativo — manter e investigar","OK")</x:f>
        <x:v>OK</x:v>
      </x:c>
    </x:row>
    <x:row r="2193">
      <x:c r="A2193" s="51" t="n">
        <x:v>44652</x:v>
      </x:c>
      <x:c r="B2193" s="14" t="str">
        <x:v>Sudeste</x:v>
      </x:c>
      <x:c r="C2193" s="14" t="str">
        <x:v>SUDESTE / CENTRO - OESTE</x:v>
      </x:c>
      <x:c r="D2193" s="53" t="str">
        <x:v>Cativo</x:v>
      </x:c>
      <x:c r="E2193" s="49" t="n">
        <x:v>6209946.544</x:v>
      </x:c>
      <x:c r="F2193" s="52" t="n">
        <x:v>34525073</x:v>
      </x:c>
      <x:c r="G2193" s="54" t="n">
        <x:v>46220</x:v>
      </x:c>
      <x:c r="H2193" s="14" t="str">
        <x:f>IF(E2193&lt;0,"Componente negativo — manter e investigar","OK")</x:f>
        <x:v>OK</x:v>
      </x:c>
    </x:row>
    <x:row r="2194">
      <x:c r="A2194" s="51" t="n">
        <x:v>44652</x:v>
      </x:c>
      <x:c r="B2194" s="14" t="str">
        <x:v>Sudeste</x:v>
      </x:c>
      <x:c r="C2194" s="14" t="str">
        <x:v>SUDESTE / CENTRO - OESTE</x:v>
      </x:c>
      <x:c r="D2194" s="53" t="str">
        <x:v>Livre</x:v>
      </x:c>
      <x:c r="E2194" s="49" t="n">
        <x:v>370.88</x:v>
      </x:c>
      <x:c r="F2194" s="52" t="n">
        <x:v>1</x:v>
      </x:c>
      <x:c r="G2194" s="54" t="n">
        <x:v>46220</x:v>
      </x:c>
      <x:c r="H2194" s="14" t="str">
        <x:f>IF(E2194&lt;0,"Componente negativo — manter e investigar","OK")</x:f>
        <x:v>OK</x:v>
      </x:c>
    </x:row>
    <x:row r="2195">
      <x:c r="A2195" s="51" t="n">
        <x:v>44652</x:v>
      </x:c>
      <x:c r="B2195" s="14" t="str">
        <x:v>Sul</x:v>
      </x:c>
      <x:c r="C2195" s="14" t="str">
        <x:v>SUL</x:v>
      </x:c>
      <x:c r="D2195" s="53" t="str">
        <x:v>Cativo</x:v>
      </x:c>
      <x:c r="E2195" s="49" t="n">
        <x:v>1963268.0739999998</x:v>
      </x:c>
      <x:c r="F2195" s="52" t="n">
        <x:v>10971652</x:v>
      </x:c>
      <x:c r="G2195" s="54" t="n">
        <x:v>46220</x:v>
      </x:c>
      <x:c r="H2195" s="14" t="str">
        <x:f>IF(E2195&lt;0,"Componente negativo — manter e investigar","OK")</x:f>
        <x:v>OK</x:v>
      </x:c>
    </x:row>
    <x:row r="2196">
      <x:c r="A2196" s="51" t="n">
        <x:v>44682</x:v>
      </x:c>
      <x:c r="B2196" s="14" t="str">
        <x:v>Centro-Oeste</x:v>
      </x:c>
      <x:c r="C2196" s="14" t="str">
        <x:v>SISTEMAS ISOLADOS</x:v>
      </x:c>
      <x:c r="D2196" s="53" t="str">
        <x:v>Cativo</x:v>
      </x:c>
      <x:c r="E2196" s="49" t="n">
        <x:v>254.691</x:v>
      </x:c>
      <x:c r="F2196" s="52" t="n">
        <x:v>958</x:v>
      </x:c>
      <x:c r="G2196" s="54" t="n">
        <x:v>46220</x:v>
      </x:c>
      <x:c r="H2196" s="14" t="str">
        <x:f>IF(E2196&lt;0,"Componente negativo — manter e investigar","OK")</x:f>
        <x:v>OK</x:v>
      </x:c>
    </x:row>
    <x:row r="2197">
      <x:c r="A2197" s="51" t="n">
        <x:v>44682</x:v>
      </x:c>
      <x:c r="B2197" s="14" t="str">
        <x:v>Centro-Oeste</x:v>
      </x:c>
      <x:c r="C2197" s="14" t="str">
        <x:v>SUDESTE / CENTRO - OESTE</x:v>
      </x:c>
      <x:c r="D2197" s="53" t="str">
        <x:v>Cativo</x:v>
      </x:c>
      <x:c r="E2197" s="49" t="n">
        <x:v>1126098.635</x:v>
      </x:c>
      <x:c r="F2197" s="52" t="n">
        <x:v>6051407</x:v>
      </x:c>
      <x:c r="G2197" s="54" t="n">
        <x:v>46220</x:v>
      </x:c>
      <x:c r="H2197" s="14" t="str">
        <x:f>IF(E2197&lt;0,"Componente negativo — manter e investigar","OK")</x:f>
        <x:v>OK</x:v>
      </x:c>
    </x:row>
    <x:row r="2198">
      <x:c r="A2198" s="51" t="n">
        <x:v>44682</x:v>
      </x:c>
      <x:c r="B2198" s="14" t="str">
        <x:v>Nordeste</x:v>
      </x:c>
      <x:c r="C2198" s="14" t="str">
        <x:v>NORDESTE</x:v>
      </x:c>
      <x:c r="D2198" s="53" t="str">
        <x:v>Cativo</x:v>
      </x:c>
      <x:c r="E2198" s="49" t="n">
        <x:v>2334653.027</x:v>
      </x:c>
      <x:c r="F2198" s="52" t="n">
        <x:v>18460957</x:v>
      </x:c>
      <x:c r="G2198" s="54" t="n">
        <x:v>46220</x:v>
      </x:c>
      <x:c r="H2198" s="14" t="str">
        <x:f>IF(E2198&lt;0,"Componente negativo — manter e investigar","OK")</x:f>
        <x:v>OK</x:v>
      </x:c>
    </x:row>
    <x:row r="2199">
      <x:c r="A2199" s="51" t="n">
        <x:v>44682</x:v>
      </x:c>
      <x:c r="B2199" s="14" t="str">
        <x:v>Nordeste</x:v>
      </x:c>
      <x:c r="C2199" s="14" t="str">
        <x:v>NORTE INTERLIGADO</x:v>
      </x:c>
      <x:c r="D2199" s="53" t="str">
        <x:v>Cativo</x:v>
      </x:c>
      <x:c r="E2199" s="49" t="n">
        <x:v>340510.275</x:v>
      </x:c>
      <x:c r="F2199" s="52" t="n">
        <x:v>2430251</x:v>
      </x:c>
      <x:c r="G2199" s="54" t="n">
        <x:v>46220</x:v>
      </x:c>
      <x:c r="H2199" s="14" t="str">
        <x:f>IF(E2199&lt;0,"Componente negativo — manter e investigar","OK")</x:f>
        <x:v>OK</x:v>
      </x:c>
    </x:row>
    <x:row r="2200">
      <x:c r="A2200" s="51" t="n">
        <x:v>44682</x:v>
      </x:c>
      <x:c r="B2200" s="14" t="str">
        <x:v>Nordeste</x:v>
      </x:c>
      <x:c r="C2200" s="14" t="str">
        <x:v>SISTEMAS ISOLADOS</x:v>
      </x:c>
      <x:c r="D2200" s="53" t="str">
        <x:v>Cativo</x:v>
      </x:c>
      <x:c r="E2200" s="49" t="n">
        <x:v>844</x:v>
      </x:c>
      <x:c r="F2200" s="52" t="n">
        <x:v>676</x:v>
      </x:c>
      <x:c r="G2200" s="54" t="n">
        <x:v>46220</x:v>
      </x:c>
      <x:c r="H2200" s="14" t="str">
        <x:f>IF(E2200&lt;0,"Componente negativo — manter e investigar","OK")</x:f>
        <x:v>OK</x:v>
      </x:c>
    </x:row>
    <x:row r="2201">
      <x:c r="A2201" s="51" t="n">
        <x:v>44682</x:v>
      </x:c>
      <x:c r="B2201" s="14" t="str">
        <x:v>Norte</x:v>
      </x:c>
      <x:c r="C2201" s="14" t="str">
        <x:v>NORTE INTERLIGADO</x:v>
      </x:c>
      <x:c r="D2201" s="53" t="str">
        <x:v>Cativo</x:v>
      </x:c>
      <x:c r="E2201" s="49" t="n">
        <x:v>609652.7690000001</x:v>
      </x:c>
      <x:c r="F2201" s="52" t="n">
        <x:v>3676343</x:v>
      </x:c>
      <x:c r="G2201" s="54" t="n">
        <x:v>46220</x:v>
      </x:c>
      <x:c r="H2201" s="14" t="str">
        <x:f>IF(E2201&lt;0,"Componente negativo — manter e investigar","OK")</x:f>
        <x:v>OK</x:v>
      </x:c>
    </x:row>
    <x:row r="2202">
      <x:c r="A2202" s="51" t="n">
        <x:v>44682</x:v>
      </x:c>
      <x:c r="B2202" s="14" t="str">
        <x:v>Norte</x:v>
      </x:c>
      <x:c r="C2202" s="14" t="str">
        <x:v>SISTEMAS ISOLADOS</x:v>
      </x:c>
      <x:c r="D2202" s="53" t="str">
        <x:v>Cativo</x:v>
      </x:c>
      <x:c r="E2202" s="49" t="n">
        <x:v>118412.023</x:v>
      </x:c>
      <x:c r="F2202" s="52" t="n">
        <x:v>608478</x:v>
      </x:c>
      <x:c r="G2202" s="54" t="n">
        <x:v>46220</x:v>
      </x:c>
      <x:c r="H2202" s="14" t="str">
        <x:f>IF(E2202&lt;0,"Componente negativo — manter e investigar","OK")</x:f>
        <x:v>OK</x:v>
      </x:c>
    </x:row>
    <x:row r="2203">
      <x:c r="A2203" s="51" t="n">
        <x:v>44682</x:v>
      </x:c>
      <x:c r="B2203" s="14" t="str">
        <x:v>Norte</x:v>
      </x:c>
      <x:c r="C2203" s="14" t="str">
        <x:v>SUDESTE / CENTRO - OESTE</x:v>
      </x:c>
      <x:c r="D2203" s="53" t="str">
        <x:v>Cativo</x:v>
      </x:c>
      <x:c r="E2203" s="49" t="n">
        <x:v>171455.613</x:v>
      </x:c>
      <x:c r="F2203" s="52" t="n">
        <x:v>689155</x:v>
      </x:c>
      <x:c r="G2203" s="54" t="n">
        <x:v>46220</x:v>
      </x:c>
      <x:c r="H2203" s="14" t="str">
        <x:f>IF(E2203&lt;0,"Componente negativo — manter e investigar","OK")</x:f>
        <x:v>OK</x:v>
      </x:c>
    </x:row>
    <x:row r="2204">
      <x:c r="A2204" s="51" t="n">
        <x:v>44682</x:v>
      </x:c>
      <x:c r="B2204" s="14" t="str">
        <x:v>Sudeste</x:v>
      </x:c>
      <x:c r="C2204" s="14" t="str">
        <x:v>SUDESTE / CENTRO - OESTE</x:v>
      </x:c>
      <x:c r="D2204" s="53" t="str">
        <x:v>Cativo</x:v>
      </x:c>
      <x:c r="E2204" s="49" t="n">
        <x:v>5657192.348</x:v>
      </x:c>
      <x:c r="F2204" s="52" t="n">
        <x:v>34726007</x:v>
      </x:c>
      <x:c r="G2204" s="54" t="n">
        <x:v>46220</x:v>
      </x:c>
      <x:c r="H2204" s="14" t="str">
        <x:f>IF(E2204&lt;0,"Componente negativo — manter e investigar","OK")</x:f>
        <x:v>OK</x:v>
      </x:c>
    </x:row>
    <x:row r="2205">
      <x:c r="A2205" s="51" t="n">
        <x:v>44682</x:v>
      </x:c>
      <x:c r="B2205" s="14" t="str">
        <x:v>Sudeste</x:v>
      </x:c>
      <x:c r="C2205" s="14" t="str">
        <x:v>SUDESTE / CENTRO - OESTE</x:v>
      </x:c>
      <x:c r="D2205" s="53" t="str">
        <x:v>Livre</x:v>
      </x:c>
      <x:c r="E2205" s="49" t="n">
        <x:v>365.441</x:v>
      </x:c>
      <x:c r="F2205" s="52" t="n">
        <x:v>1</x:v>
      </x:c>
      <x:c r="G2205" s="54" t="n">
        <x:v>46220</x:v>
      </x:c>
      <x:c r="H2205" s="14" t="str">
        <x:f>IF(E2205&lt;0,"Componente negativo — manter e investigar","OK")</x:f>
        <x:v>OK</x:v>
      </x:c>
    </x:row>
    <x:row r="2206">
      <x:c r="A2206" s="51" t="n">
        <x:v>44682</x:v>
      </x:c>
      <x:c r="B2206" s="14" t="str">
        <x:v>Sul</x:v>
      </x:c>
      <x:c r="C2206" s="14" t="str">
        <x:v>SUL</x:v>
      </x:c>
      <x:c r="D2206" s="53" t="str">
        <x:v>Cativo</x:v>
      </x:c>
      <x:c r="E2206" s="49" t="n">
        <x:v>1873782.5</x:v>
      </x:c>
      <x:c r="F2206" s="52" t="n">
        <x:v>10997128</x:v>
      </x:c>
      <x:c r="G2206" s="54" t="n">
        <x:v>46220</x:v>
      </x:c>
      <x:c r="H2206" s="14" t="str">
        <x:f>IF(E2206&lt;0,"Componente negativo — manter e investigar","OK")</x:f>
        <x:v>OK</x:v>
      </x:c>
    </x:row>
    <x:row r="2207">
      <x:c r="A2207" s="51" t="n">
        <x:v>44713</x:v>
      </x:c>
      <x:c r="B2207" s="14" t="str">
        <x:v>Centro-Oeste</x:v>
      </x:c>
      <x:c r="C2207" s="14" t="str">
        <x:v>SISTEMAS ISOLADOS</x:v>
      </x:c>
      <x:c r="D2207" s="53" t="str">
        <x:v>Cativo</x:v>
      </x:c>
      <x:c r="E2207" s="49" t="n">
        <x:v>279.296</x:v>
      </x:c>
      <x:c r="F2207" s="52" t="n">
        <x:v>968</x:v>
      </x:c>
      <x:c r="G2207" s="54" t="n">
        <x:v>46220</x:v>
      </x:c>
      <x:c r="H2207" s="14" t="str">
        <x:f>IF(E2207&lt;0,"Componente negativo — manter e investigar","OK")</x:f>
        <x:v>OK</x:v>
      </x:c>
    </x:row>
    <x:row r="2208">
      <x:c r="A2208" s="51" t="n">
        <x:v>44713</x:v>
      </x:c>
      <x:c r="B2208" s="14" t="str">
        <x:v>Centro-Oeste</x:v>
      </x:c>
      <x:c r="C2208" s="14" t="str">
        <x:v>SUDESTE / CENTRO - OESTE</x:v>
      </x:c>
      <x:c r="D2208" s="53" t="str">
        <x:v>Cativo</x:v>
      </x:c>
      <x:c r="E2208" s="49" t="n">
        <x:v>1059671.463</x:v>
      </x:c>
      <x:c r="F2208" s="52" t="n">
        <x:v>6059801</x:v>
      </x:c>
      <x:c r="G2208" s="54" t="n">
        <x:v>46220</x:v>
      </x:c>
      <x:c r="H2208" s="14" t="str">
        <x:f>IF(E2208&lt;0,"Componente negativo — manter e investigar","OK")</x:f>
        <x:v>OK</x:v>
      </x:c>
    </x:row>
    <x:row r="2209">
      <x:c r="A2209" s="51" t="n">
        <x:v>44713</x:v>
      </x:c>
      <x:c r="B2209" s="14" t="str">
        <x:v>Nordeste</x:v>
      </x:c>
      <x:c r="C2209" s="14" t="str">
        <x:v>NORDESTE</x:v>
      </x:c>
      <x:c r="D2209" s="53" t="str">
        <x:v>Cativo</x:v>
      </x:c>
      <x:c r="E2209" s="49" t="n">
        <x:v>2143356.036</x:v>
      </x:c>
      <x:c r="F2209" s="52" t="n">
        <x:v>18494573</x:v>
      </x:c>
      <x:c r="G2209" s="54" t="n">
        <x:v>46220</x:v>
      </x:c>
      <x:c r="H2209" s="14" t="str">
        <x:f>IF(E2209&lt;0,"Componente negativo — manter e investigar","OK")</x:f>
        <x:v>OK</x:v>
      </x:c>
    </x:row>
    <x:row r="2210">
      <x:c r="A2210" s="51" t="n">
        <x:v>44713</x:v>
      </x:c>
      <x:c r="B2210" s="14" t="str">
        <x:v>Nordeste</x:v>
      </x:c>
      <x:c r="C2210" s="14" t="str">
        <x:v>NORTE INTERLIGADO</x:v>
      </x:c>
      <x:c r="D2210" s="53" t="str">
        <x:v>Cativo</x:v>
      </x:c>
      <x:c r="E2210" s="49" t="n">
        <x:v>325350.915</x:v>
      </x:c>
      <x:c r="F2210" s="52" t="n">
        <x:v>2436150</x:v>
      </x:c>
      <x:c r="G2210" s="54" t="n">
        <x:v>46220</x:v>
      </x:c>
      <x:c r="H2210" s="14" t="str">
        <x:f>IF(E2210&lt;0,"Componente negativo — manter e investigar","OK")</x:f>
        <x:v>OK</x:v>
      </x:c>
    </x:row>
    <x:row r="2211">
      <x:c r="A2211" s="51" t="n">
        <x:v>44713</x:v>
      </x:c>
      <x:c r="B2211" s="14" t="str">
        <x:v>Nordeste</x:v>
      </x:c>
      <x:c r="C2211" s="14" t="str">
        <x:v>SISTEMAS ISOLADOS</x:v>
      </x:c>
      <x:c r="D2211" s="53" t="str">
        <x:v>Cativo</x:v>
      </x:c>
      <x:c r="E2211" s="49" t="n">
        <x:v>777</x:v>
      </x:c>
      <x:c r="F2211" s="52" t="n">
        <x:v>676</x:v>
      </x:c>
      <x:c r="G2211" s="54" t="n">
        <x:v>46220</x:v>
      </x:c>
      <x:c r="H2211" s="14" t="str">
        <x:f>IF(E2211&lt;0,"Componente negativo — manter e investigar","OK")</x:f>
        <x:v>OK</x:v>
      </x:c>
    </x:row>
    <x:row r="2212">
      <x:c r="A2212" s="51" t="n">
        <x:v>44713</x:v>
      </x:c>
      <x:c r="B2212" s="14" t="str">
        <x:v>Norte</x:v>
      </x:c>
      <x:c r="C2212" s="14" t="str">
        <x:v>NORTE INTERLIGADO</x:v>
      </x:c>
      <x:c r="D2212" s="53" t="str">
        <x:v>Cativo</x:v>
      </x:c>
      <x:c r="E2212" s="49" t="n">
        <x:v>628316.54</x:v>
      </x:c>
      <x:c r="F2212" s="52" t="n">
        <x:v>3681557</x:v>
      </x:c>
      <x:c r="G2212" s="54" t="n">
        <x:v>46220</x:v>
      </x:c>
      <x:c r="H2212" s="14" t="str">
        <x:f>IF(E2212&lt;0,"Componente negativo — manter e investigar","OK")</x:f>
        <x:v>OK</x:v>
      </x:c>
    </x:row>
    <x:row r="2213">
      <x:c r="A2213" s="51" t="n">
        <x:v>44713</x:v>
      </x:c>
      <x:c r="B2213" s="14" t="str">
        <x:v>Norte</x:v>
      </x:c>
      <x:c r="C2213" s="14" t="str">
        <x:v>SISTEMAS ISOLADOS</x:v>
      </x:c>
      <x:c r="D2213" s="53" t="str">
        <x:v>Cativo</x:v>
      </x:c>
      <x:c r="E2213" s="49" t="n">
        <x:v>116109.507</x:v>
      </x:c>
      <x:c r="F2213" s="52" t="n">
        <x:v>602120</x:v>
      </x:c>
      <x:c r="G2213" s="54" t="n">
        <x:v>46220</x:v>
      </x:c>
      <x:c r="H2213" s="14" t="str">
        <x:f>IF(E2213&lt;0,"Componente negativo — manter e investigar","OK")</x:f>
        <x:v>OK</x:v>
      </x:c>
    </x:row>
    <x:row r="2214">
      <x:c r="A2214" s="51" t="n">
        <x:v>44713</x:v>
      </x:c>
      <x:c r="B2214" s="14" t="str">
        <x:v>Norte</x:v>
      </x:c>
      <x:c r="C2214" s="14" t="str">
        <x:v>SUDESTE / CENTRO - OESTE</x:v>
      </x:c>
      <x:c r="D2214" s="53" t="str">
        <x:v>Cativo</x:v>
      </x:c>
      <x:c r="E2214" s="49" t="n">
        <x:v>155288.073</x:v>
      </x:c>
      <x:c r="F2214" s="52" t="n">
        <x:v>690135</x:v>
      </x:c>
      <x:c r="G2214" s="54" t="n">
        <x:v>46220</x:v>
      </x:c>
      <x:c r="H2214" s="14" t="str">
        <x:f>IF(E2214&lt;0,"Componente negativo — manter e investigar","OK")</x:f>
        <x:v>OK</x:v>
      </x:c>
    </x:row>
    <x:row r="2215">
      <x:c r="A2215" s="51" t="n">
        <x:v>44713</x:v>
      </x:c>
      <x:c r="B2215" s="14" t="str">
        <x:v>Sudeste</x:v>
      </x:c>
      <x:c r="C2215" s="14" t="str">
        <x:v>SUDESTE / CENTRO - OESTE</x:v>
      </x:c>
      <x:c r="D2215" s="53" t="str">
        <x:v>Cativo</x:v>
      </x:c>
      <x:c r="E2215" s="49" t="n">
        <x:v>5454616.919</x:v>
      </x:c>
      <x:c r="F2215" s="52" t="n">
        <x:v>34766513</x:v>
      </x:c>
      <x:c r="G2215" s="54" t="n">
        <x:v>46220</x:v>
      </x:c>
      <x:c r="H2215" s="14" t="str">
        <x:f>IF(E2215&lt;0,"Componente negativo — manter e investigar","OK")</x:f>
        <x:v>OK</x:v>
      </x:c>
    </x:row>
    <x:row r="2216">
      <x:c r="A2216" s="51" t="n">
        <x:v>44713</x:v>
      </x:c>
      <x:c r="B2216" s="14" t="str">
        <x:v>Sudeste</x:v>
      </x:c>
      <x:c r="C2216" s="14" t="str">
        <x:v>SUDESTE / CENTRO - OESTE</x:v>
      </x:c>
      <x:c r="D2216" s="53" t="str">
        <x:v>Livre</x:v>
      </x:c>
      <x:c r="E2216" s="49" t="n">
        <x:v>406.974</x:v>
      </x:c>
      <x:c r="F2216" s="52" t="n">
        <x:v>1</x:v>
      </x:c>
      <x:c r="G2216" s="54" t="n">
        <x:v>46220</x:v>
      </x:c>
      <x:c r="H2216" s="14" t="str">
        <x:f>IF(E2216&lt;0,"Componente negativo — manter e investigar","OK")</x:f>
        <x:v>OK</x:v>
      </x:c>
    </x:row>
    <x:row r="2217">
      <x:c r="A2217" s="51" t="n">
        <x:v>44713</x:v>
      </x:c>
      <x:c r="B2217" s="14" t="str">
        <x:v>Sul</x:v>
      </x:c>
      <x:c r="C2217" s="14" t="str">
        <x:v>SUL</x:v>
      </x:c>
      <x:c r="D2217" s="53" t="str">
        <x:v>Cativo</x:v>
      </x:c>
      <x:c r="E2217" s="49" t="n">
        <x:v>1994035.256</x:v>
      </x:c>
      <x:c r="F2217" s="52" t="n">
        <x:v>11016940</x:v>
      </x:c>
      <x:c r="G2217" s="54" t="n">
        <x:v>46220</x:v>
      </x:c>
      <x:c r="H2217" s="14" t="str">
        <x:f>IF(E2217&lt;0,"Componente negativo — manter e investigar","OK")</x:f>
        <x:v>OK</x:v>
      </x:c>
    </x:row>
    <x:row r="2218">
      <x:c r="A2218" s="51" t="n">
        <x:v>44743</x:v>
      </x:c>
      <x:c r="B2218" s="14" t="str">
        <x:v>Centro-Oeste</x:v>
      </x:c>
      <x:c r="C2218" s="14" t="str">
        <x:v>SISTEMAS ISOLADOS</x:v>
      </x:c>
      <x:c r="D2218" s="53" t="str">
        <x:v>Cativo</x:v>
      </x:c>
      <x:c r="E2218" s="49" t="n">
        <x:v>268.456</x:v>
      </x:c>
      <x:c r="F2218" s="52" t="n">
        <x:v>980</x:v>
      </x:c>
      <x:c r="G2218" s="54" t="n">
        <x:v>46220</x:v>
      </x:c>
      <x:c r="H2218" s="14" t="str">
        <x:f>IF(E2218&lt;0,"Componente negativo — manter e investigar","OK")</x:f>
        <x:v>OK</x:v>
      </x:c>
    </x:row>
    <x:row r="2219">
      <x:c r="A2219" s="51" t="n">
        <x:v>44743</x:v>
      </x:c>
      <x:c r="B2219" s="14" t="str">
        <x:v>Centro-Oeste</x:v>
      </x:c>
      <x:c r="C2219" s="14" t="str">
        <x:v>SUDESTE / CENTRO - OESTE</x:v>
      </x:c>
      <x:c r="D2219" s="53" t="str">
        <x:v>Cativo</x:v>
      </x:c>
      <x:c r="E2219" s="49" t="n">
        <x:v>1058493.843</x:v>
      </x:c>
      <x:c r="F2219" s="52" t="n">
        <x:v>6070918</x:v>
      </x:c>
      <x:c r="G2219" s="54" t="n">
        <x:v>46220</x:v>
      </x:c>
      <x:c r="H2219" s="14" t="str">
        <x:f>IF(E2219&lt;0,"Componente negativo — manter e investigar","OK")</x:f>
        <x:v>OK</x:v>
      </x:c>
    </x:row>
    <x:row r="2220">
      <x:c r="A2220" s="51" t="n">
        <x:v>44743</x:v>
      </x:c>
      <x:c r="B2220" s="14" t="str">
        <x:v>Nordeste</x:v>
      </x:c>
      <x:c r="C2220" s="14" t="str">
        <x:v>NORDESTE</x:v>
      </x:c>
      <x:c r="D2220" s="53" t="str">
        <x:v>Cativo</x:v>
      </x:c>
      <x:c r="E2220" s="49" t="n">
        <x:v>2135519.1289999997</x:v>
      </x:c>
      <x:c r="F2220" s="52" t="n">
        <x:v>18543476</x:v>
      </x:c>
      <x:c r="G2220" s="54" t="n">
        <x:v>46220</x:v>
      </x:c>
      <x:c r="H2220" s="14" t="str">
        <x:f>IF(E2220&lt;0,"Componente negativo — manter e investigar","OK")</x:f>
        <x:v>OK</x:v>
      </x:c>
    </x:row>
    <x:row r="2221">
      <x:c r="A2221" s="51" t="n">
        <x:v>44743</x:v>
      </x:c>
      <x:c r="B2221" s="14" t="str">
        <x:v>Nordeste</x:v>
      </x:c>
      <x:c r="C2221" s="14" t="str">
        <x:v>NORTE INTERLIGADO</x:v>
      </x:c>
      <x:c r="D2221" s="53" t="str">
        <x:v>Cativo</x:v>
      </x:c>
      <x:c r="E2221" s="49" t="n">
        <x:v>330872.127</x:v>
      </x:c>
      <x:c r="F2221" s="52" t="n">
        <x:v>2440848</x:v>
      </x:c>
      <x:c r="G2221" s="54" t="n">
        <x:v>46220</x:v>
      </x:c>
      <x:c r="H2221" s="14" t="str">
        <x:f>IF(E2221&lt;0,"Componente negativo — manter e investigar","OK")</x:f>
        <x:v>OK</x:v>
      </x:c>
    </x:row>
    <x:row r="2222">
      <x:c r="A2222" s="51" t="n">
        <x:v>44743</x:v>
      </x:c>
      <x:c r="B2222" s="14" t="str">
        <x:v>Nordeste</x:v>
      </x:c>
      <x:c r="C2222" s="14" t="str">
        <x:v>SISTEMAS ISOLADOS</x:v>
      </x:c>
      <x:c r="D2222" s="53" t="str">
        <x:v>Cativo</x:v>
      </x:c>
      <x:c r="E2222" s="49" t="n">
        <x:v>828</x:v>
      </x:c>
      <x:c r="F2222" s="52" t="n">
        <x:v>675</x:v>
      </x:c>
      <x:c r="G2222" s="54" t="n">
        <x:v>46220</x:v>
      </x:c>
      <x:c r="H2222" s="14" t="str">
        <x:f>IF(E2222&lt;0,"Componente negativo — manter e investigar","OK")</x:f>
        <x:v>OK</x:v>
      </x:c>
    </x:row>
    <x:row r="2223">
      <x:c r="A2223" s="51" t="n">
        <x:v>44743</x:v>
      </x:c>
      <x:c r="B2223" s="14" t="str">
        <x:v>Norte</x:v>
      </x:c>
      <x:c r="C2223" s="14" t="str">
        <x:v>NORTE INTERLIGADO</x:v>
      </x:c>
      <x:c r="D2223" s="53" t="str">
        <x:v>Cativo</x:v>
      </x:c>
      <x:c r="E2223" s="49" t="n">
        <x:v>636837.819</x:v>
      </x:c>
      <x:c r="F2223" s="52" t="n">
        <x:v>3688756</x:v>
      </x:c>
      <x:c r="G2223" s="54" t="n">
        <x:v>46220</x:v>
      </x:c>
      <x:c r="H2223" s="14" t="str">
        <x:f>IF(E2223&lt;0,"Componente negativo — manter e investigar","OK")</x:f>
        <x:v>OK</x:v>
      </x:c>
    </x:row>
    <x:row r="2224">
      <x:c r="A2224" s="51" t="n">
        <x:v>44743</x:v>
      </x:c>
      <x:c r="B2224" s="14" t="str">
        <x:v>Norte</x:v>
      </x:c>
      <x:c r="C2224" s="14" t="str">
        <x:v>SISTEMAS ISOLADOS</x:v>
      </x:c>
      <x:c r="D2224" s="53" t="str">
        <x:v>Cativo</x:v>
      </x:c>
      <x:c r="E2224" s="49" t="n">
        <x:v>119329.271</x:v>
      </x:c>
      <x:c r="F2224" s="52" t="n">
        <x:v>602633</x:v>
      </x:c>
      <x:c r="G2224" s="54" t="n">
        <x:v>46220</x:v>
      </x:c>
      <x:c r="H2224" s="14" t="str">
        <x:f>IF(E2224&lt;0,"Componente negativo — manter e investigar","OK")</x:f>
        <x:v>OK</x:v>
      </x:c>
    </x:row>
    <x:row r="2225">
      <x:c r="A2225" s="51" t="n">
        <x:v>44743</x:v>
      </x:c>
      <x:c r="B2225" s="14" t="str">
        <x:v>Norte</x:v>
      </x:c>
      <x:c r="C2225" s="14" t="str">
        <x:v>SUDESTE / CENTRO - OESTE</x:v>
      </x:c>
      <x:c r="D2225" s="53" t="str">
        <x:v>Cativo</x:v>
      </x:c>
      <x:c r="E2225" s="49" t="n">
        <x:v>166847.103</x:v>
      </x:c>
      <x:c r="F2225" s="52" t="n">
        <x:v>690938</x:v>
      </x:c>
      <x:c r="G2225" s="54" t="n">
        <x:v>46220</x:v>
      </x:c>
      <x:c r="H2225" s="14" t="str">
        <x:f>IF(E2225&lt;0,"Componente negativo — manter e investigar","OK")</x:f>
        <x:v>OK</x:v>
      </x:c>
    </x:row>
    <x:row r="2226">
      <x:c r="A2226" s="51" t="n">
        <x:v>44743</x:v>
      </x:c>
      <x:c r="B2226" s="14" t="str">
        <x:v>Sudeste</x:v>
      </x:c>
      <x:c r="C2226" s="14" t="str">
        <x:v>SUDESTE / CENTRO - OESTE</x:v>
      </x:c>
      <x:c r="D2226" s="53" t="str">
        <x:v>Cativo</x:v>
      </x:c>
      <x:c r="E2226" s="49" t="n">
        <x:v>5493677.498</x:v>
      </x:c>
      <x:c r="F2226" s="52" t="n">
        <x:v>34872165</x:v>
      </x:c>
      <x:c r="G2226" s="54" t="n">
        <x:v>46220</x:v>
      </x:c>
      <x:c r="H2226" s="14" t="str">
        <x:f>IF(E2226&lt;0,"Componente negativo — manter e investigar","OK")</x:f>
        <x:v>OK</x:v>
      </x:c>
    </x:row>
    <x:row r="2227">
      <x:c r="A2227" s="51" t="n">
        <x:v>44743</x:v>
      </x:c>
      <x:c r="B2227" s="14" t="str">
        <x:v>Sudeste</x:v>
      </x:c>
      <x:c r="C2227" s="14" t="str">
        <x:v>SUDESTE / CENTRO - OESTE</x:v>
      </x:c>
      <x:c r="D2227" s="53" t="str">
        <x:v>Livre</x:v>
      </x:c>
      <x:c r="E2227" s="49" t="n">
        <x:v>411.834</x:v>
      </x:c>
      <x:c r="F2227" s="52" t="n">
        <x:v>1</x:v>
      </x:c>
      <x:c r="G2227" s="54" t="n">
        <x:v>46220</x:v>
      </x:c>
      <x:c r="H2227" s="14" t="str">
        <x:f>IF(E2227&lt;0,"Componente negativo — manter e investigar","OK")</x:f>
        <x:v>OK</x:v>
      </x:c>
    </x:row>
    <x:row r="2228">
      <x:c r="A2228" s="51" t="n">
        <x:v>44743</x:v>
      </x:c>
      <x:c r="B2228" s="14" t="str">
        <x:v>Sul</x:v>
      </x:c>
      <x:c r="C2228" s="14" t="str">
        <x:v>SUL</x:v>
      </x:c>
      <x:c r="D2228" s="53" t="str">
        <x:v>Cativo</x:v>
      </x:c>
      <x:c r="E2228" s="49" t="n">
        <x:v>1988102.8919999998</x:v>
      </x:c>
      <x:c r="F2228" s="52" t="n">
        <x:v>11046502</x:v>
      </x:c>
      <x:c r="G2228" s="54" t="n">
        <x:v>46220</x:v>
      </x:c>
      <x:c r="H2228" s="14" t="str">
        <x:f>IF(E2228&lt;0,"Componente negativo — manter e investigar","OK")</x:f>
        <x:v>OK</x:v>
      </x:c>
    </x:row>
    <x:row r="2229">
      <x:c r="A2229" s="51" t="n">
        <x:v>44774</x:v>
      </x:c>
      <x:c r="B2229" s="14" t="str">
        <x:v>Centro-Oeste</x:v>
      </x:c>
      <x:c r="C2229" s="14" t="str">
        <x:v>SISTEMAS ISOLADOS</x:v>
      </x:c>
      <x:c r="D2229" s="53" t="str">
        <x:v>Cativo</x:v>
      </x:c>
      <x:c r="E2229" s="49" t="n">
        <x:v>294.451</x:v>
      </x:c>
      <x:c r="F2229" s="52" t="n">
        <x:v>985</x:v>
      </x:c>
      <x:c r="G2229" s="54" t="n">
        <x:v>46220</x:v>
      </x:c>
      <x:c r="H2229" s="14" t="str">
        <x:f>IF(E2229&lt;0,"Componente negativo — manter e investigar","OK")</x:f>
        <x:v>OK</x:v>
      </x:c>
    </x:row>
    <x:row r="2230">
      <x:c r="A2230" s="51" t="n">
        <x:v>44774</x:v>
      </x:c>
      <x:c r="B2230" s="14" t="str">
        <x:v>Centro-Oeste</x:v>
      </x:c>
      <x:c r="C2230" s="14" t="str">
        <x:v>SUDESTE / CENTRO - OESTE</x:v>
      </x:c>
      <x:c r="D2230" s="53" t="str">
        <x:v>Cativo</x:v>
      </x:c>
      <x:c r="E2230" s="49" t="n">
        <x:v>1092913.744</x:v>
      </x:c>
      <x:c r="F2230" s="52" t="n">
        <x:v>6095998</x:v>
      </x:c>
      <x:c r="G2230" s="54" t="n">
        <x:v>46220</x:v>
      </x:c>
      <x:c r="H2230" s="14" t="str">
        <x:f>IF(E2230&lt;0,"Componente negativo — manter e investigar","OK")</x:f>
        <x:v>OK</x:v>
      </x:c>
    </x:row>
    <x:row r="2231">
      <x:c r="A2231" s="51" t="n">
        <x:v>44774</x:v>
      </x:c>
      <x:c r="B2231" s="14" t="str">
        <x:v>Nordeste</x:v>
      </x:c>
      <x:c r="C2231" s="14" t="str">
        <x:v>NORDESTE</x:v>
      </x:c>
      <x:c r="D2231" s="53" t="str">
        <x:v>Cativo</x:v>
      </x:c>
      <x:c r="E2231" s="49" t="n">
        <x:v>2123904.8140000002</x:v>
      </x:c>
      <x:c r="F2231" s="52" t="n">
        <x:v>18609402</x:v>
      </x:c>
      <x:c r="G2231" s="54" t="n">
        <x:v>46220</x:v>
      </x:c>
      <x:c r="H2231" s="14" t="str">
        <x:f>IF(E2231&lt;0,"Componente negativo — manter e investigar","OK")</x:f>
        <x:v>OK</x:v>
      </x:c>
    </x:row>
    <x:row r="2232">
      <x:c r="A2232" s="51" t="n">
        <x:v>44774</x:v>
      </x:c>
      <x:c r="B2232" s="14" t="str">
        <x:v>Nordeste</x:v>
      </x:c>
      <x:c r="C2232" s="14" t="str">
        <x:v>NORTE INTERLIGADO</x:v>
      </x:c>
      <x:c r="D2232" s="53" t="str">
        <x:v>Cativo</x:v>
      </x:c>
      <x:c r="E2232" s="49" t="n">
        <x:v>367272.807</x:v>
      </x:c>
      <x:c r="F2232" s="52" t="n">
        <x:v>2445381</x:v>
      </x:c>
      <x:c r="G2232" s="54" t="n">
        <x:v>46220</x:v>
      </x:c>
      <x:c r="H2232" s="14" t="str">
        <x:f>IF(E2232&lt;0,"Componente negativo — manter e investigar","OK")</x:f>
        <x:v>OK</x:v>
      </x:c>
    </x:row>
    <x:row r="2233">
      <x:c r="A2233" s="51" t="n">
        <x:v>44774</x:v>
      </x:c>
      <x:c r="B2233" s="14" t="str">
        <x:v>Nordeste</x:v>
      </x:c>
      <x:c r="C2233" s="14" t="str">
        <x:v>SISTEMAS ISOLADOS</x:v>
      </x:c>
      <x:c r="D2233" s="53" t="str">
        <x:v>Cativo</x:v>
      </x:c>
      <x:c r="E2233" s="49" t="n">
        <x:v>831</x:v>
      </x:c>
      <x:c r="F2233" s="52" t="n">
        <x:v>678</x:v>
      </x:c>
      <x:c r="G2233" s="54" t="n">
        <x:v>46220</x:v>
      </x:c>
      <x:c r="H2233" s="14" t="str">
        <x:f>IF(E2233&lt;0,"Componente negativo — manter e investigar","OK")</x:f>
        <x:v>OK</x:v>
      </x:c>
    </x:row>
    <x:row r="2234">
      <x:c r="A2234" s="51" t="n">
        <x:v>44774</x:v>
      </x:c>
      <x:c r="B2234" s="14" t="str">
        <x:v>Norte</x:v>
      </x:c>
      <x:c r="C2234" s="14" t="str">
        <x:v>NORTE INTERLIGADO</x:v>
      </x:c>
      <x:c r="D2234" s="53" t="str">
        <x:v>Cativo</x:v>
      </x:c>
      <x:c r="E2234" s="49" t="n">
        <x:v>690591.9480000001</x:v>
      </x:c>
      <x:c r="F2234" s="52" t="n">
        <x:v>3721057</x:v>
      </x:c>
      <x:c r="G2234" s="54" t="n">
        <x:v>46220</x:v>
      </x:c>
      <x:c r="H2234" s="14" t="str">
        <x:f>IF(E2234&lt;0,"Componente negativo — manter e investigar","OK")</x:f>
        <x:v>OK</x:v>
      </x:c>
    </x:row>
    <x:row r="2235">
      <x:c r="A2235" s="51" t="n">
        <x:v>44774</x:v>
      </x:c>
      <x:c r="B2235" s="14" t="str">
        <x:v>Norte</x:v>
      </x:c>
      <x:c r="C2235" s="14" t="str">
        <x:v>SISTEMAS ISOLADOS</x:v>
      </x:c>
      <x:c r="D2235" s="53" t="str">
        <x:v>Cativo</x:v>
      </x:c>
      <x:c r="E2235" s="49" t="n">
        <x:v>131289.039</x:v>
      </x:c>
      <x:c r="F2235" s="52" t="n">
        <x:v>612274</x:v>
      </x:c>
      <x:c r="G2235" s="54" t="n">
        <x:v>46220</x:v>
      </x:c>
      <x:c r="H2235" s="14" t="str">
        <x:f>IF(E2235&lt;0,"Componente negativo — manter e investigar","OK")</x:f>
        <x:v>OK</x:v>
      </x:c>
    </x:row>
    <x:row r="2236">
      <x:c r="A2236" s="51" t="n">
        <x:v>44774</x:v>
      </x:c>
      <x:c r="B2236" s="14" t="str">
        <x:v>Norte</x:v>
      </x:c>
      <x:c r="C2236" s="14" t="str">
        <x:v>SUDESTE / CENTRO - OESTE</x:v>
      </x:c>
      <x:c r="D2236" s="53" t="str">
        <x:v>Cativo</x:v>
      </x:c>
      <x:c r="E2236" s="49" t="n">
        <x:v>173930.733</x:v>
      </x:c>
      <x:c r="F2236" s="52" t="n">
        <x:v>689808</x:v>
      </x:c>
      <x:c r="G2236" s="54" t="n">
        <x:v>46220</x:v>
      </x:c>
      <x:c r="H2236" s="14" t="str">
        <x:f>IF(E2236&lt;0,"Componente negativo — manter e investigar","OK")</x:f>
        <x:v>OK</x:v>
      </x:c>
    </x:row>
    <x:row r="2237">
      <x:c r="A2237" s="51" t="n">
        <x:v>44774</x:v>
      </x:c>
      <x:c r="B2237" s="14" t="str">
        <x:v>Sudeste</x:v>
      </x:c>
      <x:c r="C2237" s="14" t="str">
        <x:v>SUDESTE / CENTRO - OESTE</x:v>
      </x:c>
      <x:c r="D2237" s="53" t="str">
        <x:v>Cativo</x:v>
      </x:c>
      <x:c r="E2237" s="49" t="n">
        <x:v>5509088.592</x:v>
      </x:c>
      <x:c r="F2237" s="52" t="n">
        <x:v>34978241</x:v>
      </x:c>
      <x:c r="G2237" s="54" t="n">
        <x:v>46220</x:v>
      </x:c>
      <x:c r="H2237" s="14" t="str">
        <x:f>IF(E2237&lt;0,"Componente negativo — manter e investigar","OK")</x:f>
        <x:v>OK</x:v>
      </x:c>
    </x:row>
    <x:row r="2238">
      <x:c r="A2238" s="51" t="n">
        <x:v>44774</x:v>
      </x:c>
      <x:c r="B2238" s="14" t="str">
        <x:v>Sudeste</x:v>
      </x:c>
      <x:c r="C2238" s="14" t="str">
        <x:v>SUDESTE / CENTRO - OESTE</x:v>
      </x:c>
      <x:c r="D2238" s="53" t="str">
        <x:v>Livre</x:v>
      </x:c>
      <x:c r="E2238" s="49" t="n">
        <x:v>334.778</x:v>
      </x:c>
      <x:c r="F2238" s="52" t="n">
        <x:v>1</x:v>
      </x:c>
      <x:c r="G2238" s="54" t="n">
        <x:v>46220</x:v>
      </x:c>
      <x:c r="H2238" s="14" t="str">
        <x:f>IF(E2238&lt;0,"Componente negativo — manter e investigar","OK")</x:f>
        <x:v>OK</x:v>
      </x:c>
    </x:row>
    <x:row r="2239">
      <x:c r="A2239" s="51" t="n">
        <x:v>44774</x:v>
      </x:c>
      <x:c r="B2239" s="14" t="str">
        <x:v>Sul</x:v>
      </x:c>
      <x:c r="C2239" s="14" t="str">
        <x:v>SUL</x:v>
      </x:c>
      <x:c r="D2239" s="53" t="str">
        <x:v>Cativo</x:v>
      </x:c>
      <x:c r="E2239" s="49" t="n">
        <x:v>1948832.039</x:v>
      </x:c>
      <x:c r="F2239" s="52" t="n">
        <x:v>11074791</x:v>
      </x:c>
      <x:c r="G2239" s="54" t="n">
        <x:v>46220</x:v>
      </x:c>
      <x:c r="H2239" s="14" t="str">
        <x:f>IF(E2239&lt;0,"Componente negativo — manter e investigar","OK")</x:f>
        <x:v>OK</x:v>
      </x:c>
    </x:row>
    <x:row r="2240">
      <x:c r="A2240" s="51" t="n">
        <x:v>44805</x:v>
      </x:c>
      <x:c r="B2240" s="14" t="str">
        <x:v>Centro-Oeste</x:v>
      </x:c>
      <x:c r="C2240" s="14" t="str">
        <x:v>SUDESTE / CENTRO - OESTE</x:v>
      </x:c>
      <x:c r="D2240" s="53" t="str">
        <x:v>Cativo</x:v>
      </x:c>
      <x:c r="E2240" s="49" t="n">
        <x:v>1182929.1060000001</x:v>
      </x:c>
      <x:c r="F2240" s="52" t="n">
        <x:v>6104000</x:v>
      </x:c>
      <x:c r="G2240" s="54" t="n">
        <x:v>46220</x:v>
      </x:c>
      <x:c r="H2240" s="14" t="str">
        <x:f>IF(E2240&lt;0,"Componente negativo — manter e investigar","OK")</x:f>
        <x:v>OK</x:v>
      </x:c>
    </x:row>
    <x:row r="2241">
      <x:c r="A2241" s="51" t="n">
        <x:v>44805</x:v>
      </x:c>
      <x:c r="B2241" s="14" t="str">
        <x:v>Nordeste</x:v>
      </x:c>
      <x:c r="C2241" s="14" t="str">
        <x:v>NORDESTE</x:v>
      </x:c>
      <x:c r="D2241" s="53" t="str">
        <x:v>Cativo</x:v>
      </x:c>
      <x:c r="E2241" s="49" t="n">
        <x:v>2238969.389</x:v>
      </x:c>
      <x:c r="F2241" s="52" t="n">
        <x:v>18668562</x:v>
      </x:c>
      <x:c r="G2241" s="54" t="n">
        <x:v>46220</x:v>
      </x:c>
      <x:c r="H2241" s="14" t="str">
        <x:f>IF(E2241&lt;0,"Componente negativo — manter e investigar","OK")</x:f>
        <x:v>OK</x:v>
      </x:c>
    </x:row>
    <x:row r="2242">
      <x:c r="A2242" s="51" t="n">
        <x:v>44805</x:v>
      </x:c>
      <x:c r="B2242" s="14" t="str">
        <x:v>Nordeste</x:v>
      </x:c>
      <x:c r="C2242" s="14" t="str">
        <x:v>NORTE INTERLIGADO</x:v>
      </x:c>
      <x:c r="D2242" s="53" t="str">
        <x:v>Cativo</x:v>
      </x:c>
      <x:c r="E2242" s="49" t="n">
        <x:v>374619.123</x:v>
      </x:c>
      <x:c r="F2242" s="52" t="n">
        <x:v>2444283</x:v>
      </x:c>
      <x:c r="G2242" s="54" t="n">
        <x:v>46220</x:v>
      </x:c>
      <x:c r="H2242" s="14" t="str">
        <x:f>IF(E2242&lt;0,"Componente negativo — manter e investigar","OK")</x:f>
        <x:v>OK</x:v>
      </x:c>
    </x:row>
    <x:row r="2243">
      <x:c r="A2243" s="51" t="n">
        <x:v>44805</x:v>
      </x:c>
      <x:c r="B2243" s="14" t="str">
        <x:v>Nordeste</x:v>
      </x:c>
      <x:c r="C2243" s="14" t="str">
        <x:v>SISTEMAS ISOLADOS</x:v>
      </x:c>
      <x:c r="D2243" s="53" t="str">
        <x:v>Cativo</x:v>
      </x:c>
      <x:c r="E2243" s="49" t="n">
        <x:v>805</x:v>
      </x:c>
      <x:c r="F2243" s="52" t="n">
        <x:v>681</x:v>
      </x:c>
      <x:c r="G2243" s="54" t="n">
        <x:v>46220</x:v>
      </x:c>
      <x:c r="H2243" s="14" t="str">
        <x:f>IF(E2243&lt;0,"Componente negativo — manter e investigar","OK")</x:f>
        <x:v>OK</x:v>
      </x:c>
    </x:row>
    <x:row r="2244">
      <x:c r="A2244" s="51" t="n">
        <x:v>44805</x:v>
      </x:c>
      <x:c r="B2244" s="14" t="str">
        <x:v>Norte</x:v>
      </x:c>
      <x:c r="C2244" s="14" t="str">
        <x:v>NORTE INTERLIGADO</x:v>
      </x:c>
      <x:c r="D2244" s="53" t="str">
        <x:v>Cativo</x:v>
      </x:c>
      <x:c r="E2244" s="49" t="n">
        <x:v>722439.3049999999</x:v>
      </x:c>
      <x:c r="F2244" s="52" t="n">
        <x:v>3714230</x:v>
      </x:c>
      <x:c r="G2244" s="54" t="n">
        <x:v>46220</x:v>
      </x:c>
      <x:c r="H2244" s="14" t="str">
        <x:f>IF(E2244&lt;0,"Componente negativo — manter e investigar","OK")</x:f>
        <x:v>OK</x:v>
      </x:c>
    </x:row>
    <x:row r="2245">
      <x:c r="A2245" s="51" t="n">
        <x:v>44805</x:v>
      </x:c>
      <x:c r="B2245" s="14" t="str">
        <x:v>Norte</x:v>
      </x:c>
      <x:c r="C2245" s="14" t="str">
        <x:v>SISTEMAS ISOLADOS</x:v>
      </x:c>
      <x:c r="D2245" s="53" t="str">
        <x:v>Cativo</x:v>
      </x:c>
      <x:c r="E2245" s="49" t="n">
        <x:v>133195.154</x:v>
      </x:c>
      <x:c r="F2245" s="52" t="n">
        <x:v>606494</x:v>
      </x:c>
      <x:c r="G2245" s="54" t="n">
        <x:v>46220</x:v>
      </x:c>
      <x:c r="H2245" s="14" t="str">
        <x:f>IF(E2245&lt;0,"Componente negativo — manter e investigar","OK")</x:f>
        <x:v>OK</x:v>
      </x:c>
    </x:row>
    <x:row r="2246">
      <x:c r="A2246" s="51" t="n">
        <x:v>44805</x:v>
      </x:c>
      <x:c r="B2246" s="14" t="str">
        <x:v>Norte</x:v>
      </x:c>
      <x:c r="C2246" s="14" t="str">
        <x:v>SUDESTE / CENTRO - OESTE</x:v>
      </x:c>
      <x:c r="D2246" s="53" t="str">
        <x:v>Cativo</x:v>
      </x:c>
      <x:c r="E2246" s="49" t="n">
        <x:v>176936.03</x:v>
      </x:c>
      <x:c r="F2246" s="52" t="n">
        <x:v>691276</x:v>
      </x:c>
      <x:c r="G2246" s="54" t="n">
        <x:v>46220</x:v>
      </x:c>
      <x:c r="H2246" s="14" t="str">
        <x:f>IF(E2246&lt;0,"Componente negativo — manter e investigar","OK")</x:f>
        <x:v>OK</x:v>
      </x:c>
    </x:row>
    <x:row r="2247">
      <x:c r="A2247" s="51" t="n">
        <x:v>44805</x:v>
      </x:c>
      <x:c r="B2247" s="14" t="str">
        <x:v>Sudeste</x:v>
      </x:c>
      <x:c r="C2247" s="14" t="str">
        <x:v>SUDESTE / CENTRO - OESTE</x:v>
      </x:c>
      <x:c r="D2247" s="53" t="str">
        <x:v>Cativo</x:v>
      </x:c>
      <x:c r="E2247" s="49" t="n">
        <x:v>5660642.556</x:v>
      </x:c>
      <x:c r="F2247" s="52" t="n">
        <x:v>35010120</x:v>
      </x:c>
      <x:c r="G2247" s="54" t="n">
        <x:v>46220</x:v>
      </x:c>
      <x:c r="H2247" s="14" t="str">
        <x:f>IF(E2247&lt;0,"Componente negativo — manter e investigar","OK")</x:f>
        <x:v>OK</x:v>
      </x:c>
    </x:row>
    <x:row r="2248">
      <x:c r="A2248" s="51" t="n">
        <x:v>44805</x:v>
      </x:c>
      <x:c r="B2248" s="14" t="str">
        <x:v>Sudeste</x:v>
      </x:c>
      <x:c r="C2248" s="14" t="str">
        <x:v>SUDESTE / CENTRO - OESTE</x:v>
      </x:c>
      <x:c r="D2248" s="53" t="str">
        <x:v>Livre</x:v>
      </x:c>
      <x:c r="E2248" s="49" t="n">
        <x:v>408.696</x:v>
      </x:c>
      <x:c r="F2248" s="52" t="n">
        <x:v>1</x:v>
      </x:c>
      <x:c r="G2248" s="54" t="n">
        <x:v>46220</x:v>
      </x:c>
      <x:c r="H2248" s="14" t="str">
        <x:f>IF(E2248&lt;0,"Componente negativo — manter e investigar","OK")</x:f>
        <x:v>OK</x:v>
      </x:c>
    </x:row>
    <x:row r="2249">
      <x:c r="A2249" s="51" t="n">
        <x:v>44805</x:v>
      </x:c>
      <x:c r="B2249" s="14" t="str">
        <x:v>Sul</x:v>
      </x:c>
      <x:c r="C2249" s="14" t="str">
        <x:v>SUL</x:v>
      </x:c>
      <x:c r="D2249" s="53" t="str">
        <x:v>Cativo</x:v>
      </x:c>
      <x:c r="E2249" s="49" t="n">
        <x:v>1980822.446</x:v>
      </x:c>
      <x:c r="F2249" s="52" t="n">
        <x:v>11102334</x:v>
      </x:c>
      <x:c r="G2249" s="54" t="n">
        <x:v>46220</x:v>
      </x:c>
      <x:c r="H2249" s="14" t="str">
        <x:f>IF(E2249&lt;0,"Componente negativo — manter e investigar","OK")</x:f>
        <x:v>OK</x:v>
      </x:c>
    </x:row>
    <x:row r="2250">
      <x:c r="A2250" s="51" t="n">
        <x:v>44835</x:v>
      </x:c>
      <x:c r="B2250" s="14" t="str">
        <x:v>Centro-Oeste</x:v>
      </x:c>
      <x:c r="C2250" s="14" t="str">
        <x:v>SUDESTE / CENTRO - OESTE</x:v>
      </x:c>
      <x:c r="D2250" s="53" t="str">
        <x:v>Cativo</x:v>
      </x:c>
      <x:c r="E2250" s="49" t="n">
        <x:v>1216585.738</x:v>
      </x:c>
      <x:c r="F2250" s="52" t="n">
        <x:v>6114537</x:v>
      </x:c>
      <x:c r="G2250" s="54" t="n">
        <x:v>46220</x:v>
      </x:c>
      <x:c r="H2250" s="14" t="str">
        <x:f>IF(E2250&lt;0,"Componente negativo — manter e investigar","OK")</x:f>
        <x:v>OK</x:v>
      </x:c>
    </x:row>
    <x:row r="2251">
      <x:c r="A2251" s="51" t="n">
        <x:v>44835</x:v>
      </x:c>
      <x:c r="B2251" s="14" t="str">
        <x:v>Nordeste</x:v>
      </x:c>
      <x:c r="C2251" s="14" t="str">
        <x:v>NORDESTE</x:v>
      </x:c>
      <x:c r="D2251" s="53" t="str">
        <x:v>Cativo</x:v>
      </x:c>
      <x:c r="E2251" s="49" t="n">
        <x:v>2279963.8219999997</x:v>
      </x:c>
      <x:c r="F2251" s="52" t="n">
        <x:v>18724958</x:v>
      </x:c>
      <x:c r="G2251" s="54" t="n">
        <x:v>46220</x:v>
      </x:c>
      <x:c r="H2251" s="14" t="str">
        <x:f>IF(E2251&lt;0,"Componente negativo — manter e investigar","OK")</x:f>
        <x:v>OK</x:v>
      </x:c>
    </x:row>
    <x:row r="2252">
      <x:c r="A2252" s="51" t="n">
        <x:v>44835</x:v>
      </x:c>
      <x:c r="B2252" s="14" t="str">
        <x:v>Nordeste</x:v>
      </x:c>
      <x:c r="C2252" s="14" t="str">
        <x:v>NORTE INTERLIGADO</x:v>
      </x:c>
      <x:c r="D2252" s="53" t="str">
        <x:v>Cativo</x:v>
      </x:c>
      <x:c r="E2252" s="49" t="n">
        <x:v>372212.636</x:v>
      </x:c>
      <x:c r="F2252" s="52" t="n">
        <x:v>2447666</x:v>
      </x:c>
      <x:c r="G2252" s="54" t="n">
        <x:v>46220</x:v>
      </x:c>
      <x:c r="H2252" s="14" t="str">
        <x:f>IF(E2252&lt;0,"Componente negativo — manter e investigar","OK")</x:f>
        <x:v>OK</x:v>
      </x:c>
    </x:row>
    <x:row r="2253">
      <x:c r="A2253" s="51" t="n">
        <x:v>44835</x:v>
      </x:c>
      <x:c r="B2253" s="14" t="str">
        <x:v>Nordeste</x:v>
      </x:c>
      <x:c r="C2253" s="14" t="str">
        <x:v>SISTEMAS ISOLADOS</x:v>
      </x:c>
      <x:c r="D2253" s="53" t="str">
        <x:v>Cativo</x:v>
      </x:c>
      <x:c r="E2253" s="49" t="n">
        <x:v>1024</x:v>
      </x:c>
      <x:c r="F2253" s="52" t="n">
        <x:v>682</x:v>
      </x:c>
      <x:c r="G2253" s="54" t="n">
        <x:v>46220</x:v>
      </x:c>
      <x:c r="H2253" s="14" t="str">
        <x:f>IF(E2253&lt;0,"Componente negativo — manter e investigar","OK")</x:f>
        <x:v>OK</x:v>
      </x:c>
    </x:row>
    <x:row r="2254">
      <x:c r="A2254" s="51" t="n">
        <x:v>44835</x:v>
      </x:c>
      <x:c r="B2254" s="14" t="str">
        <x:v>Norte</x:v>
      </x:c>
      <x:c r="C2254" s="14" t="str">
        <x:v>NORTE INTERLIGADO</x:v>
      </x:c>
      <x:c r="D2254" s="53" t="str">
        <x:v>Cativo</x:v>
      </x:c>
      <x:c r="E2254" s="49" t="n">
        <x:v>720131.976</x:v>
      </x:c>
      <x:c r="F2254" s="52" t="n">
        <x:v>3730269</x:v>
      </x:c>
      <x:c r="G2254" s="54" t="n">
        <x:v>46220</x:v>
      </x:c>
      <x:c r="H2254" s="14" t="str">
        <x:f>IF(E2254&lt;0,"Componente negativo — manter e investigar","OK")</x:f>
        <x:v>OK</x:v>
      </x:c>
    </x:row>
    <x:row r="2255">
      <x:c r="A2255" s="51" t="n">
        <x:v>44835</x:v>
      </x:c>
      <x:c r="B2255" s="14" t="str">
        <x:v>Norte</x:v>
      </x:c>
      <x:c r="C2255" s="14" t="str">
        <x:v>SISTEMAS ISOLADOS</x:v>
      </x:c>
      <x:c r="D2255" s="53" t="str">
        <x:v>Cativo</x:v>
      </x:c>
      <x:c r="E2255" s="49" t="n">
        <x:v>140944.121</x:v>
      </x:c>
      <x:c r="F2255" s="52" t="n">
        <x:v>609561</x:v>
      </x:c>
      <x:c r="G2255" s="54" t="n">
        <x:v>46220</x:v>
      </x:c>
      <x:c r="H2255" s="14" t="str">
        <x:f>IF(E2255&lt;0,"Componente negativo — manter e investigar","OK")</x:f>
        <x:v>OK</x:v>
      </x:c>
    </x:row>
    <x:row r="2256">
      <x:c r="A2256" s="51" t="n">
        <x:v>44835</x:v>
      </x:c>
      <x:c r="B2256" s="14" t="str">
        <x:v>Norte</x:v>
      </x:c>
      <x:c r="C2256" s="14" t="str">
        <x:v>SUDESTE / CENTRO - OESTE</x:v>
      </x:c>
      <x:c r="D2256" s="53" t="str">
        <x:v>Cativo</x:v>
      </x:c>
      <x:c r="E2256" s="49" t="n">
        <x:v>183074.061</x:v>
      </x:c>
      <x:c r="F2256" s="52" t="n">
        <x:v>692536</x:v>
      </x:c>
      <x:c r="G2256" s="54" t="n">
        <x:v>46220</x:v>
      </x:c>
      <x:c r="H2256" s="14" t="str">
        <x:f>IF(E2256&lt;0,"Componente negativo — manter e investigar","OK")</x:f>
        <x:v>OK</x:v>
      </x:c>
    </x:row>
    <x:row r="2257">
      <x:c r="A2257" s="51" t="n">
        <x:v>44835</x:v>
      </x:c>
      <x:c r="B2257" s="14" t="str">
        <x:v>Sudeste</x:v>
      </x:c>
      <x:c r="C2257" s="14" t="str">
        <x:v>SUDESTE / CENTRO - OESTE</x:v>
      </x:c>
      <x:c r="D2257" s="53" t="str">
        <x:v>Cativo</x:v>
      </x:c>
      <x:c r="E2257" s="49" t="n">
        <x:v>5725672.29</x:v>
      </x:c>
      <x:c r="F2257" s="52" t="n">
        <x:v>34959486</x:v>
      </x:c>
      <x:c r="G2257" s="54" t="n">
        <x:v>46220</x:v>
      </x:c>
      <x:c r="H2257" s="14" t="str">
        <x:f>IF(E2257&lt;0,"Componente negativo — manter e investigar","OK")</x:f>
        <x:v>OK</x:v>
      </x:c>
    </x:row>
    <x:row r="2258">
      <x:c r="A2258" s="51" t="n">
        <x:v>44835</x:v>
      </x:c>
      <x:c r="B2258" s="14" t="str">
        <x:v>Sudeste</x:v>
      </x:c>
      <x:c r="C2258" s="14" t="str">
        <x:v>SUDESTE / CENTRO - OESTE</x:v>
      </x:c>
      <x:c r="D2258" s="53" t="str">
        <x:v>Livre</x:v>
      </x:c>
      <x:c r="E2258" s="49" t="n">
        <x:v>414.056</x:v>
      </x:c>
      <x:c r="F2258" s="52" t="n">
        <x:v>1</x:v>
      </x:c>
      <x:c r="G2258" s="54" t="n">
        <x:v>46220</x:v>
      </x:c>
      <x:c r="H2258" s="14" t="str">
        <x:f>IF(E2258&lt;0,"Componente negativo — manter e investigar","OK")</x:f>
        <x:v>OK</x:v>
      </x:c>
    </x:row>
    <x:row r="2259">
      <x:c r="A2259" s="51" t="n">
        <x:v>44835</x:v>
      </x:c>
      <x:c r="B2259" s="14" t="str">
        <x:v>Sul</x:v>
      </x:c>
      <x:c r="C2259" s="14" t="str">
        <x:v>SUL</x:v>
      </x:c>
      <x:c r="D2259" s="53" t="str">
        <x:v>Cativo</x:v>
      </x:c>
      <x:c r="E2259" s="49" t="n">
        <x:v>1936081.7360000003</x:v>
      </x:c>
      <x:c r="F2259" s="52" t="n">
        <x:v>11121596</x:v>
      </x:c>
      <x:c r="G2259" s="54" t="n">
        <x:v>46220</x:v>
      </x:c>
      <x:c r="H2259" s="14" t="str">
        <x:f>IF(E2259&lt;0,"Componente negativo — manter e investigar","OK")</x:f>
        <x:v>OK</x:v>
      </x:c>
    </x:row>
    <x:row r="2260">
      <x:c r="A2260" s="51" t="n">
        <x:v>44866</x:v>
      </x:c>
      <x:c r="B2260" s="14" t="str">
        <x:v>Centro-Oeste</x:v>
      </x:c>
      <x:c r="C2260" s="14" t="str">
        <x:v>SUDESTE / CENTRO - OESTE</x:v>
      </x:c>
      <x:c r="D2260" s="53" t="str">
        <x:v>Cativo</x:v>
      </x:c>
      <x:c r="E2260" s="49" t="n">
        <x:v>1203483.795</x:v>
      </x:c>
      <x:c r="F2260" s="52" t="n">
        <x:v>6137688</x:v>
      </x:c>
      <x:c r="G2260" s="54" t="n">
        <x:v>46220</x:v>
      </x:c>
      <x:c r="H2260" s="14" t="str">
        <x:f>IF(E2260&lt;0,"Componente negativo — manter e investigar","OK")</x:f>
        <x:v>OK</x:v>
      </x:c>
    </x:row>
    <x:row r="2261">
      <x:c r="A2261" s="51" t="n">
        <x:v>44866</x:v>
      </x:c>
      <x:c r="B2261" s="14" t="str">
        <x:v>Nordeste</x:v>
      </x:c>
      <x:c r="C2261" s="14" t="str">
        <x:v>NORDESTE</x:v>
      </x:c>
      <x:c r="D2261" s="53" t="str">
        <x:v>Cativo</x:v>
      </x:c>
      <x:c r="E2261" s="49" t="n">
        <x:v>2428472.616</x:v>
      </x:c>
      <x:c r="F2261" s="52" t="n">
        <x:v>18767121</x:v>
      </x:c>
      <x:c r="G2261" s="54" t="n">
        <x:v>46220</x:v>
      </x:c>
      <x:c r="H2261" s="14" t="str">
        <x:f>IF(E2261&lt;0,"Componente negativo — manter e investigar","OK")</x:f>
        <x:v>OK</x:v>
      </x:c>
    </x:row>
    <x:row r="2262">
      <x:c r="A2262" s="51" t="n">
        <x:v>44866</x:v>
      </x:c>
      <x:c r="B2262" s="14" t="str">
        <x:v>Nordeste</x:v>
      </x:c>
      <x:c r="C2262" s="14" t="str">
        <x:v>NORTE INTERLIGADO</x:v>
      </x:c>
      <x:c r="D2262" s="53" t="str">
        <x:v>Cativo</x:v>
      </x:c>
      <x:c r="E2262" s="49" t="n">
        <x:v>378045.05</x:v>
      </x:c>
      <x:c r="F2262" s="52" t="n">
        <x:v>2450134</x:v>
      </x:c>
      <x:c r="G2262" s="54" t="n">
        <x:v>46220</x:v>
      </x:c>
      <x:c r="H2262" s="14" t="str">
        <x:f>IF(E2262&lt;0,"Componente negativo — manter e investigar","OK")</x:f>
        <x:v>OK</x:v>
      </x:c>
    </x:row>
    <x:row r="2263">
      <x:c r="A2263" s="51" t="n">
        <x:v>44866</x:v>
      </x:c>
      <x:c r="B2263" s="14" t="str">
        <x:v>Nordeste</x:v>
      </x:c>
      <x:c r="C2263" s="14" t="str">
        <x:v>SISTEMAS ISOLADOS</x:v>
      </x:c>
      <x:c r="D2263" s="53" t="str">
        <x:v>Cativo</x:v>
      </x:c>
      <x:c r="E2263" s="49" t="n">
        <x:v>888</x:v>
      </x:c>
      <x:c r="F2263" s="52" t="n">
        <x:v>681</x:v>
      </x:c>
      <x:c r="G2263" s="54" t="n">
        <x:v>46220</x:v>
      </x:c>
      <x:c r="H2263" s="14" t="str">
        <x:f>IF(E2263&lt;0,"Componente negativo — manter e investigar","OK")</x:f>
        <x:v>OK</x:v>
      </x:c>
    </x:row>
    <x:row r="2264">
      <x:c r="A2264" s="51" t="n">
        <x:v>44866</x:v>
      </x:c>
      <x:c r="B2264" s="14" t="str">
        <x:v>Norte</x:v>
      </x:c>
      <x:c r="C2264" s="14" t="str">
        <x:v>NORTE INTERLIGADO</x:v>
      </x:c>
      <x:c r="D2264" s="53" t="str">
        <x:v>Cativo</x:v>
      </x:c>
      <x:c r="E2264" s="49" t="n">
        <x:v>677571.576</x:v>
      </x:c>
      <x:c r="F2264" s="52" t="n">
        <x:v>3731711</x:v>
      </x:c>
      <x:c r="G2264" s="54" t="n">
        <x:v>46220</x:v>
      </x:c>
      <x:c r="H2264" s="14" t="str">
        <x:f>IF(E2264&lt;0,"Componente negativo — manter e investigar","OK")</x:f>
        <x:v>OK</x:v>
      </x:c>
    </x:row>
    <x:row r="2265">
      <x:c r="A2265" s="51" t="n">
        <x:v>44866</x:v>
      </x:c>
      <x:c r="B2265" s="14" t="str">
        <x:v>Norte</x:v>
      </x:c>
      <x:c r="C2265" s="14" t="str">
        <x:v>SISTEMAS ISOLADOS</x:v>
      </x:c>
      <x:c r="D2265" s="53" t="str">
        <x:v>Cativo</x:v>
      </x:c>
      <x:c r="E2265" s="49" t="n">
        <x:v>133885.95</x:v>
      </x:c>
      <x:c r="F2265" s="52" t="n">
        <x:v>611824</x:v>
      </x:c>
      <x:c r="G2265" s="54" t="n">
        <x:v>46220</x:v>
      </x:c>
      <x:c r="H2265" s="14" t="str">
        <x:f>IF(E2265&lt;0,"Componente negativo — manter e investigar","OK")</x:f>
        <x:v>OK</x:v>
      </x:c>
    </x:row>
    <x:row r="2266">
      <x:c r="A2266" s="51" t="n">
        <x:v>44866</x:v>
      </x:c>
      <x:c r="B2266" s="14" t="str">
        <x:v>Norte</x:v>
      </x:c>
      <x:c r="C2266" s="14" t="str">
        <x:v>SUDESTE / CENTRO - OESTE</x:v>
      </x:c>
      <x:c r="D2266" s="53" t="str">
        <x:v>Cativo</x:v>
      </x:c>
      <x:c r="E2266" s="49" t="n">
        <x:v>170615.558</x:v>
      </x:c>
      <x:c r="F2266" s="52" t="n">
        <x:v>695821</x:v>
      </x:c>
      <x:c r="G2266" s="54" t="n">
        <x:v>46220</x:v>
      </x:c>
      <x:c r="H2266" s="14" t="str">
        <x:f>IF(E2266&lt;0,"Componente negativo — manter e investigar","OK")</x:f>
        <x:v>OK</x:v>
      </x:c>
    </x:row>
    <x:row r="2267">
      <x:c r="A2267" s="51" t="n">
        <x:v>44866</x:v>
      </x:c>
      <x:c r="B2267" s="14" t="str">
        <x:v>Sudeste</x:v>
      </x:c>
      <x:c r="C2267" s="14" t="str">
        <x:v>SUDESTE / CENTRO - OESTE</x:v>
      </x:c>
      <x:c r="D2267" s="53" t="str">
        <x:v>Cativo</x:v>
      </x:c>
      <x:c r="E2267" s="49" t="n">
        <x:v>5923150.950999999</x:v>
      </x:c>
      <x:c r="F2267" s="52" t="n">
        <x:v>35021910</x:v>
      </x:c>
      <x:c r="G2267" s="54" t="n">
        <x:v>46220</x:v>
      </x:c>
      <x:c r="H2267" s="14" t="str">
        <x:f>IF(E2267&lt;0,"Componente negativo — manter e investigar","OK")</x:f>
        <x:v>OK</x:v>
      </x:c>
    </x:row>
    <x:row r="2268">
      <x:c r="A2268" s="51" t="n">
        <x:v>44866</x:v>
      </x:c>
      <x:c r="B2268" s="14" t="str">
        <x:v>Sudeste</x:v>
      </x:c>
      <x:c r="C2268" s="14" t="str">
        <x:v>SUDESTE / CENTRO - OESTE</x:v>
      </x:c>
      <x:c r="D2268" s="53" t="str">
        <x:v>Livre</x:v>
      </x:c>
      <x:c r="E2268" s="49" t="n">
        <x:v>423.968</x:v>
      </x:c>
      <x:c r="F2268" s="52" t="n">
        <x:v>1</x:v>
      </x:c>
      <x:c r="G2268" s="54" t="n">
        <x:v>46220</x:v>
      </x:c>
      <x:c r="H2268" s="14" t="str">
        <x:f>IF(E2268&lt;0,"Componente negativo — manter e investigar","OK")</x:f>
        <x:v>OK</x:v>
      </x:c>
    </x:row>
    <x:row r="2269">
      <x:c r="A2269" s="51" t="n">
        <x:v>44866</x:v>
      </x:c>
      <x:c r="B2269" s="14" t="str">
        <x:v>Sul</x:v>
      </x:c>
      <x:c r="C2269" s="14" t="str">
        <x:v>SUL</x:v>
      </x:c>
      <x:c r="D2269" s="53" t="str">
        <x:v>Cativo</x:v>
      </x:c>
      <x:c r="E2269" s="49" t="n">
        <x:v>2004807.314</x:v>
      </x:c>
      <x:c r="F2269" s="52" t="n">
        <x:v>11153299</x:v>
      </x:c>
      <x:c r="G2269" s="54" t="n">
        <x:v>46220</x:v>
      </x:c>
      <x:c r="H2269" s="14" t="str">
        <x:f>IF(E2269&lt;0,"Componente negativo — manter e investigar","OK")</x:f>
        <x:v>OK</x:v>
      </x:c>
    </x:row>
    <x:row r="2270">
      <x:c r="A2270" s="51" t="n">
        <x:v>44896</x:v>
      </x:c>
      <x:c r="B2270" s="14" t="str">
        <x:v>Centro-Oeste</x:v>
      </x:c>
      <x:c r="C2270" s="14" t="str">
        <x:v>SUDESTE / CENTRO - OESTE</x:v>
      </x:c>
      <x:c r="D2270" s="53" t="str">
        <x:v>Cativo</x:v>
      </x:c>
      <x:c r="E2270" s="49" t="n">
        <x:v>1260870.8709999998</x:v>
      </x:c>
      <x:c r="F2270" s="52" t="n">
        <x:v>6142731</x:v>
      </x:c>
      <x:c r="G2270" s="54" t="n">
        <x:v>46220</x:v>
      </x:c>
      <x:c r="H2270" s="14" t="str">
        <x:f>IF(E2270&lt;0,"Componente negativo — manter e investigar","OK")</x:f>
        <x:v>OK</x:v>
      </x:c>
    </x:row>
    <x:row r="2271">
      <x:c r="A2271" s="51" t="n">
        <x:v>44896</x:v>
      </x:c>
      <x:c r="B2271" s="14" t="str">
        <x:v>Nordeste</x:v>
      </x:c>
      <x:c r="C2271" s="14" t="str">
        <x:v>NORDESTE</x:v>
      </x:c>
      <x:c r="D2271" s="53" t="str">
        <x:v>Cativo</x:v>
      </x:c>
      <x:c r="E2271" s="49" t="n">
        <x:v>2458424.237</x:v>
      </x:c>
      <x:c r="F2271" s="52" t="n">
        <x:v>18860386</x:v>
      </x:c>
      <x:c r="G2271" s="54" t="n">
        <x:v>46220</x:v>
      </x:c>
      <x:c r="H2271" s="14" t="str">
        <x:f>IF(E2271&lt;0,"Componente negativo — manter e investigar","OK")</x:f>
        <x:v>OK</x:v>
      </x:c>
    </x:row>
    <x:row r="2272">
      <x:c r="A2272" s="51" t="n">
        <x:v>44896</x:v>
      </x:c>
      <x:c r="B2272" s="14" t="str">
        <x:v>Nordeste</x:v>
      </x:c>
      <x:c r="C2272" s="14" t="str">
        <x:v>NORTE INTERLIGADO</x:v>
      </x:c>
      <x:c r="D2272" s="53" t="str">
        <x:v>Cativo</x:v>
      </x:c>
      <x:c r="E2272" s="49" t="n">
        <x:v>379815.341</x:v>
      </x:c>
      <x:c r="F2272" s="52" t="n">
        <x:v>2454954</x:v>
      </x:c>
      <x:c r="G2272" s="54" t="n">
        <x:v>46220</x:v>
      </x:c>
      <x:c r="H2272" s="14" t="str">
        <x:f>IF(E2272&lt;0,"Componente negativo — manter e investigar","OK")</x:f>
        <x:v>OK</x:v>
      </x:c>
    </x:row>
    <x:row r="2273">
      <x:c r="A2273" s="51" t="n">
        <x:v>44896</x:v>
      </x:c>
      <x:c r="B2273" s="14" t="str">
        <x:v>Nordeste</x:v>
      </x:c>
      <x:c r="C2273" s="14" t="str">
        <x:v>SISTEMAS ISOLADOS</x:v>
      </x:c>
      <x:c r="D2273" s="53" t="str">
        <x:v>Cativo</x:v>
      </x:c>
      <x:c r="E2273" s="49" t="n">
        <x:v>838</x:v>
      </x:c>
      <x:c r="F2273" s="52" t="n">
        <x:v>681</x:v>
      </x:c>
      <x:c r="G2273" s="54" t="n">
        <x:v>46220</x:v>
      </x:c>
      <x:c r="H2273" s="14" t="str">
        <x:f>IF(E2273&lt;0,"Componente negativo — manter e investigar","OK")</x:f>
        <x:v>OK</x:v>
      </x:c>
    </x:row>
    <x:row r="2274">
      <x:c r="A2274" s="51" t="n">
        <x:v>44896</x:v>
      </x:c>
      <x:c r="B2274" s="14" t="str">
        <x:v>Norte</x:v>
      </x:c>
      <x:c r="C2274" s="14" t="str">
        <x:v>NORTE INTERLIGADO</x:v>
      </x:c>
      <x:c r="D2274" s="53" t="str">
        <x:v>Cativo</x:v>
      </x:c>
      <x:c r="E2274" s="49" t="n">
        <x:v>676490.951</x:v>
      </x:c>
      <x:c r="F2274" s="52" t="n">
        <x:v>3750869</x:v>
      </x:c>
      <x:c r="G2274" s="54" t="n">
        <x:v>46220</x:v>
      </x:c>
      <x:c r="H2274" s="14" t="str">
        <x:f>IF(E2274&lt;0,"Componente negativo — manter e investigar","OK")</x:f>
        <x:v>OK</x:v>
      </x:c>
    </x:row>
    <x:row r="2275">
      <x:c r="A2275" s="51" t="n">
        <x:v>44896</x:v>
      </x:c>
      <x:c r="B2275" s="14" t="str">
        <x:v>Norte</x:v>
      </x:c>
      <x:c r="C2275" s="14" t="str">
        <x:v>SISTEMAS ISOLADOS</x:v>
      </x:c>
      <x:c r="D2275" s="53" t="str">
        <x:v>Cativo</x:v>
      </x:c>
      <x:c r="E2275" s="49" t="n">
        <x:v>129911.16</x:v>
      </x:c>
      <x:c r="F2275" s="52" t="n">
        <x:v>618127</x:v>
      </x:c>
      <x:c r="G2275" s="54" t="n">
        <x:v>46220</x:v>
      </x:c>
      <x:c r="H2275" s="14" t="str">
        <x:f>IF(E2275&lt;0,"Componente negativo — manter e investigar","OK")</x:f>
        <x:v>OK</x:v>
      </x:c>
    </x:row>
    <x:row r="2276">
      <x:c r="A2276" s="51" t="n">
        <x:v>44896</x:v>
      </x:c>
      <x:c r="B2276" s="14" t="str">
        <x:v>Norte</x:v>
      </x:c>
      <x:c r="C2276" s="14" t="str">
        <x:v>SUDESTE / CENTRO - OESTE</x:v>
      </x:c>
      <x:c r="D2276" s="53" t="str">
        <x:v>Cativo</x:v>
      </x:c>
      <x:c r="E2276" s="49" t="n">
        <x:v>183289.781</x:v>
      </x:c>
      <x:c r="F2276" s="52" t="n">
        <x:v>700440</x:v>
      </x:c>
      <x:c r="G2276" s="54" t="n">
        <x:v>46220</x:v>
      </x:c>
      <x:c r="H2276" s="14" t="str">
        <x:f>IF(E2276&lt;0,"Componente negativo — manter e investigar","OK")</x:f>
        <x:v>OK</x:v>
      </x:c>
    </x:row>
    <x:row r="2277">
      <x:c r="A2277" s="51" t="n">
        <x:v>44896</x:v>
      </x:c>
      <x:c r="B2277" s="14" t="str">
        <x:v>Sudeste</x:v>
      </x:c>
      <x:c r="C2277" s="14" t="str">
        <x:v>SUDESTE / CENTRO - OESTE</x:v>
      </x:c>
      <x:c r="D2277" s="53" t="str">
        <x:v>Cativo</x:v>
      </x:c>
      <x:c r="E2277" s="49" t="n">
        <x:v>6288285.323000001</x:v>
      </x:c>
      <x:c r="F2277" s="52" t="n">
        <x:v>35097605</x:v>
      </x:c>
      <x:c r="G2277" s="54" t="n">
        <x:v>46220</x:v>
      </x:c>
      <x:c r="H2277" s="14" t="str">
        <x:f>IF(E2277&lt;0,"Componente negativo — manter e investigar","OK")</x:f>
        <x:v>OK</x:v>
      </x:c>
    </x:row>
    <x:row r="2278">
      <x:c r="A2278" s="51" t="n">
        <x:v>44896</x:v>
      </x:c>
      <x:c r="B2278" s="14" t="str">
        <x:v>Sudeste</x:v>
      </x:c>
      <x:c r="C2278" s="14" t="str">
        <x:v>SUDESTE / CENTRO - OESTE</x:v>
      </x:c>
      <x:c r="D2278" s="53" t="str">
        <x:v>Livre</x:v>
      </x:c>
      <x:c r="E2278" s="49" t="n">
        <x:v>376.553</x:v>
      </x:c>
      <x:c r="F2278" s="52" t="n">
        <x:v>1</x:v>
      </x:c>
      <x:c r="G2278" s="54" t="n">
        <x:v>46220</x:v>
      </x:c>
      <x:c r="H2278" s="14" t="str">
        <x:f>IF(E2278&lt;0,"Componente negativo — manter e investigar","OK")</x:f>
        <x:v>OK</x:v>
      </x:c>
    </x:row>
    <x:row r="2279">
      <x:c r="A2279" s="51" t="n">
        <x:v>44896</x:v>
      </x:c>
      <x:c r="B2279" s="14" t="str">
        <x:v>Sul</x:v>
      </x:c>
      <x:c r="C2279" s="14" t="str">
        <x:v>SUL</x:v>
      </x:c>
      <x:c r="D2279" s="53" t="str">
        <x:v>Cativo</x:v>
      </x:c>
      <x:c r="E2279" s="49" t="n">
        <x:v>2282810.546</x:v>
      </x:c>
      <x:c r="F2279" s="52" t="n">
        <x:v>11187764</x:v>
      </x:c>
      <x:c r="G2279" s="54" t="n">
        <x:v>46220</x:v>
      </x:c>
      <x:c r="H2279" s="14" t="str">
        <x:f>IF(E2279&lt;0,"Componente negativo — manter e investigar","OK")</x:f>
        <x:v>OK</x:v>
      </x:c>
    </x:row>
    <x:row r="2280">
      <x:c r="A2280" s="51" t="n">
        <x:v>44927</x:v>
      </x:c>
      <x:c r="B2280" s="14" t="str">
        <x:v>Centro-Oeste</x:v>
      </x:c>
      <x:c r="C2280" s="14" t="str">
        <x:v>SUDESTE / CENTRO - OESTE</x:v>
      </x:c>
      <x:c r="D2280" s="53" t="str">
        <x:v>Cativo</x:v>
      </x:c>
      <x:c r="E2280" s="49" t="n">
        <x:v>1152181.114</x:v>
      </x:c>
      <x:c r="F2280" s="52" t="n">
        <x:v>6153762</x:v>
      </x:c>
      <x:c r="G2280" s="54" t="n">
        <x:v>46220</x:v>
      </x:c>
      <x:c r="H2280" s="14" t="str">
        <x:f>IF(E2280&lt;0,"Componente negativo — manter e investigar","OK")</x:f>
        <x:v>OK</x:v>
      </x:c>
    </x:row>
    <x:row r="2281">
      <x:c r="A2281" s="51" t="n">
        <x:v>44927</x:v>
      </x:c>
      <x:c r="B2281" s="14" t="str">
        <x:v>Nordeste</x:v>
      </x:c>
      <x:c r="C2281" s="14" t="str">
        <x:v>NORDESTE</x:v>
      </x:c>
      <x:c r="D2281" s="53" t="str">
        <x:v>Cativo</x:v>
      </x:c>
      <x:c r="E2281" s="49" t="n">
        <x:v>2462009.608</x:v>
      </x:c>
      <x:c r="F2281" s="52" t="n">
        <x:v>18962796</x:v>
      </x:c>
      <x:c r="G2281" s="54" t="n">
        <x:v>46220</x:v>
      </x:c>
      <x:c r="H2281" s="14" t="str">
        <x:f>IF(E2281&lt;0,"Componente negativo — manter e investigar","OK")</x:f>
        <x:v>OK</x:v>
      </x:c>
    </x:row>
    <x:row r="2282">
      <x:c r="A2282" s="51" t="n">
        <x:v>44927</x:v>
      </x:c>
      <x:c r="B2282" s="14" t="str">
        <x:v>Nordeste</x:v>
      </x:c>
      <x:c r="C2282" s="14" t="str">
        <x:v>NORTE INTERLIGADO</x:v>
      </x:c>
      <x:c r="D2282" s="53" t="str">
        <x:v>Cativo</x:v>
      </x:c>
      <x:c r="E2282" s="49" t="n">
        <x:v>342592.81</x:v>
      </x:c>
      <x:c r="F2282" s="52" t="n">
        <x:v>2459003</x:v>
      </x:c>
      <x:c r="G2282" s="54" t="n">
        <x:v>46220</x:v>
      </x:c>
      <x:c r="H2282" s="14" t="str">
        <x:f>IF(E2282&lt;0,"Componente negativo — manter e investigar","OK")</x:f>
        <x:v>OK</x:v>
      </x:c>
    </x:row>
    <x:row r="2283">
      <x:c r="A2283" s="51" t="n">
        <x:v>44927</x:v>
      </x:c>
      <x:c r="B2283" s="14" t="str">
        <x:v>Nordeste</x:v>
      </x:c>
      <x:c r="C2283" s="14" t="str">
        <x:v>SISTEMAS ISOLADOS</x:v>
      </x:c>
      <x:c r="D2283" s="53" t="str">
        <x:v>Cativo</x:v>
      </x:c>
      <x:c r="E2283" s="49" t="n">
        <x:v>888</x:v>
      </x:c>
      <x:c r="F2283" s="52" t="n">
        <x:v>685</x:v>
      </x:c>
      <x:c r="G2283" s="54" t="n">
        <x:v>46220</x:v>
      </x:c>
      <x:c r="H2283" s="14" t="str">
        <x:f>IF(E2283&lt;0,"Componente negativo — manter e investigar","OK")</x:f>
        <x:v>OK</x:v>
      </x:c>
    </x:row>
    <x:row r="2284">
      <x:c r="A2284" s="51" t="n">
        <x:v>44927</x:v>
      </x:c>
      <x:c r="B2284" s="14" t="str">
        <x:v>Norte</x:v>
      </x:c>
      <x:c r="C2284" s="14" t="str">
        <x:v>NORTE INTERLIGADO</x:v>
      </x:c>
      <x:c r="D2284" s="53" t="str">
        <x:v>Cativo</x:v>
      </x:c>
      <x:c r="E2284" s="49" t="n">
        <x:v>618594.424</x:v>
      </x:c>
      <x:c r="F2284" s="52" t="n">
        <x:v>3784220</x:v>
      </x:c>
      <x:c r="G2284" s="54" t="n">
        <x:v>46220</x:v>
      </x:c>
      <x:c r="H2284" s="14" t="str">
        <x:f>IF(E2284&lt;0,"Componente negativo — manter e investigar","OK")</x:f>
        <x:v>OK</x:v>
      </x:c>
    </x:row>
    <x:row r="2285">
      <x:c r="A2285" s="51" t="n">
        <x:v>44927</x:v>
      </x:c>
      <x:c r="B2285" s="14" t="str">
        <x:v>Norte</x:v>
      </x:c>
      <x:c r="C2285" s="14" t="str">
        <x:v>SISTEMAS ISOLADOS</x:v>
      </x:c>
      <x:c r="D2285" s="53" t="str">
        <x:v>Cativo</x:v>
      </x:c>
      <x:c r="E2285" s="49" t="n">
        <x:v>127674.049</x:v>
      </x:c>
      <x:c r="F2285" s="52" t="n">
        <x:v>633133</x:v>
      </x:c>
      <x:c r="G2285" s="54" t="n">
        <x:v>46220</x:v>
      </x:c>
      <x:c r="H2285" s="14" t="str">
        <x:f>IF(E2285&lt;0,"Componente negativo — manter e investigar","OK")</x:f>
        <x:v>OK</x:v>
      </x:c>
    </x:row>
    <x:row r="2286">
      <x:c r="A2286" s="51" t="n">
        <x:v>44927</x:v>
      </x:c>
      <x:c r="B2286" s="14" t="str">
        <x:v>Norte</x:v>
      </x:c>
      <x:c r="C2286" s="14" t="str">
        <x:v>SUDESTE / CENTRO - OESTE</x:v>
      </x:c>
      <x:c r="D2286" s="53" t="str">
        <x:v>Cativo</x:v>
      </x:c>
      <x:c r="E2286" s="49" t="n">
        <x:v>162357.017</x:v>
      </x:c>
      <x:c r="F2286" s="52" t="n">
        <x:v>697859</x:v>
      </x:c>
      <x:c r="G2286" s="54" t="n">
        <x:v>46220</x:v>
      </x:c>
      <x:c r="H2286" s="14" t="str">
        <x:f>IF(E2286&lt;0,"Componente negativo — manter e investigar","OK")</x:f>
        <x:v>OK</x:v>
      </x:c>
    </x:row>
    <x:row r="2287">
      <x:c r="A2287" s="51" t="n">
        <x:v>44927</x:v>
      </x:c>
      <x:c r="B2287" s="14" t="str">
        <x:v>Sudeste</x:v>
      </x:c>
      <x:c r="C2287" s="14" t="str">
        <x:v>SUDESTE / CENTRO - OESTE</x:v>
      </x:c>
      <x:c r="D2287" s="53" t="str">
        <x:v>Cativo</x:v>
      </x:c>
      <x:c r="E2287" s="49" t="n">
        <x:v>6105117.009</x:v>
      </x:c>
      <x:c r="F2287" s="52" t="n">
        <x:v>35084616</x:v>
      </x:c>
      <x:c r="G2287" s="54" t="n">
        <x:v>46220</x:v>
      </x:c>
      <x:c r="H2287" s="14" t="str">
        <x:f>IF(E2287&lt;0,"Componente negativo — manter e investigar","OK")</x:f>
        <x:v>OK</x:v>
      </x:c>
    </x:row>
    <x:row r="2288">
      <x:c r="A2288" s="51" t="n">
        <x:v>44927</x:v>
      </x:c>
      <x:c r="B2288" s="14" t="str">
        <x:v>Sudeste</x:v>
      </x:c>
      <x:c r="C2288" s="14" t="str">
        <x:v>SUDESTE / CENTRO - OESTE</x:v>
      </x:c>
      <x:c r="D2288" s="53" t="str">
        <x:v>Livre</x:v>
      </x:c>
      <x:c r="E2288" s="49" t="n">
        <x:v>316.165</x:v>
      </x:c>
      <x:c r="F2288" s="52" t="n">
        <x:v>2</x:v>
      </x:c>
      <x:c r="G2288" s="54" t="n">
        <x:v>46220</x:v>
      </x:c>
      <x:c r="H2288" s="14" t="str">
        <x:f>IF(E2288&lt;0,"Componente negativo — manter e investigar","OK")</x:f>
        <x:v>OK</x:v>
      </x:c>
    </x:row>
    <x:row r="2289">
      <x:c r="A2289" s="51" t="n">
        <x:v>44927</x:v>
      </x:c>
      <x:c r="B2289" s="14" t="str">
        <x:v>Sul</x:v>
      </x:c>
      <x:c r="C2289" s="14" t="str">
        <x:v>SUL</x:v>
      </x:c>
      <x:c r="D2289" s="53" t="str">
        <x:v>Cativo</x:v>
      </x:c>
      <x:c r="E2289" s="49" t="n">
        <x:v>2347904.734</x:v>
      </x:c>
      <x:c r="F2289" s="52" t="n">
        <x:v>11207254</x:v>
      </x:c>
      <x:c r="G2289" s="54" t="n">
        <x:v>46220</x:v>
      </x:c>
      <x:c r="H2289" s="14" t="str">
        <x:f>IF(E2289&lt;0,"Componente negativo — manter e investigar","OK")</x:f>
        <x:v>OK</x:v>
      </x:c>
    </x:row>
    <x:row r="2290">
      <x:c r="A2290" s="51" t="n">
        <x:v>44958</x:v>
      </x:c>
      <x:c r="B2290" s="14" t="str">
        <x:v>Centro-Oeste</x:v>
      </x:c>
      <x:c r="C2290" s="14" t="str">
        <x:v>SUDESTE / CENTRO - OESTE</x:v>
      </x:c>
      <x:c r="D2290" s="53" t="str">
        <x:v>Cativo</x:v>
      </x:c>
      <x:c r="E2290" s="49" t="n">
        <x:v>1149604.704</x:v>
      </x:c>
      <x:c r="F2290" s="52" t="n">
        <x:v>6158209</x:v>
      </x:c>
      <x:c r="G2290" s="54" t="n">
        <x:v>46220</x:v>
      </x:c>
      <x:c r="H2290" s="14" t="str">
        <x:f>IF(E2290&lt;0,"Componente negativo — manter e investigar","OK")</x:f>
        <x:v>OK</x:v>
      </x:c>
    </x:row>
    <x:row r="2291">
      <x:c r="A2291" s="51" t="n">
        <x:v>44958</x:v>
      </x:c>
      <x:c r="B2291" s="14" t="str">
        <x:v>Nordeste</x:v>
      </x:c>
      <x:c r="C2291" s="14" t="str">
        <x:v>NORDESTE</x:v>
      </x:c>
      <x:c r="D2291" s="53" t="str">
        <x:v>Cativo</x:v>
      </x:c>
      <x:c r="E2291" s="49" t="n">
        <x:v>2437444.3880000003</x:v>
      </x:c>
      <x:c r="F2291" s="52" t="n">
        <x:v>18973595</x:v>
      </x:c>
      <x:c r="G2291" s="54" t="n">
        <x:v>46220</x:v>
      </x:c>
      <x:c r="H2291" s="14" t="str">
        <x:f>IF(E2291&lt;0,"Componente negativo — manter e investigar","OK")</x:f>
        <x:v>OK</x:v>
      </x:c>
    </x:row>
    <x:row r="2292">
      <x:c r="A2292" s="51" t="n">
        <x:v>44958</x:v>
      </x:c>
      <x:c r="B2292" s="14" t="str">
        <x:v>Nordeste</x:v>
      </x:c>
      <x:c r="C2292" s="14" t="str">
        <x:v>NORTE INTERLIGADO</x:v>
      </x:c>
      <x:c r="D2292" s="53" t="str">
        <x:v>Cativo</x:v>
      </x:c>
      <x:c r="E2292" s="49" t="n">
        <x:v>340165.08</x:v>
      </x:c>
      <x:c r="F2292" s="52" t="n">
        <x:v>2460636</x:v>
      </x:c>
      <x:c r="G2292" s="54" t="n">
        <x:v>46220</x:v>
      </x:c>
      <x:c r="H2292" s="14" t="str">
        <x:f>IF(E2292&lt;0,"Componente negativo — manter e investigar","OK")</x:f>
        <x:v>OK</x:v>
      </x:c>
    </x:row>
    <x:row r="2293">
      <x:c r="A2293" s="51" t="n">
        <x:v>44958</x:v>
      </x:c>
      <x:c r="B2293" s="14" t="str">
        <x:v>Nordeste</x:v>
      </x:c>
      <x:c r="C2293" s="14" t="str">
        <x:v>SISTEMAS ISOLADOS</x:v>
      </x:c>
      <x:c r="D2293" s="53" t="str">
        <x:v>Cativo</x:v>
      </x:c>
      <x:c r="E2293" s="49" t="n">
        <x:v>808</x:v>
      </x:c>
      <x:c r="F2293" s="52" t="n">
        <x:v>680</x:v>
      </x:c>
      <x:c r="G2293" s="54" t="n">
        <x:v>46220</x:v>
      </x:c>
      <x:c r="H2293" s="14" t="str">
        <x:f>IF(E2293&lt;0,"Componente negativo — manter e investigar","OK")</x:f>
        <x:v>OK</x:v>
      </x:c>
    </x:row>
    <x:row r="2294">
      <x:c r="A2294" s="51" t="n">
        <x:v>44958</x:v>
      </x:c>
      <x:c r="B2294" s="14" t="str">
        <x:v>Norte</x:v>
      </x:c>
      <x:c r="C2294" s="14" t="str">
        <x:v>NORTE INTERLIGADO</x:v>
      </x:c>
      <x:c r="D2294" s="53" t="str">
        <x:v>Cativo</x:v>
      </x:c>
      <x:c r="E2294" s="49" t="n">
        <x:v>592053.1640000001</x:v>
      </x:c>
      <x:c r="F2294" s="52" t="n">
        <x:v>3786867</x:v>
      </x:c>
      <x:c r="G2294" s="54" t="n">
        <x:v>46220</x:v>
      </x:c>
      <x:c r="H2294" s="14" t="str">
        <x:f>IF(E2294&lt;0,"Componente negativo — manter e investigar","OK")</x:f>
        <x:v>OK</x:v>
      </x:c>
    </x:row>
    <x:row r="2295">
      <x:c r="A2295" s="51" t="n">
        <x:v>44958</x:v>
      </x:c>
      <x:c r="B2295" s="14" t="str">
        <x:v>Norte</x:v>
      </x:c>
      <x:c r="C2295" s="14" t="str">
        <x:v>SISTEMAS ISOLADOS</x:v>
      </x:c>
      <x:c r="D2295" s="53" t="str">
        <x:v>Cativo</x:v>
      </x:c>
      <x:c r="E2295" s="49" t="n">
        <x:v>119449.766</x:v>
      </x:c>
      <x:c r="F2295" s="52" t="n">
        <x:v>634946</x:v>
      </x:c>
      <x:c r="G2295" s="54" t="n">
        <x:v>46220</x:v>
      </x:c>
      <x:c r="H2295" s="14" t="str">
        <x:f>IF(E2295&lt;0,"Componente negativo — manter e investigar","OK")</x:f>
        <x:v>OK</x:v>
      </x:c>
    </x:row>
    <x:row r="2296">
      <x:c r="A2296" s="51" t="n">
        <x:v>44958</x:v>
      </x:c>
      <x:c r="B2296" s="14" t="str">
        <x:v>Norte</x:v>
      </x:c>
      <x:c r="C2296" s="14" t="str">
        <x:v>SUDESTE / CENTRO - OESTE</x:v>
      </x:c>
      <x:c r="D2296" s="53" t="str">
        <x:v>Cativo</x:v>
      </x:c>
      <x:c r="E2296" s="49" t="n">
        <x:v>152894.467</x:v>
      </x:c>
      <x:c r="F2296" s="52" t="n">
        <x:v>697210</x:v>
      </x:c>
      <x:c r="G2296" s="54" t="n">
        <x:v>46220</x:v>
      </x:c>
      <x:c r="H2296" s="14" t="str">
        <x:f>IF(E2296&lt;0,"Componente negativo — manter e investigar","OK")</x:f>
        <x:v>OK</x:v>
      </x:c>
    </x:row>
    <x:row r="2297">
      <x:c r="A2297" s="51" t="n">
        <x:v>44958</x:v>
      </x:c>
      <x:c r="B2297" s="14" t="str">
        <x:v>Sudeste</x:v>
      </x:c>
      <x:c r="C2297" s="14" t="str">
        <x:v>SUDESTE / CENTRO - OESTE</x:v>
      </x:c>
      <x:c r="D2297" s="53" t="str">
        <x:v>Cativo</x:v>
      </x:c>
      <x:c r="E2297" s="49" t="n">
        <x:v>6342469.685</x:v>
      </x:c>
      <x:c r="F2297" s="52" t="n">
        <x:v>35146139</x:v>
      </x:c>
      <x:c r="G2297" s="54" t="n">
        <x:v>46220</x:v>
      </x:c>
      <x:c r="H2297" s="14" t="str">
        <x:f>IF(E2297&lt;0,"Componente negativo — manter e investigar","OK")</x:f>
        <x:v>OK</x:v>
      </x:c>
    </x:row>
    <x:row r="2298">
      <x:c r="A2298" s="51" t="n">
        <x:v>44958</x:v>
      </x:c>
      <x:c r="B2298" s="14" t="str">
        <x:v>Sudeste</x:v>
      </x:c>
      <x:c r="C2298" s="14" t="str">
        <x:v>SUDESTE / CENTRO - OESTE</x:v>
      </x:c>
      <x:c r="D2298" s="53" t="str">
        <x:v>Livre</x:v>
      </x:c>
      <x:c r="E2298" s="49" t="n">
        <x:v>190.215</x:v>
      </x:c>
      <x:c r="F2298" s="52" t="n">
        <x:v>2</x:v>
      </x:c>
      <x:c r="G2298" s="54" t="n">
        <x:v>46220</x:v>
      </x:c>
      <x:c r="H2298" s="14" t="str">
        <x:f>IF(E2298&lt;0,"Componente negativo — manter e investigar","OK")</x:f>
        <x:v>OK</x:v>
      </x:c>
    </x:row>
    <x:row r="2299">
      <x:c r="A2299" s="51" t="n">
        <x:v>44958</x:v>
      </x:c>
      <x:c r="B2299" s="14" t="str">
        <x:v>Sul</x:v>
      </x:c>
      <x:c r="C2299" s="14" t="str">
        <x:v>SUL</x:v>
      </x:c>
      <x:c r="D2299" s="53" t="str">
        <x:v>Cativo</x:v>
      </x:c>
      <x:c r="E2299" s="49" t="n">
        <x:v>2605102.2759999996</x:v>
      </x:c>
      <x:c r="F2299" s="52" t="n">
        <x:v>11228197</x:v>
      </x:c>
      <x:c r="G2299" s="54" t="n">
        <x:v>46220</x:v>
      </x:c>
      <x:c r="H2299" s="14" t="str">
        <x:f>IF(E2299&lt;0,"Componente negativo — manter e investigar","OK")</x:f>
        <x:v>OK</x:v>
      </x:c>
    </x:row>
    <x:row r="2300">
      <x:c r="A2300" s="51" t="n">
        <x:v>44986</x:v>
      </x:c>
      <x:c r="B2300" s="14" t="str">
        <x:v>Centro-Oeste</x:v>
      </x:c>
      <x:c r="C2300" s="14" t="str">
        <x:v>SUDESTE / CENTRO - OESTE</x:v>
      </x:c>
      <x:c r="D2300" s="53" t="str">
        <x:v>Cativo</x:v>
      </x:c>
      <x:c r="E2300" s="49" t="n">
        <x:v>1223053.956</x:v>
      </x:c>
      <x:c r="F2300" s="52" t="n">
        <x:v>6180136</x:v>
      </x:c>
      <x:c r="G2300" s="54" t="n">
        <x:v>46220</x:v>
      </x:c>
      <x:c r="H2300" s="14" t="str">
        <x:f>IF(E2300&lt;0,"Componente negativo — manter e investigar","OK")</x:f>
        <x:v>OK</x:v>
      </x:c>
    </x:row>
    <x:row r="2301">
      <x:c r="A2301" s="51" t="n">
        <x:v>44986</x:v>
      </x:c>
      <x:c r="B2301" s="14" t="str">
        <x:v>Nordeste</x:v>
      </x:c>
      <x:c r="C2301" s="14" t="str">
        <x:v>NORDESTE</x:v>
      </x:c>
      <x:c r="D2301" s="53" t="str">
        <x:v>Cativo</x:v>
      </x:c>
      <x:c r="E2301" s="49" t="n">
        <x:v>2519330.989</x:v>
      </x:c>
      <x:c r="F2301" s="52" t="n">
        <x:v>19014876</x:v>
      </x:c>
      <x:c r="G2301" s="54" t="n">
        <x:v>46220</x:v>
      </x:c>
      <x:c r="H2301" s="14" t="str">
        <x:f>IF(E2301&lt;0,"Componente negativo — manter e investigar","OK")</x:f>
        <x:v>OK</x:v>
      </x:c>
    </x:row>
    <x:row r="2302">
      <x:c r="A2302" s="51" t="n">
        <x:v>44986</x:v>
      </x:c>
      <x:c r="B2302" s="14" t="str">
        <x:v>Nordeste</x:v>
      </x:c>
      <x:c r="C2302" s="14" t="str">
        <x:v>NORTE INTERLIGADO</x:v>
      </x:c>
      <x:c r="D2302" s="53" t="str">
        <x:v>Cativo</x:v>
      </x:c>
      <x:c r="E2302" s="49" t="n">
        <x:v>341224.684</x:v>
      </x:c>
      <x:c r="F2302" s="52" t="n">
        <x:v>2469646</x:v>
      </x:c>
      <x:c r="G2302" s="54" t="n">
        <x:v>46220</x:v>
      </x:c>
      <x:c r="H2302" s="14" t="str">
        <x:f>IF(E2302&lt;0,"Componente negativo — manter e investigar","OK")</x:f>
        <x:v>OK</x:v>
      </x:c>
    </x:row>
    <x:row r="2303">
      <x:c r="A2303" s="51" t="n">
        <x:v>44986</x:v>
      </x:c>
      <x:c r="B2303" s="14" t="str">
        <x:v>Nordeste</x:v>
      </x:c>
      <x:c r="C2303" s="14" t="str">
        <x:v>SISTEMAS ISOLADOS</x:v>
      </x:c>
      <x:c r="D2303" s="53" t="str">
        <x:v>Cativo</x:v>
      </x:c>
      <x:c r="E2303" s="49" t="n">
        <x:v>928</x:v>
      </x:c>
      <x:c r="F2303" s="52" t="n">
        <x:v>691</x:v>
      </x:c>
      <x:c r="G2303" s="54" t="n">
        <x:v>46220</x:v>
      </x:c>
      <x:c r="H2303" s="14" t="str">
        <x:f>IF(E2303&lt;0,"Componente negativo — manter e investigar","OK")</x:f>
        <x:v>OK</x:v>
      </x:c>
    </x:row>
    <x:row r="2304">
      <x:c r="A2304" s="51" t="n">
        <x:v>44986</x:v>
      </x:c>
      <x:c r="B2304" s="14" t="str">
        <x:v>Norte</x:v>
      </x:c>
      <x:c r="C2304" s="14" t="str">
        <x:v>NORTE INTERLIGADO</x:v>
      </x:c>
      <x:c r="D2304" s="53" t="str">
        <x:v>Cativo</x:v>
      </x:c>
      <x:c r="E2304" s="49" t="n">
        <x:v>644466.602</x:v>
      </x:c>
      <x:c r="F2304" s="52" t="n">
        <x:v>3788419</x:v>
      </x:c>
      <x:c r="G2304" s="54" t="n">
        <x:v>46220</x:v>
      </x:c>
      <x:c r="H2304" s="14" t="str">
        <x:f>IF(E2304&lt;0,"Componente negativo — manter e investigar","OK")</x:f>
        <x:v>OK</x:v>
      </x:c>
    </x:row>
    <x:row r="2305">
      <x:c r="A2305" s="51" t="n">
        <x:v>44986</x:v>
      </x:c>
      <x:c r="B2305" s="14" t="str">
        <x:v>Norte</x:v>
      </x:c>
      <x:c r="C2305" s="14" t="str">
        <x:v>SISTEMAS ISOLADOS</x:v>
      </x:c>
      <x:c r="D2305" s="53" t="str">
        <x:v>Cativo</x:v>
      </x:c>
      <x:c r="E2305" s="49" t="n">
        <x:v>129338.115</x:v>
      </x:c>
      <x:c r="F2305" s="52" t="n">
        <x:v>635045</x:v>
      </x:c>
      <x:c r="G2305" s="54" t="n">
        <x:v>46220</x:v>
      </x:c>
      <x:c r="H2305" s="14" t="str">
        <x:f>IF(E2305&lt;0,"Componente negativo — manter e investigar","OK")</x:f>
        <x:v>OK</x:v>
      </x:c>
    </x:row>
    <x:row r="2306">
      <x:c r="A2306" s="51" t="n">
        <x:v>44986</x:v>
      </x:c>
      <x:c r="B2306" s="14" t="str">
        <x:v>Norte</x:v>
      </x:c>
      <x:c r="C2306" s="14" t="str">
        <x:v>SUDESTE / CENTRO - OESTE</x:v>
      </x:c>
      <x:c r="D2306" s="53" t="str">
        <x:v>Cativo</x:v>
      </x:c>
      <x:c r="E2306" s="49" t="n">
        <x:v>174798.449</x:v>
      </x:c>
      <x:c r="F2306" s="52" t="n">
        <x:v>701663</x:v>
      </x:c>
      <x:c r="G2306" s="54" t="n">
        <x:v>46220</x:v>
      </x:c>
      <x:c r="H2306" s="14" t="str">
        <x:f>IF(E2306&lt;0,"Componente negativo — manter e investigar","OK")</x:f>
        <x:v>OK</x:v>
      </x:c>
    </x:row>
    <x:row r="2307">
      <x:c r="A2307" s="51" t="n">
        <x:v>44986</x:v>
      </x:c>
      <x:c r="B2307" s="14" t="str">
        <x:v>Sudeste</x:v>
      </x:c>
      <x:c r="C2307" s="14" t="str">
        <x:v>SUDESTE / CENTRO - OESTE</x:v>
      </x:c>
      <x:c r="D2307" s="53" t="str">
        <x:v>Cativo</x:v>
      </x:c>
      <x:c r="E2307" s="49" t="n">
        <x:v>6862517.325</x:v>
      </x:c>
      <x:c r="F2307" s="52" t="n">
        <x:v>35251336</x:v>
      </x:c>
      <x:c r="G2307" s="54" t="n">
        <x:v>46220</x:v>
      </x:c>
      <x:c r="H2307" s="14" t="str">
        <x:f>IF(E2307&lt;0,"Componente negativo — manter e investigar","OK")</x:f>
        <x:v>OK</x:v>
      </x:c>
    </x:row>
    <x:row r="2308">
      <x:c r="A2308" s="51" t="n">
        <x:v>44986</x:v>
      </x:c>
      <x:c r="B2308" s="14" t="str">
        <x:v>Sudeste</x:v>
      </x:c>
      <x:c r="C2308" s="14" t="str">
        <x:v>SUDESTE / CENTRO - OESTE</x:v>
      </x:c>
      <x:c r="D2308" s="53" t="str">
        <x:v>Livre</x:v>
      </x:c>
      <x:c r="E2308" s="49" t="n">
        <x:v>215.522</x:v>
      </x:c>
      <x:c r="F2308" s="52" t="n">
        <x:v>2</x:v>
      </x:c>
      <x:c r="G2308" s="54" t="n">
        <x:v>46220</x:v>
      </x:c>
      <x:c r="H2308" s="14" t="str">
        <x:f>IF(E2308&lt;0,"Componente negativo — manter e investigar","OK")</x:f>
        <x:v>OK</x:v>
      </x:c>
    </x:row>
    <x:row r="2309">
      <x:c r="A2309" s="51" t="n">
        <x:v>44986</x:v>
      </x:c>
      <x:c r="B2309" s="14" t="str">
        <x:v>Sul</x:v>
      </x:c>
      <x:c r="C2309" s="14" t="str">
        <x:v>SUL</x:v>
      </x:c>
      <x:c r="D2309" s="53" t="str">
        <x:v>Cativo</x:v>
      </x:c>
      <x:c r="E2309" s="49" t="n">
        <x:v>2503872.882</x:v>
      </x:c>
      <x:c r="F2309" s="52" t="n">
        <x:v>11258213</x:v>
      </x:c>
      <x:c r="G2309" s="54" t="n">
        <x:v>46220</x:v>
      </x:c>
      <x:c r="H2309" s="14" t="str">
        <x:f>IF(E2309&lt;0,"Componente negativo — manter e investigar","OK")</x:f>
        <x:v>OK</x:v>
      </x:c>
    </x:row>
    <x:row r="2310">
      <x:c r="A2310" s="51" t="n">
        <x:v>45017</x:v>
      </x:c>
      <x:c r="B2310" s="14" t="str">
        <x:v>Centro-Oeste</x:v>
      </x:c>
      <x:c r="C2310" s="14" t="str">
        <x:v>SUDESTE / CENTRO - OESTE</x:v>
      </x:c>
      <x:c r="D2310" s="53" t="str">
        <x:v>Cativo</x:v>
      </x:c>
      <x:c r="E2310" s="49" t="n">
        <x:v>1227059.335</x:v>
      </x:c>
      <x:c r="F2310" s="52" t="n">
        <x:v>6185190</x:v>
      </x:c>
      <x:c r="G2310" s="54" t="n">
        <x:v>46220</x:v>
      </x:c>
      <x:c r="H2310" s="14" t="str">
        <x:f>IF(E2310&lt;0,"Componente negativo — manter e investigar","OK")</x:f>
        <x:v>OK</x:v>
      </x:c>
    </x:row>
    <x:row r="2311">
      <x:c r="A2311" s="51" t="n">
        <x:v>45017</x:v>
      </x:c>
      <x:c r="B2311" s="14" t="str">
        <x:v>Nordeste</x:v>
      </x:c>
      <x:c r="C2311" s="14" t="str">
        <x:v>NORDESTE</x:v>
      </x:c>
      <x:c r="D2311" s="53" t="str">
        <x:v>Cativo</x:v>
      </x:c>
      <x:c r="E2311" s="49" t="n">
        <x:v>2457214.7159999995</x:v>
      </x:c>
      <x:c r="F2311" s="52" t="n">
        <x:v>19155504</x:v>
      </x:c>
      <x:c r="G2311" s="54" t="n">
        <x:v>46220</x:v>
      </x:c>
      <x:c r="H2311" s="14" t="str">
        <x:f>IF(E2311&lt;0,"Componente negativo — manter e investigar","OK")</x:f>
        <x:v>OK</x:v>
      </x:c>
    </x:row>
    <x:row r="2312">
      <x:c r="A2312" s="51" t="n">
        <x:v>45017</x:v>
      </x:c>
      <x:c r="B2312" s="14" t="str">
        <x:v>Nordeste</x:v>
      </x:c>
      <x:c r="C2312" s="14" t="str">
        <x:v>NORTE INTERLIGADO</x:v>
      </x:c>
      <x:c r="D2312" s="53" t="str">
        <x:v>Cativo</x:v>
      </x:c>
      <x:c r="E2312" s="49" t="n">
        <x:v>337505.621</x:v>
      </x:c>
      <x:c r="F2312" s="52" t="n">
        <x:v>2470219</x:v>
      </x:c>
      <x:c r="G2312" s="54" t="n">
        <x:v>46220</x:v>
      </x:c>
      <x:c r="H2312" s="14" t="str">
        <x:f>IF(E2312&lt;0,"Componente negativo — manter e investigar","OK")</x:f>
        <x:v>OK</x:v>
      </x:c>
    </x:row>
    <x:row r="2313">
      <x:c r="A2313" s="51" t="n">
        <x:v>45017</x:v>
      </x:c>
      <x:c r="B2313" s="14" t="str">
        <x:v>Nordeste</x:v>
      </x:c>
      <x:c r="C2313" s="14" t="str">
        <x:v>SISTEMAS ISOLADOS</x:v>
      </x:c>
      <x:c r="D2313" s="53" t="str">
        <x:v>Cativo</x:v>
      </x:c>
      <x:c r="E2313" s="49" t="n">
        <x:v>822</x:v>
      </x:c>
      <x:c r="F2313" s="52" t="n">
        <x:v>691</x:v>
      </x:c>
      <x:c r="G2313" s="54" t="n">
        <x:v>46220</x:v>
      </x:c>
      <x:c r="H2313" s="14" t="str">
        <x:f>IF(E2313&lt;0,"Componente negativo — manter e investigar","OK")</x:f>
        <x:v>OK</x:v>
      </x:c>
    </x:row>
    <x:row r="2314">
      <x:c r="A2314" s="51" t="n">
        <x:v>45017</x:v>
      </x:c>
      <x:c r="B2314" s="14" t="str">
        <x:v>Norte</x:v>
      </x:c>
      <x:c r="C2314" s="14" t="str">
        <x:v>NORTE INTERLIGADO</x:v>
      </x:c>
      <x:c r="D2314" s="53" t="str">
        <x:v>Cativo</x:v>
      </x:c>
      <x:c r="E2314" s="49" t="n">
        <x:v>644846.949</x:v>
      </x:c>
      <x:c r="F2314" s="52" t="n">
        <x:v>3793079</x:v>
      </x:c>
      <x:c r="G2314" s="54" t="n">
        <x:v>46220</x:v>
      </x:c>
      <x:c r="H2314" s="14" t="str">
        <x:f>IF(E2314&lt;0,"Componente negativo — manter e investigar","OK")</x:f>
        <x:v>OK</x:v>
      </x:c>
    </x:row>
    <x:row r="2315">
      <x:c r="A2315" s="51" t="n">
        <x:v>45017</x:v>
      </x:c>
      <x:c r="B2315" s="14" t="str">
        <x:v>Norte</x:v>
      </x:c>
      <x:c r="C2315" s="14" t="str">
        <x:v>SISTEMAS ISOLADOS</x:v>
      </x:c>
      <x:c r="D2315" s="53" t="str">
        <x:v>Cativo</x:v>
      </x:c>
      <x:c r="E2315" s="49" t="n">
        <x:v>131912.991</x:v>
      </x:c>
      <x:c r="F2315" s="52" t="n">
        <x:v>624335</x:v>
      </x:c>
      <x:c r="G2315" s="54" t="n">
        <x:v>46220</x:v>
      </x:c>
      <x:c r="H2315" s="14" t="str">
        <x:f>IF(E2315&lt;0,"Componente negativo — manter e investigar","OK")</x:f>
        <x:v>OK</x:v>
      </x:c>
    </x:row>
    <x:row r="2316">
      <x:c r="A2316" s="51" t="n">
        <x:v>45017</x:v>
      </x:c>
      <x:c r="B2316" s="14" t="str">
        <x:v>Norte</x:v>
      </x:c>
      <x:c r="C2316" s="14" t="str">
        <x:v>SUDESTE / CENTRO - OESTE</x:v>
      </x:c>
      <x:c r="D2316" s="53" t="str">
        <x:v>Cativo</x:v>
      </x:c>
      <x:c r="E2316" s="49" t="n">
        <x:v>159621.329</x:v>
      </x:c>
      <x:c r="F2316" s="52" t="n">
        <x:v>701027</x:v>
      </x:c>
      <x:c r="G2316" s="54" t="n">
        <x:v>46220</x:v>
      </x:c>
      <x:c r="H2316" s="14" t="str">
        <x:f>IF(E2316&lt;0,"Componente negativo — manter e investigar","OK")</x:f>
        <x:v>OK</x:v>
      </x:c>
    </x:row>
    <x:row r="2317">
      <x:c r="A2317" s="51" t="n">
        <x:v>45017</x:v>
      </x:c>
      <x:c r="B2317" s="14" t="str">
        <x:v>Sudeste</x:v>
      </x:c>
      <x:c r="C2317" s="14" t="str">
        <x:v>SUDESTE / CENTRO - OESTE</x:v>
      </x:c>
      <x:c r="D2317" s="53" t="str">
        <x:v>Cativo</x:v>
      </x:c>
      <x:c r="E2317" s="49" t="n">
        <x:v>6435743.839</x:v>
      </x:c>
      <x:c r="F2317" s="52" t="n">
        <x:v>35357873</x:v>
      </x:c>
      <x:c r="G2317" s="54" t="n">
        <x:v>46220</x:v>
      </x:c>
      <x:c r="H2317" s="14" t="str">
        <x:f>IF(E2317&lt;0,"Componente negativo — manter e investigar","OK")</x:f>
        <x:v>OK</x:v>
      </x:c>
    </x:row>
    <x:row r="2318">
      <x:c r="A2318" s="51" t="n">
        <x:v>45017</x:v>
      </x:c>
      <x:c r="B2318" s="14" t="str">
        <x:v>Sudeste</x:v>
      </x:c>
      <x:c r="C2318" s="14" t="str">
        <x:v>SUDESTE / CENTRO - OESTE</x:v>
      </x:c>
      <x:c r="D2318" s="53" t="str">
        <x:v>Livre</x:v>
      </x:c>
      <x:c r="E2318" s="49" t="n">
        <x:v>436.371</x:v>
      </x:c>
      <x:c r="F2318" s="52" t="n">
        <x:v>2</x:v>
      </x:c>
      <x:c r="G2318" s="54" t="n">
        <x:v>46220</x:v>
      </x:c>
      <x:c r="H2318" s="14" t="str">
        <x:f>IF(E2318&lt;0,"Componente negativo — manter e investigar","OK")</x:f>
        <x:v>OK</x:v>
      </x:c>
    </x:row>
    <x:row r="2319">
      <x:c r="A2319" s="51" t="n">
        <x:v>45017</x:v>
      </x:c>
      <x:c r="B2319" s="14" t="str">
        <x:v>Sul</x:v>
      </x:c>
      <x:c r="C2319" s="14" t="str">
        <x:v>SUL</x:v>
      </x:c>
      <x:c r="D2319" s="53" t="str">
        <x:v>Cativo</x:v>
      </x:c>
      <x:c r="E2319" s="49" t="n">
        <x:v>2354968.4280000003</x:v>
      </x:c>
      <x:c r="F2319" s="52" t="n">
        <x:v>11272291</x:v>
      </x:c>
      <x:c r="G2319" s="54" t="n">
        <x:v>46220</x:v>
      </x:c>
      <x:c r="H2319" s="14" t="str">
        <x:f>IF(E2319&lt;0,"Componente negativo — manter e investigar","OK")</x:f>
        <x:v>OK</x:v>
      </x:c>
    </x:row>
    <x:row r="2320">
      <x:c r="A2320" s="51" t="n">
        <x:v>45047</x:v>
      </x:c>
      <x:c r="B2320" s="14" t="str">
        <x:v>Centro-Oeste</x:v>
      </x:c>
      <x:c r="C2320" s="14" t="str">
        <x:v>SUDESTE / CENTRO - OESTE</x:v>
      </x:c>
      <x:c r="D2320" s="53" t="str">
        <x:v>Cativo</x:v>
      </x:c>
      <x:c r="E2320" s="49" t="n">
        <x:v>1170398.721</x:v>
      </x:c>
      <x:c r="F2320" s="52" t="n">
        <x:v>6199480</x:v>
      </x:c>
      <x:c r="G2320" s="54" t="n">
        <x:v>46220</x:v>
      </x:c>
      <x:c r="H2320" s="14" t="str">
        <x:f>IF(E2320&lt;0,"Componente negativo — manter e investigar","OK")</x:f>
        <x:v>OK</x:v>
      </x:c>
    </x:row>
    <x:row r="2321">
      <x:c r="A2321" s="51" t="n">
        <x:v>45047</x:v>
      </x:c>
      <x:c r="B2321" s="14" t="str">
        <x:v>Nordeste</x:v>
      </x:c>
      <x:c r="C2321" s="14" t="str">
        <x:v>NORDESTE</x:v>
      </x:c>
      <x:c r="D2321" s="53" t="str">
        <x:v>Cativo</x:v>
      </x:c>
      <x:c r="E2321" s="49" t="n">
        <x:v>2542905.105</x:v>
      </x:c>
      <x:c r="F2321" s="52" t="n">
        <x:v>19230355</x:v>
      </x:c>
      <x:c r="G2321" s="54" t="n">
        <x:v>46220</x:v>
      </x:c>
      <x:c r="H2321" s="14" t="str">
        <x:f>IF(E2321&lt;0,"Componente negativo — manter e investigar","OK")</x:f>
        <x:v>OK</x:v>
      </x:c>
    </x:row>
    <x:row r="2322">
      <x:c r="A2322" s="51" t="n">
        <x:v>45047</x:v>
      </x:c>
      <x:c r="B2322" s="14" t="str">
        <x:v>Nordeste</x:v>
      </x:c>
      <x:c r="C2322" s="14" t="str">
        <x:v>NORTE INTERLIGADO</x:v>
      </x:c>
      <x:c r="D2322" s="53" t="str">
        <x:v>Cativo</x:v>
      </x:c>
      <x:c r="E2322" s="49" t="n">
        <x:v>379762.307</x:v>
      </x:c>
      <x:c r="F2322" s="52" t="n">
        <x:v>2479672</x:v>
      </x:c>
      <x:c r="G2322" s="54" t="n">
        <x:v>46220</x:v>
      </x:c>
      <x:c r="H2322" s="14" t="str">
        <x:f>IF(E2322&lt;0,"Componente negativo — manter e investigar","OK")</x:f>
        <x:v>OK</x:v>
      </x:c>
    </x:row>
    <x:row r="2323">
      <x:c r="A2323" s="51" t="n">
        <x:v>45047</x:v>
      </x:c>
      <x:c r="B2323" s="14" t="str">
        <x:v>Nordeste</x:v>
      </x:c>
      <x:c r="C2323" s="14" t="str">
        <x:v>SISTEMAS ISOLADOS</x:v>
      </x:c>
      <x:c r="D2323" s="53" t="str">
        <x:v>Cativo</x:v>
      </x:c>
      <x:c r="E2323" s="49" t="n">
        <x:v>905</x:v>
      </x:c>
      <x:c r="F2323" s="52" t="n">
        <x:v>693</x:v>
      </x:c>
      <x:c r="G2323" s="54" t="n">
        <x:v>46220</x:v>
      </x:c>
      <x:c r="H2323" s="14" t="str">
        <x:f>IF(E2323&lt;0,"Componente negativo — manter e investigar","OK")</x:f>
        <x:v>OK</x:v>
      </x:c>
    </x:row>
    <x:row r="2324">
      <x:c r="A2324" s="51" t="n">
        <x:v>45047</x:v>
      </x:c>
      <x:c r="B2324" s="14" t="str">
        <x:v>Norte</x:v>
      </x:c>
      <x:c r="C2324" s="14" t="str">
        <x:v>NORTE INTERLIGADO</x:v>
      </x:c>
      <x:c r="D2324" s="53" t="str">
        <x:v>Cativo</x:v>
      </x:c>
      <x:c r="E2324" s="49" t="n">
        <x:v>692278.4029999999</x:v>
      </x:c>
      <x:c r="F2324" s="52" t="n">
        <x:v>3811161</x:v>
      </x:c>
      <x:c r="G2324" s="54" t="n">
        <x:v>46220</x:v>
      </x:c>
      <x:c r="H2324" s="14" t="str">
        <x:f>IF(E2324&lt;0,"Componente negativo — manter e investigar","OK")</x:f>
        <x:v>OK</x:v>
      </x:c>
    </x:row>
    <x:row r="2325">
      <x:c r="A2325" s="51" t="n">
        <x:v>45047</x:v>
      </x:c>
      <x:c r="B2325" s="14" t="str">
        <x:v>Norte</x:v>
      </x:c>
      <x:c r="C2325" s="14" t="str">
        <x:v>SISTEMAS ISOLADOS</x:v>
      </x:c>
      <x:c r="D2325" s="53" t="str">
        <x:v>Cativo</x:v>
      </x:c>
      <x:c r="E2325" s="49" t="n">
        <x:v>131727.233</x:v>
      </x:c>
      <x:c r="F2325" s="52" t="n">
        <x:v>627262</x:v>
      </x:c>
      <x:c r="G2325" s="54" t="n">
        <x:v>46220</x:v>
      </x:c>
      <x:c r="H2325" s="14" t="str">
        <x:f>IF(E2325&lt;0,"Componente negativo — manter e investigar","OK")</x:f>
        <x:v>OK</x:v>
      </x:c>
    </x:row>
    <x:row r="2326">
      <x:c r="A2326" s="51" t="n">
        <x:v>45047</x:v>
      </x:c>
      <x:c r="B2326" s="14" t="str">
        <x:v>Norte</x:v>
      </x:c>
      <x:c r="C2326" s="14" t="str">
        <x:v>SUDESTE / CENTRO - OESTE</x:v>
      </x:c>
      <x:c r="D2326" s="53" t="str">
        <x:v>Cativo</x:v>
      </x:c>
      <x:c r="E2326" s="49" t="n">
        <x:v>175284.994</x:v>
      </x:c>
      <x:c r="F2326" s="52" t="n">
        <x:v>704655</x:v>
      </x:c>
      <x:c r="G2326" s="54" t="n">
        <x:v>46220</x:v>
      </x:c>
      <x:c r="H2326" s="14" t="str">
        <x:f>IF(E2326&lt;0,"Componente negativo — manter e investigar","OK")</x:f>
        <x:v>OK</x:v>
      </x:c>
    </x:row>
    <x:row r="2327">
      <x:c r="A2327" s="51" t="n">
        <x:v>45047</x:v>
      </x:c>
      <x:c r="B2327" s="14" t="str">
        <x:v>Sudeste</x:v>
      </x:c>
      <x:c r="C2327" s="14" t="str">
        <x:v>SUDESTE / CENTRO - OESTE</x:v>
      </x:c>
      <x:c r="D2327" s="53" t="str">
        <x:v>Cativo</x:v>
      </x:c>
      <x:c r="E2327" s="49" t="n">
        <x:v>5927828.846</x:v>
      </x:c>
      <x:c r="F2327" s="52" t="n">
        <x:v>35286613</x:v>
      </x:c>
      <x:c r="G2327" s="54" t="n">
        <x:v>46220</x:v>
      </x:c>
      <x:c r="H2327" s="14" t="str">
        <x:f>IF(E2327&lt;0,"Componente negativo — manter e investigar","OK")</x:f>
        <x:v>OK</x:v>
      </x:c>
    </x:row>
    <x:row r="2328">
      <x:c r="A2328" s="51" t="n">
        <x:v>45047</x:v>
      </x:c>
      <x:c r="B2328" s="14" t="str">
        <x:v>Sudeste</x:v>
      </x:c>
      <x:c r="C2328" s="14" t="str">
        <x:v>SUDESTE / CENTRO - OESTE</x:v>
      </x:c>
      <x:c r="D2328" s="53" t="str">
        <x:v>Livre</x:v>
      </x:c>
      <x:c r="E2328" s="49" t="n">
        <x:v>386.968</x:v>
      </x:c>
      <x:c r="F2328" s="52" t="n">
        <x:v>2</x:v>
      </x:c>
      <x:c r="G2328" s="54" t="n">
        <x:v>46220</x:v>
      </x:c>
      <x:c r="H2328" s="14" t="str">
        <x:f>IF(E2328&lt;0,"Componente negativo — manter e investigar","OK")</x:f>
        <x:v>OK</x:v>
      </x:c>
    </x:row>
    <x:row r="2329">
      <x:c r="A2329" s="51" t="n">
        <x:v>45047</x:v>
      </x:c>
      <x:c r="B2329" s="14" t="str">
        <x:v>Sul</x:v>
      </x:c>
      <x:c r="C2329" s="14" t="str">
        <x:v>SUL</x:v>
      </x:c>
      <x:c r="D2329" s="53" t="str">
        <x:v>Cativo</x:v>
      </x:c>
      <x:c r="E2329" s="49" t="n">
        <x:v>2049469.6440000003</x:v>
      </x:c>
      <x:c r="F2329" s="52" t="n">
        <x:v>11291546</x:v>
      </x:c>
      <x:c r="G2329" s="54" t="n">
        <x:v>46220</x:v>
      </x:c>
      <x:c r="H2329" s="14" t="str">
        <x:f>IF(E2329&lt;0,"Componente negativo — manter e investigar","OK")</x:f>
        <x:v>OK</x:v>
      </x:c>
    </x:row>
    <x:row r="2330">
      <x:c r="A2330" s="51" t="n">
        <x:v>45078</x:v>
      </x:c>
      <x:c r="B2330" s="14" t="str">
        <x:v>Centro-Oeste</x:v>
      </x:c>
      <x:c r="C2330" s="14" t="str">
        <x:v>SUDESTE / CENTRO - OESTE</x:v>
      </x:c>
      <x:c r="D2330" s="53" t="str">
        <x:v>Cativo</x:v>
      </x:c>
      <x:c r="E2330" s="49" t="n">
        <x:v>1129767.868</x:v>
      </x:c>
      <x:c r="F2330" s="52" t="n">
        <x:v>6210522</x:v>
      </x:c>
      <x:c r="G2330" s="54" t="n">
        <x:v>46220</x:v>
      </x:c>
      <x:c r="H2330" s="14" t="str">
        <x:f>IF(E2330&lt;0,"Componente negativo — manter e investigar","OK")</x:f>
        <x:v>OK</x:v>
      </x:c>
    </x:row>
    <x:row r="2331">
      <x:c r="A2331" s="51" t="n">
        <x:v>45078</x:v>
      </x:c>
      <x:c r="B2331" s="14" t="str">
        <x:v>Nordeste</x:v>
      </x:c>
      <x:c r="C2331" s="14" t="str">
        <x:v>NORDESTE</x:v>
      </x:c>
      <x:c r="D2331" s="53" t="str">
        <x:v>Cativo</x:v>
      </x:c>
      <x:c r="E2331" s="49" t="n">
        <x:v>2329790.3959999997</x:v>
      </x:c>
      <x:c r="F2331" s="52" t="n">
        <x:v>19220671</x:v>
      </x:c>
      <x:c r="G2331" s="54" t="n">
        <x:v>46220</x:v>
      </x:c>
      <x:c r="H2331" s="14" t="str">
        <x:f>IF(E2331&lt;0,"Componente negativo — manter e investigar","OK")</x:f>
        <x:v>OK</x:v>
      </x:c>
    </x:row>
    <x:row r="2332">
      <x:c r="A2332" s="51" t="n">
        <x:v>45078</x:v>
      </x:c>
      <x:c r="B2332" s="14" t="str">
        <x:v>Nordeste</x:v>
      </x:c>
      <x:c r="C2332" s="14" t="str">
        <x:v>NORTE INTERLIGADO</x:v>
      </x:c>
      <x:c r="D2332" s="53" t="str">
        <x:v>Cativo</x:v>
      </x:c>
      <x:c r="E2332" s="49" t="n">
        <x:v>381032.367</x:v>
      </x:c>
      <x:c r="F2332" s="52" t="n">
        <x:v>2483658</x:v>
      </x:c>
      <x:c r="G2332" s="54" t="n">
        <x:v>46220</x:v>
      </x:c>
      <x:c r="H2332" s="14" t="str">
        <x:f>IF(E2332&lt;0,"Componente negativo — manter e investigar","OK")</x:f>
        <x:v>OK</x:v>
      </x:c>
    </x:row>
    <x:row r="2333">
      <x:c r="A2333" s="51" t="n">
        <x:v>45078</x:v>
      </x:c>
      <x:c r="B2333" s="14" t="str">
        <x:v>Nordeste</x:v>
      </x:c>
      <x:c r="C2333" s="14" t="str">
        <x:v>SISTEMAS ISOLADOS</x:v>
      </x:c>
      <x:c r="D2333" s="53" t="str">
        <x:v>Cativo</x:v>
      </x:c>
      <x:c r="E2333" s="49" t="n">
        <x:v>835</x:v>
      </x:c>
      <x:c r="F2333" s="52" t="n">
        <x:v>694</x:v>
      </x:c>
      <x:c r="G2333" s="54" t="n">
        <x:v>46220</x:v>
      </x:c>
      <x:c r="H2333" s="14" t="str">
        <x:f>IF(E2333&lt;0,"Componente negativo — manter e investigar","OK")</x:f>
        <x:v>OK</x:v>
      </x:c>
    </x:row>
    <x:row r="2334">
      <x:c r="A2334" s="51" t="n">
        <x:v>45078</x:v>
      </x:c>
      <x:c r="B2334" s="14" t="str">
        <x:v>Norte</x:v>
      </x:c>
      <x:c r="C2334" s="14" t="str">
        <x:v>NORTE INTERLIGADO</x:v>
      </x:c>
      <x:c r="D2334" s="53" t="str">
        <x:v>Cativo</x:v>
      </x:c>
      <x:c r="E2334" s="49" t="n">
        <x:v>744187.259</x:v>
      </x:c>
      <x:c r="F2334" s="52" t="n">
        <x:v>3857475</x:v>
      </x:c>
      <x:c r="G2334" s="54" t="n">
        <x:v>46220</x:v>
      </x:c>
      <x:c r="H2334" s="14" t="str">
        <x:f>IF(E2334&lt;0,"Componente negativo — manter e investigar","OK")</x:f>
        <x:v>OK</x:v>
      </x:c>
    </x:row>
    <x:row r="2335">
      <x:c r="A2335" s="51" t="n">
        <x:v>45078</x:v>
      </x:c>
      <x:c r="B2335" s="14" t="str">
        <x:v>Norte</x:v>
      </x:c>
      <x:c r="C2335" s="14" t="str">
        <x:v>SISTEMAS ISOLADOS</x:v>
      </x:c>
      <x:c r="D2335" s="53" t="str">
        <x:v>Cativo</x:v>
      </x:c>
      <x:c r="E2335" s="49" t="n">
        <x:v>121554.279</x:v>
      </x:c>
      <x:c r="F2335" s="52" t="n">
        <x:v>580835</x:v>
      </x:c>
      <x:c r="G2335" s="54" t="n">
        <x:v>46220</x:v>
      </x:c>
      <x:c r="H2335" s="14" t="str">
        <x:f>IF(E2335&lt;0,"Componente negativo — manter e investigar","OK")</x:f>
        <x:v>OK</x:v>
      </x:c>
    </x:row>
    <x:row r="2336">
      <x:c r="A2336" s="51" t="n">
        <x:v>45078</x:v>
      </x:c>
      <x:c r="B2336" s="14" t="str">
        <x:v>Norte</x:v>
      </x:c>
      <x:c r="C2336" s="14" t="str">
        <x:v>SUDESTE / CENTRO - OESTE</x:v>
      </x:c>
      <x:c r="D2336" s="53" t="str">
        <x:v>Cativo</x:v>
      </x:c>
      <x:c r="E2336" s="49" t="n">
        <x:v>178621.284</x:v>
      </x:c>
      <x:c r="F2336" s="52" t="n">
        <x:v>720304</x:v>
      </x:c>
      <x:c r="G2336" s="54" t="n">
        <x:v>46220</x:v>
      </x:c>
      <x:c r="H2336" s="14" t="str">
        <x:f>IF(E2336&lt;0,"Componente negativo — manter e investigar","OK")</x:f>
        <x:v>OK</x:v>
      </x:c>
    </x:row>
    <x:row r="2337">
      <x:c r="A2337" s="51" t="n">
        <x:v>45078</x:v>
      </x:c>
      <x:c r="B2337" s="14" t="str">
        <x:v>Sudeste</x:v>
      </x:c>
      <x:c r="C2337" s="14" t="str">
        <x:v>SUDESTE / CENTRO - OESTE</x:v>
      </x:c>
      <x:c r="D2337" s="53" t="str">
        <x:v>Cativo</x:v>
      </x:c>
      <x:c r="E2337" s="49" t="n">
        <x:v>5877182.209999998</x:v>
      </x:c>
      <x:c r="F2337" s="52" t="n">
        <x:v>35529023</x:v>
      </x:c>
      <x:c r="G2337" s="54" t="n">
        <x:v>46220</x:v>
      </x:c>
      <x:c r="H2337" s="14" t="str">
        <x:f>IF(E2337&lt;0,"Componente negativo — manter e investigar","OK")</x:f>
        <x:v>OK</x:v>
      </x:c>
    </x:row>
    <x:row r="2338">
      <x:c r="A2338" s="51" t="n">
        <x:v>45078</x:v>
      </x:c>
      <x:c r="B2338" s="14" t="str">
        <x:v>Sudeste</x:v>
      </x:c>
      <x:c r="C2338" s="14" t="str">
        <x:v>SUDESTE / CENTRO - OESTE</x:v>
      </x:c>
      <x:c r="D2338" s="53" t="str">
        <x:v>Livre</x:v>
      </x:c>
      <x:c r="E2338" s="49" t="n">
        <x:v>457.555</x:v>
      </x:c>
      <x:c r="F2338" s="52" t="n">
        <x:v>2</x:v>
      </x:c>
      <x:c r="G2338" s="54" t="n">
        <x:v>46220</x:v>
      </x:c>
      <x:c r="H2338" s="14" t="str">
        <x:f>IF(E2338&lt;0,"Componente negativo — manter e investigar","OK")</x:f>
        <x:v>OK</x:v>
      </x:c>
    </x:row>
    <x:row r="2339">
      <x:c r="A2339" s="51" t="n">
        <x:v>45078</x:v>
      </x:c>
      <x:c r="B2339" s="14" t="str">
        <x:v>Sul</x:v>
      </x:c>
      <x:c r="C2339" s="14" t="str">
        <x:v>SUL</x:v>
      </x:c>
      <x:c r="D2339" s="53" t="str">
        <x:v>Cativo</x:v>
      </x:c>
      <x:c r="E2339" s="49" t="n">
        <x:v>2064325.1830000002</x:v>
      </x:c>
      <x:c r="F2339" s="52" t="n">
        <x:v>11311577</x:v>
      </x:c>
      <x:c r="G2339" s="54" t="n">
        <x:v>46220</x:v>
      </x:c>
      <x:c r="H2339" s="14" t="str">
        <x:f>IF(E2339&lt;0,"Componente negativo — manter e investigar","OK")</x:f>
        <x:v>OK</x:v>
      </x:c>
    </x:row>
    <x:row r="2340">
      <x:c r="A2340" s="51" t="n">
        <x:v>45108</x:v>
      </x:c>
      <x:c r="B2340" s="14" t="str">
        <x:v>Centro-Oeste</x:v>
      </x:c>
      <x:c r="C2340" s="14" t="str">
        <x:v>SUDESTE / CENTRO - OESTE</x:v>
      </x:c>
      <x:c r="D2340" s="53" t="str">
        <x:v>Cativo</x:v>
      </x:c>
      <x:c r="E2340" s="49" t="n">
        <x:v>1071272.332</x:v>
      </x:c>
      <x:c r="F2340" s="52" t="n">
        <x:v>6216532</x:v>
      </x:c>
      <x:c r="G2340" s="54" t="n">
        <x:v>46220</x:v>
      </x:c>
      <x:c r="H2340" s="14" t="str">
        <x:f>IF(E2340&lt;0,"Componente negativo — manter e investigar","OK")</x:f>
        <x:v>OK</x:v>
      </x:c>
    </x:row>
    <x:row r="2341">
      <x:c r="A2341" s="51" t="n">
        <x:v>45108</x:v>
      </x:c>
      <x:c r="B2341" s="14" t="str">
        <x:v>Nordeste</x:v>
      </x:c>
      <x:c r="C2341" s="14" t="str">
        <x:v>NORDESTE</x:v>
      </x:c>
      <x:c r="D2341" s="53" t="str">
        <x:v>Cativo</x:v>
      </x:c>
      <x:c r="E2341" s="49" t="n">
        <x:v>2221714.685</x:v>
      </x:c>
      <x:c r="F2341" s="52" t="n">
        <x:v>19261408</x:v>
      </x:c>
      <x:c r="G2341" s="54" t="n">
        <x:v>46220</x:v>
      </x:c>
      <x:c r="H2341" s="14" t="str">
        <x:f>IF(E2341&lt;0,"Componente negativo — manter e investigar","OK")</x:f>
        <x:v>OK</x:v>
      </x:c>
    </x:row>
    <x:row r="2342">
      <x:c r="A2342" s="51" t="n">
        <x:v>45108</x:v>
      </x:c>
      <x:c r="B2342" s="14" t="str">
        <x:v>Nordeste</x:v>
      </x:c>
      <x:c r="C2342" s="14" t="str">
        <x:v>NORTE INTERLIGADO</x:v>
      </x:c>
      <x:c r="D2342" s="53" t="str">
        <x:v>Cativo</x:v>
      </x:c>
      <x:c r="E2342" s="49" t="n">
        <x:v>389024.375</x:v>
      </x:c>
      <x:c r="F2342" s="52" t="n">
        <x:v>2488252</x:v>
      </x:c>
      <x:c r="G2342" s="54" t="n">
        <x:v>46220</x:v>
      </x:c>
      <x:c r="H2342" s="14" t="str">
        <x:f>IF(E2342&lt;0,"Componente negativo — manter e investigar","OK")</x:f>
        <x:v>OK</x:v>
      </x:c>
    </x:row>
    <x:row r="2343">
      <x:c r="A2343" s="51" t="n">
        <x:v>45108</x:v>
      </x:c>
      <x:c r="B2343" s="14" t="str">
        <x:v>Nordeste</x:v>
      </x:c>
      <x:c r="C2343" s="14" t="str">
        <x:v>SISTEMAS ISOLADOS</x:v>
      </x:c>
      <x:c r="D2343" s="53" t="str">
        <x:v>Cativo</x:v>
      </x:c>
      <x:c r="E2343" s="49" t="n">
        <x:v>764</x:v>
      </x:c>
      <x:c r="F2343" s="52" t="n">
        <x:v>691</x:v>
      </x:c>
      <x:c r="G2343" s="54" t="n">
        <x:v>46220</x:v>
      </x:c>
      <x:c r="H2343" s="14" t="str">
        <x:f>IF(E2343&lt;0,"Componente negativo — manter e investigar","OK")</x:f>
        <x:v>OK</x:v>
      </x:c>
    </x:row>
    <x:row r="2344">
      <x:c r="A2344" s="51" t="n">
        <x:v>45108</x:v>
      </x:c>
      <x:c r="B2344" s="14" t="str">
        <x:v>Norte</x:v>
      </x:c>
      <x:c r="C2344" s="14" t="str">
        <x:v>NORTE INTERLIGADO</x:v>
      </x:c>
      <x:c r="D2344" s="53" t="str">
        <x:v>Cativo</x:v>
      </x:c>
      <x:c r="E2344" s="49" t="n">
        <x:v>749207.951</x:v>
      </x:c>
      <x:c r="F2344" s="52" t="n">
        <x:v>3861002</x:v>
      </x:c>
      <x:c r="G2344" s="54" t="n">
        <x:v>46220</x:v>
      </x:c>
      <x:c r="H2344" s="14" t="str">
        <x:f>IF(E2344&lt;0,"Componente negativo — manter e investigar","OK")</x:f>
        <x:v>OK</x:v>
      </x:c>
    </x:row>
    <x:row r="2345">
      <x:c r="A2345" s="51" t="n">
        <x:v>45108</x:v>
      </x:c>
      <x:c r="B2345" s="14" t="str">
        <x:v>Norte</x:v>
      </x:c>
      <x:c r="C2345" s="14" t="str">
        <x:v>SISTEMAS ISOLADOS</x:v>
      </x:c>
      <x:c r="D2345" s="53" t="str">
        <x:v>Cativo</x:v>
      </x:c>
      <x:c r="E2345" s="49" t="n">
        <x:v>117643.388</x:v>
      </x:c>
      <x:c r="F2345" s="52" t="n">
        <x:v>583894</x:v>
      </x:c>
      <x:c r="G2345" s="54" t="n">
        <x:v>46220</x:v>
      </x:c>
      <x:c r="H2345" s="14" t="str">
        <x:f>IF(E2345&lt;0,"Componente negativo — manter e investigar","OK")</x:f>
        <x:v>OK</x:v>
      </x:c>
    </x:row>
    <x:row r="2346">
      <x:c r="A2346" s="51" t="n">
        <x:v>45108</x:v>
      </x:c>
      <x:c r="B2346" s="14" t="str">
        <x:v>Norte</x:v>
      </x:c>
      <x:c r="C2346" s="14" t="str">
        <x:v>SUDESTE / CENTRO - OESTE</x:v>
      </x:c>
      <x:c r="D2346" s="53" t="str">
        <x:v>Cativo</x:v>
      </x:c>
      <x:c r="E2346" s="49" t="n">
        <x:v>169883.613</x:v>
      </x:c>
      <x:c r="F2346" s="52" t="n">
        <x:v>721082</x:v>
      </x:c>
      <x:c r="G2346" s="54" t="n">
        <x:v>46220</x:v>
      </x:c>
      <x:c r="H2346" s="14" t="str">
        <x:f>IF(E2346&lt;0,"Componente negativo — manter e investigar","OK")</x:f>
        <x:v>OK</x:v>
      </x:c>
    </x:row>
    <x:row r="2347">
      <x:c r="A2347" s="51" t="n">
        <x:v>45108</x:v>
      </x:c>
      <x:c r="B2347" s="14" t="str">
        <x:v>Sudeste</x:v>
      </x:c>
      <x:c r="C2347" s="14" t="str">
        <x:v>SUDESTE / CENTRO - OESTE</x:v>
      </x:c>
      <x:c r="D2347" s="53" t="str">
        <x:v>Cativo</x:v>
      </x:c>
      <x:c r="E2347" s="49" t="n">
        <x:v>5744679.336</x:v>
      </x:c>
      <x:c r="F2347" s="52" t="n">
        <x:v>35588973</x:v>
      </x:c>
      <x:c r="G2347" s="54" t="n">
        <x:v>46220</x:v>
      </x:c>
      <x:c r="H2347" s="14" t="str">
        <x:f>IF(E2347&lt;0,"Componente negativo — manter e investigar","OK")</x:f>
        <x:v>OK</x:v>
      </x:c>
    </x:row>
    <x:row r="2348">
      <x:c r="A2348" s="51" t="n">
        <x:v>45108</x:v>
      </x:c>
      <x:c r="B2348" s="14" t="str">
        <x:v>Sudeste</x:v>
      </x:c>
      <x:c r="C2348" s="14" t="str">
        <x:v>SUDESTE / CENTRO - OESTE</x:v>
      </x:c>
      <x:c r="D2348" s="53" t="str">
        <x:v>Livre</x:v>
      </x:c>
      <x:c r="E2348" s="49" t="n">
        <x:v>421.456</x:v>
      </x:c>
      <x:c r="F2348" s="52" t="n">
        <x:v>2</x:v>
      </x:c>
      <x:c r="G2348" s="54" t="n">
        <x:v>46220</x:v>
      </x:c>
      <x:c r="H2348" s="14" t="str">
        <x:f>IF(E2348&lt;0,"Componente negativo — manter e investigar","OK")</x:f>
        <x:v>OK</x:v>
      </x:c>
    </x:row>
    <x:row r="2349">
      <x:c r="A2349" s="51" t="n">
        <x:v>45108</x:v>
      </x:c>
      <x:c r="B2349" s="14" t="str">
        <x:v>Sul</x:v>
      </x:c>
      <x:c r="C2349" s="14" t="str">
        <x:v>SUL</x:v>
      </x:c>
      <x:c r="D2349" s="53" t="str">
        <x:v>Cativo</x:v>
      </x:c>
      <x:c r="E2349" s="49" t="n">
        <x:v>2112131.1</x:v>
      </x:c>
      <x:c r="F2349" s="52" t="n">
        <x:v>11338062</x:v>
      </x:c>
      <x:c r="G2349" s="54" t="n">
        <x:v>46220</x:v>
      </x:c>
      <x:c r="H2349" s="14" t="str">
        <x:f>IF(E2349&lt;0,"Componente negativo — manter e investigar","OK")</x:f>
        <x:v>OK</x:v>
      </x:c>
    </x:row>
    <x:row r="2350">
      <x:c r="A2350" s="51" t="n">
        <x:v>45139</x:v>
      </x:c>
      <x:c r="B2350" s="14" t="str">
        <x:v>Centro-Oeste</x:v>
      </x:c>
      <x:c r="C2350" s="14" t="str">
        <x:v>SUDESTE / CENTRO - OESTE</x:v>
      </x:c>
      <x:c r="D2350" s="53" t="str">
        <x:v>Cativo</x:v>
      </x:c>
      <x:c r="E2350" s="49" t="n">
        <x:v>1179501.617</x:v>
      </x:c>
      <x:c r="F2350" s="52" t="n">
        <x:v>6234848</x:v>
      </x:c>
      <x:c r="G2350" s="54" t="n">
        <x:v>46220</x:v>
      </x:c>
      <x:c r="H2350" s="14" t="str">
        <x:f>IF(E2350&lt;0,"Componente negativo — manter e investigar","OK")</x:f>
        <x:v>OK</x:v>
      </x:c>
    </x:row>
    <x:row r="2351">
      <x:c r="A2351" s="51" t="n">
        <x:v>45139</x:v>
      </x:c>
      <x:c r="B2351" s="14" t="str">
        <x:v>Nordeste</x:v>
      </x:c>
      <x:c r="C2351" s="14" t="str">
        <x:v>NORDESTE</x:v>
      </x:c>
      <x:c r="D2351" s="53" t="str">
        <x:v>Cativo</x:v>
      </x:c>
      <x:c r="E2351" s="49" t="n">
        <x:v>2301098.054</x:v>
      </x:c>
      <x:c r="F2351" s="52" t="n">
        <x:v>19142577</x:v>
      </x:c>
      <x:c r="G2351" s="54" t="n">
        <x:v>46220</x:v>
      </x:c>
      <x:c r="H2351" s="14" t="str">
        <x:f>IF(E2351&lt;0,"Componente negativo — manter e investigar","OK")</x:f>
        <x:v>OK</x:v>
      </x:c>
    </x:row>
    <x:row r="2352">
      <x:c r="A2352" s="51" t="n">
        <x:v>45139</x:v>
      </x:c>
      <x:c r="B2352" s="14" t="str">
        <x:v>Nordeste</x:v>
      </x:c>
      <x:c r="C2352" s="14" t="str">
        <x:v>NORTE INTERLIGADO</x:v>
      </x:c>
      <x:c r="D2352" s="53" t="str">
        <x:v>Cativo</x:v>
      </x:c>
      <x:c r="E2352" s="49" t="n">
        <x:v>401736.768</x:v>
      </x:c>
      <x:c r="F2352" s="52" t="n">
        <x:v>2494258</x:v>
      </x:c>
      <x:c r="G2352" s="54" t="n">
        <x:v>46220</x:v>
      </x:c>
      <x:c r="H2352" s="14" t="str">
        <x:f>IF(E2352&lt;0,"Componente negativo — manter e investigar","OK")</x:f>
        <x:v>OK</x:v>
      </x:c>
    </x:row>
    <x:row r="2353">
      <x:c r="A2353" s="51" t="n">
        <x:v>45139</x:v>
      </x:c>
      <x:c r="B2353" s="14" t="str">
        <x:v>Nordeste</x:v>
      </x:c>
      <x:c r="C2353" s="14" t="str">
        <x:v>SISTEMAS ISOLADOS</x:v>
      </x:c>
      <x:c r="D2353" s="53" t="str">
        <x:v>Cativo</x:v>
      </x:c>
      <x:c r="E2353" s="49" t="n">
        <x:v>822</x:v>
      </x:c>
      <x:c r="F2353" s="52" t="n">
        <x:v>650</x:v>
      </x:c>
      <x:c r="G2353" s="54" t="n">
        <x:v>46220</x:v>
      </x:c>
      <x:c r="H2353" s="14" t="str">
        <x:f>IF(E2353&lt;0,"Componente negativo — manter e investigar","OK")</x:f>
        <x:v>OK</x:v>
      </x:c>
    </x:row>
    <x:row r="2354">
      <x:c r="A2354" s="51" t="n">
        <x:v>45139</x:v>
      </x:c>
      <x:c r="B2354" s="14" t="str">
        <x:v>Norte</x:v>
      </x:c>
      <x:c r="C2354" s="14" t="str">
        <x:v>NORTE INTERLIGADO</x:v>
      </x:c>
      <x:c r="D2354" s="53" t="str">
        <x:v>Cativo</x:v>
      </x:c>
      <x:c r="E2354" s="49" t="n">
        <x:v>794352.135</x:v>
      </x:c>
      <x:c r="F2354" s="52" t="n">
        <x:v>3876962</x:v>
      </x:c>
      <x:c r="G2354" s="54" t="n">
        <x:v>46220</x:v>
      </x:c>
      <x:c r="H2354" s="14" t="str">
        <x:f>IF(E2354&lt;0,"Componente negativo — manter e investigar","OK")</x:f>
        <x:v>OK</x:v>
      </x:c>
    </x:row>
    <x:row r="2355">
      <x:c r="A2355" s="51" t="n">
        <x:v>45139</x:v>
      </x:c>
      <x:c r="B2355" s="14" t="str">
        <x:v>Norte</x:v>
      </x:c>
      <x:c r="C2355" s="14" t="str">
        <x:v>SISTEMAS ISOLADOS</x:v>
      </x:c>
      <x:c r="D2355" s="53" t="str">
        <x:v>Cativo</x:v>
      </x:c>
      <x:c r="E2355" s="49" t="n">
        <x:v>134304.357</x:v>
      </x:c>
      <x:c r="F2355" s="52" t="n">
        <x:v>586883</x:v>
      </x:c>
      <x:c r="G2355" s="54" t="n">
        <x:v>46220</x:v>
      </x:c>
      <x:c r="H2355" s="14" t="str">
        <x:f>IF(E2355&lt;0,"Componente negativo — manter e investigar","OK")</x:f>
        <x:v>OK</x:v>
      </x:c>
    </x:row>
    <x:row r="2356">
      <x:c r="A2356" s="51" t="n">
        <x:v>45139</x:v>
      </x:c>
      <x:c r="B2356" s="14" t="str">
        <x:v>Norte</x:v>
      </x:c>
      <x:c r="C2356" s="14" t="str">
        <x:v>SUDESTE / CENTRO - OESTE</x:v>
      </x:c>
      <x:c r="D2356" s="53" t="str">
        <x:v>Cativo</x:v>
      </x:c>
      <x:c r="E2356" s="49" t="n">
        <x:v>194563.567</x:v>
      </x:c>
      <x:c r="F2356" s="52" t="n">
        <x:v>725269</x:v>
      </x:c>
      <x:c r="G2356" s="54" t="n">
        <x:v>46220</x:v>
      </x:c>
      <x:c r="H2356" s="14" t="str">
        <x:f>IF(E2356&lt;0,"Componente negativo — manter e investigar","OK")</x:f>
        <x:v>OK</x:v>
      </x:c>
    </x:row>
    <x:row r="2357">
      <x:c r="A2357" s="51" t="n">
        <x:v>45139</x:v>
      </x:c>
      <x:c r="B2357" s="14" t="str">
        <x:v>Sudeste</x:v>
      </x:c>
      <x:c r="C2357" s="14" t="str">
        <x:v>SUDESTE / CENTRO - OESTE</x:v>
      </x:c>
      <x:c r="D2357" s="53" t="str">
        <x:v>Cativo</x:v>
      </x:c>
      <x:c r="E2357" s="49" t="n">
        <x:v>5917598.096999999</x:v>
      </x:c>
      <x:c r="F2357" s="52" t="n">
        <x:v>35663453</x:v>
      </x:c>
      <x:c r="G2357" s="54" t="n">
        <x:v>46220</x:v>
      </x:c>
      <x:c r="H2357" s="14" t="str">
        <x:f>IF(E2357&lt;0,"Componente negativo — manter e investigar","OK")</x:f>
        <x:v>OK</x:v>
      </x:c>
    </x:row>
    <x:row r="2358">
      <x:c r="A2358" s="51" t="n">
        <x:v>45139</x:v>
      </x:c>
      <x:c r="B2358" s="14" t="str">
        <x:v>Sudeste</x:v>
      </x:c>
      <x:c r="C2358" s="14" t="str">
        <x:v>SUDESTE / CENTRO - OESTE</x:v>
      </x:c>
      <x:c r="D2358" s="53" t="str">
        <x:v>Livre</x:v>
      </x:c>
      <x:c r="E2358" s="49" t="n">
        <x:v>376.926</x:v>
      </x:c>
      <x:c r="F2358" s="52" t="n">
        <x:v>2</x:v>
      </x:c>
      <x:c r="G2358" s="54" t="n">
        <x:v>46220</x:v>
      </x:c>
      <x:c r="H2358" s="14" t="str">
        <x:f>IF(E2358&lt;0,"Componente negativo — manter e investigar","OK")</x:f>
        <x:v>OK</x:v>
      </x:c>
    </x:row>
    <x:row r="2359">
      <x:c r="A2359" s="51" t="n">
        <x:v>45139</x:v>
      </x:c>
      <x:c r="B2359" s="14" t="str">
        <x:v>Sul</x:v>
      </x:c>
      <x:c r="C2359" s="14" t="str">
        <x:v>SUL</x:v>
      </x:c>
      <x:c r="D2359" s="53" t="str">
        <x:v>Cativo</x:v>
      </x:c>
      <x:c r="E2359" s="49" t="n">
        <x:v>2062813.254</x:v>
      </x:c>
      <x:c r="F2359" s="52" t="n">
        <x:v>11361349</x:v>
      </x:c>
      <x:c r="G2359" s="54" t="n">
        <x:v>46220</x:v>
      </x:c>
      <x:c r="H2359" s="14" t="str">
        <x:f>IF(E2359&lt;0,"Componente negativo — manter e investigar","OK")</x:f>
        <x:v>OK</x:v>
      </x:c>
    </x:row>
    <x:row r="2360">
      <x:c r="A2360" s="51" t="n">
        <x:v>45170</x:v>
      </x:c>
      <x:c r="B2360" s="14" t="str">
        <x:v>Centro-Oeste</x:v>
      </x:c>
      <x:c r="C2360" s="14" t="str">
        <x:v>SUDESTE / CENTRO - OESTE</x:v>
      </x:c>
      <x:c r="D2360" s="53" t="str">
        <x:v>Cativo</x:v>
      </x:c>
      <x:c r="E2360" s="49" t="n">
        <x:v>1318677.566</x:v>
      </x:c>
      <x:c r="F2360" s="52" t="n">
        <x:v>6244629</x:v>
      </x:c>
      <x:c r="G2360" s="54" t="n">
        <x:v>46220</x:v>
      </x:c>
      <x:c r="H2360" s="14" t="str">
        <x:f>IF(E2360&lt;0,"Componente negativo — manter e investigar","OK")</x:f>
        <x:v>OK</x:v>
      </x:c>
    </x:row>
    <x:row r="2361">
      <x:c r="A2361" s="51" t="n">
        <x:v>45170</x:v>
      </x:c>
      <x:c r="B2361" s="14" t="str">
        <x:v>Nordeste</x:v>
      </x:c>
      <x:c r="C2361" s="14" t="str">
        <x:v>NORDESTE</x:v>
      </x:c>
      <x:c r="D2361" s="53" t="str">
        <x:v>Cativo</x:v>
      </x:c>
      <x:c r="E2361" s="49" t="n">
        <x:v>2460984.067</x:v>
      </x:c>
      <x:c r="F2361" s="52" t="n">
        <x:v>19332377</x:v>
      </x:c>
      <x:c r="G2361" s="54" t="n">
        <x:v>46220</x:v>
      </x:c>
      <x:c r="H2361" s="14" t="str">
        <x:f>IF(E2361&lt;0,"Componente negativo — manter e investigar","OK")</x:f>
        <x:v>OK</x:v>
      </x:c>
    </x:row>
    <x:row r="2362">
      <x:c r="A2362" s="51" t="n">
        <x:v>45170</x:v>
      </x:c>
      <x:c r="B2362" s="14" t="str">
        <x:v>Nordeste</x:v>
      </x:c>
      <x:c r="C2362" s="14" t="str">
        <x:v>NORTE INTERLIGADO</x:v>
      </x:c>
      <x:c r="D2362" s="53" t="str">
        <x:v>Cativo</x:v>
      </x:c>
      <x:c r="E2362" s="49" t="n">
        <x:v>413072.366</x:v>
      </x:c>
      <x:c r="F2362" s="52" t="n">
        <x:v>2496571</x:v>
      </x:c>
      <x:c r="G2362" s="54" t="n">
        <x:v>46220</x:v>
      </x:c>
      <x:c r="H2362" s="14" t="str">
        <x:f>IF(E2362&lt;0,"Componente negativo — manter e investigar","OK")</x:f>
        <x:v>OK</x:v>
      </x:c>
    </x:row>
    <x:row r="2363">
      <x:c r="A2363" s="51" t="n">
        <x:v>45170</x:v>
      </x:c>
      <x:c r="B2363" s="14" t="str">
        <x:v>Nordeste</x:v>
      </x:c>
      <x:c r="C2363" s="14" t="str">
        <x:v>SISTEMAS ISOLADOS</x:v>
      </x:c>
      <x:c r="D2363" s="53" t="str">
        <x:v>Cativo</x:v>
      </x:c>
      <x:c r="E2363" s="49" t="n">
        <x:v>891</x:v>
      </x:c>
      <x:c r="F2363" s="52" t="n">
        <x:v>679</x:v>
      </x:c>
      <x:c r="G2363" s="54" t="n">
        <x:v>46220</x:v>
      </x:c>
      <x:c r="H2363" s="14" t="str">
        <x:f>IF(E2363&lt;0,"Componente negativo — manter e investigar","OK")</x:f>
        <x:v>OK</x:v>
      </x:c>
    </x:row>
    <x:row r="2364">
      <x:c r="A2364" s="51" t="n">
        <x:v>45170</x:v>
      </x:c>
      <x:c r="B2364" s="14" t="str">
        <x:v>Norte</x:v>
      </x:c>
      <x:c r="C2364" s="14" t="str">
        <x:v>NORTE INTERLIGADO</x:v>
      </x:c>
      <x:c r="D2364" s="53" t="str">
        <x:v>Cativo</x:v>
      </x:c>
      <x:c r="E2364" s="49" t="n">
        <x:v>830339.6330000001</x:v>
      </x:c>
      <x:c r="F2364" s="52" t="n">
        <x:v>3882793</x:v>
      </x:c>
      <x:c r="G2364" s="54" t="n">
        <x:v>46220</x:v>
      </x:c>
      <x:c r="H2364" s="14" t="str">
        <x:f>IF(E2364&lt;0,"Componente negativo — manter e investigar","OK")</x:f>
        <x:v>OK</x:v>
      </x:c>
    </x:row>
    <x:row r="2365">
      <x:c r="A2365" s="51" t="n">
        <x:v>45170</x:v>
      </x:c>
      <x:c r="B2365" s="14" t="str">
        <x:v>Norte</x:v>
      </x:c>
      <x:c r="C2365" s="14" t="str">
        <x:v>SISTEMAS ISOLADOS</x:v>
      </x:c>
      <x:c r="D2365" s="53" t="str">
        <x:v>Cativo</x:v>
      </x:c>
      <x:c r="E2365" s="49" t="n">
        <x:v>147304.974</x:v>
      </x:c>
      <x:c r="F2365" s="52" t="n">
        <x:v>590883</x:v>
      </x:c>
      <x:c r="G2365" s="54" t="n">
        <x:v>46220</x:v>
      </x:c>
      <x:c r="H2365" s="14" t="str">
        <x:f>IF(E2365&lt;0,"Componente negativo — manter e investigar","OK")</x:f>
        <x:v>OK</x:v>
      </x:c>
    </x:row>
    <x:row r="2366">
      <x:c r="A2366" s="51" t="n">
        <x:v>45170</x:v>
      </x:c>
      <x:c r="B2366" s="14" t="str">
        <x:v>Norte</x:v>
      </x:c>
      <x:c r="C2366" s="14" t="str">
        <x:v>SUDESTE / CENTRO - OESTE</x:v>
      </x:c>
      <x:c r="D2366" s="53" t="str">
        <x:v>Cativo</x:v>
      </x:c>
      <x:c r="E2366" s="49" t="n">
        <x:v>209074.029</x:v>
      </x:c>
      <x:c r="F2366" s="52" t="n">
        <x:v>725248</x:v>
      </x:c>
      <x:c r="G2366" s="54" t="n">
        <x:v>46220</x:v>
      </x:c>
      <x:c r="H2366" s="14" t="str">
        <x:f>IF(E2366&lt;0,"Componente negativo — manter e investigar","OK")</x:f>
        <x:v>OK</x:v>
      </x:c>
    </x:row>
    <x:row r="2367">
      <x:c r="A2367" s="51" t="n">
        <x:v>45170</x:v>
      </x:c>
      <x:c r="B2367" s="14" t="str">
        <x:v>Sudeste</x:v>
      </x:c>
      <x:c r="C2367" s="14" t="str">
        <x:v>SUDESTE / CENTRO - OESTE</x:v>
      </x:c>
      <x:c r="D2367" s="53" t="str">
        <x:v>Cativo</x:v>
      </x:c>
      <x:c r="E2367" s="49" t="n">
        <x:v>6209614.192</x:v>
      </x:c>
      <x:c r="F2367" s="52" t="n">
        <x:v>35570781</x:v>
      </x:c>
      <x:c r="G2367" s="54" t="n">
        <x:v>46220</x:v>
      </x:c>
      <x:c r="H2367" s="14" t="str">
        <x:f>IF(E2367&lt;0,"Componente negativo — manter e investigar","OK")</x:f>
        <x:v>OK</x:v>
      </x:c>
    </x:row>
    <x:row r="2368">
      <x:c r="A2368" s="51" t="n">
        <x:v>45170</x:v>
      </x:c>
      <x:c r="B2368" s="14" t="str">
        <x:v>Sudeste</x:v>
      </x:c>
      <x:c r="C2368" s="14" t="str">
        <x:v>SUDESTE / CENTRO - OESTE</x:v>
      </x:c>
      <x:c r="D2368" s="53" t="str">
        <x:v>Livre</x:v>
      </x:c>
      <x:c r="E2368" s="49" t="n">
        <x:v>419.743</x:v>
      </x:c>
      <x:c r="F2368" s="52" t="n">
        <x:v>2</x:v>
      </x:c>
      <x:c r="G2368" s="54" t="n">
        <x:v>46220</x:v>
      </x:c>
      <x:c r="H2368" s="14" t="str">
        <x:f>IF(E2368&lt;0,"Componente negativo — manter e investigar","OK")</x:f>
        <x:v>OK</x:v>
      </x:c>
    </x:row>
    <x:row r="2369">
      <x:c r="A2369" s="51" t="n">
        <x:v>45170</x:v>
      </x:c>
      <x:c r="B2369" s="14" t="str">
        <x:v>Sul</x:v>
      </x:c>
      <x:c r="C2369" s="14" t="str">
        <x:v>SUL</x:v>
      </x:c>
      <x:c r="D2369" s="53" t="str">
        <x:v>Cativo</x:v>
      </x:c>
      <x:c r="E2369" s="49" t="n">
        <x:v>2092122.742</x:v>
      </x:c>
      <x:c r="F2369" s="52" t="n">
        <x:v>11376907</x:v>
      </x:c>
      <x:c r="G2369" s="54" t="n">
        <x:v>46220</x:v>
      </x:c>
      <x:c r="H2369" s="14" t="str">
        <x:f>IF(E2369&lt;0,"Componente negativo — manter e investigar","OK")</x:f>
        <x:v>OK</x:v>
      </x:c>
    </x:row>
    <x:row r="2370">
      <x:c r="A2370" s="51" t="n">
        <x:v>45200</x:v>
      </x:c>
      <x:c r="B2370" s="14" t="str">
        <x:v>Centro-Oeste</x:v>
      </x:c>
      <x:c r="C2370" s="14" t="str">
        <x:v>SUDESTE / CENTRO - OESTE</x:v>
      </x:c>
      <x:c r="D2370" s="53" t="str">
        <x:v>Cativo</x:v>
      </x:c>
      <x:c r="E2370" s="49" t="n">
        <x:v>1479545.965</x:v>
      </x:c>
      <x:c r="F2370" s="52" t="n">
        <x:v>6260248</x:v>
      </x:c>
      <x:c r="G2370" s="54" t="n">
        <x:v>46220</x:v>
      </x:c>
      <x:c r="H2370" s="14" t="str">
        <x:f>IF(E2370&lt;0,"Componente negativo — manter e investigar","OK")</x:f>
        <x:v>OK</x:v>
      </x:c>
    </x:row>
    <x:row r="2371">
      <x:c r="A2371" s="51" t="n">
        <x:v>45200</x:v>
      </x:c>
      <x:c r="B2371" s="14" t="str">
        <x:v>Nordeste</x:v>
      </x:c>
      <x:c r="C2371" s="14" t="str">
        <x:v>NORDESTE</x:v>
      </x:c>
      <x:c r="D2371" s="53" t="str">
        <x:v>Cativo</x:v>
      </x:c>
      <x:c r="E2371" s="49" t="n">
        <x:v>2464156.7160000005</x:v>
      </x:c>
      <x:c r="F2371" s="52" t="n">
        <x:v>19456032</x:v>
      </x:c>
      <x:c r="G2371" s="54" t="n">
        <x:v>46220</x:v>
      </x:c>
      <x:c r="H2371" s="14" t="str">
        <x:f>IF(E2371&lt;0,"Componente negativo — manter e investigar","OK")</x:f>
        <x:v>OK</x:v>
      </x:c>
    </x:row>
    <x:row r="2372">
      <x:c r="A2372" s="51" t="n">
        <x:v>45200</x:v>
      </x:c>
      <x:c r="B2372" s="14" t="str">
        <x:v>Nordeste</x:v>
      </x:c>
      <x:c r="C2372" s="14" t="str">
        <x:v>NORTE INTERLIGADO</x:v>
      </x:c>
      <x:c r="D2372" s="53" t="str">
        <x:v>Cativo</x:v>
      </x:c>
      <x:c r="E2372" s="49" t="n">
        <x:v>434590.93</x:v>
      </x:c>
      <x:c r="F2372" s="52" t="n">
        <x:v>2502250</x:v>
      </x:c>
      <x:c r="G2372" s="54" t="n">
        <x:v>46220</x:v>
      </x:c>
      <x:c r="H2372" s="14" t="str">
        <x:f>IF(E2372&lt;0,"Componente negativo — manter e investigar","OK")</x:f>
        <x:v>OK</x:v>
      </x:c>
    </x:row>
    <x:row r="2373">
      <x:c r="A2373" s="51" t="n">
        <x:v>45200</x:v>
      </x:c>
      <x:c r="B2373" s="14" t="str">
        <x:v>Nordeste</x:v>
      </x:c>
      <x:c r="C2373" s="14" t="str">
        <x:v>SISTEMAS ISOLADOS</x:v>
      </x:c>
      <x:c r="D2373" s="53" t="str">
        <x:v>Cativo</x:v>
      </x:c>
      <x:c r="E2373" s="49" t="n">
        <x:v>922</x:v>
      </x:c>
      <x:c r="F2373" s="52" t="n">
        <x:v>690</x:v>
      </x:c>
      <x:c r="G2373" s="54" t="n">
        <x:v>46220</x:v>
      </x:c>
      <x:c r="H2373" s="14" t="str">
        <x:f>IF(E2373&lt;0,"Componente negativo — manter e investigar","OK")</x:f>
        <x:v>OK</x:v>
      </x:c>
    </x:row>
    <x:row r="2374">
      <x:c r="A2374" s="51" t="n">
        <x:v>45200</x:v>
      </x:c>
      <x:c r="B2374" s="14" t="str">
        <x:v>Norte</x:v>
      </x:c>
      <x:c r="C2374" s="14" t="str">
        <x:v>NORTE INTERLIGADO</x:v>
      </x:c>
      <x:c r="D2374" s="53" t="str">
        <x:v>Cativo</x:v>
      </x:c>
      <x:c r="E2374" s="49" t="n">
        <x:v>869018.8360000001</x:v>
      </x:c>
      <x:c r="F2374" s="52" t="n">
        <x:v>3896903</x:v>
      </x:c>
      <x:c r="G2374" s="54" t="n">
        <x:v>46220</x:v>
      </x:c>
      <x:c r="H2374" s="14" t="str">
        <x:f>IF(E2374&lt;0,"Componente negativo — manter e investigar","OK")</x:f>
        <x:v>OK</x:v>
      </x:c>
    </x:row>
    <x:row r="2375">
      <x:c r="A2375" s="51" t="n">
        <x:v>45200</x:v>
      </x:c>
      <x:c r="B2375" s="14" t="str">
        <x:v>Norte</x:v>
      </x:c>
      <x:c r="C2375" s="14" t="str">
        <x:v>SISTEMAS ISOLADOS</x:v>
      </x:c>
      <x:c r="D2375" s="53" t="str">
        <x:v>Cativo</x:v>
      </x:c>
      <x:c r="E2375" s="49" t="n">
        <x:v>148148.56</x:v>
      </x:c>
      <x:c r="F2375" s="52" t="n">
        <x:v>592869</x:v>
      </x:c>
      <x:c r="G2375" s="54" t="n">
        <x:v>46220</x:v>
      </x:c>
      <x:c r="H2375" s="14" t="str">
        <x:f>IF(E2375&lt;0,"Componente negativo — manter e investigar","OK")</x:f>
        <x:v>OK</x:v>
      </x:c>
    </x:row>
    <x:row r="2376">
      <x:c r="A2376" s="51" t="n">
        <x:v>45200</x:v>
      </x:c>
      <x:c r="B2376" s="14" t="str">
        <x:v>Norte</x:v>
      </x:c>
      <x:c r="C2376" s="14" t="str">
        <x:v>SUDESTE / CENTRO - OESTE</x:v>
      </x:c>
      <x:c r="D2376" s="53" t="str">
        <x:v>Cativo</x:v>
      </x:c>
      <x:c r="E2376" s="49" t="n">
        <x:v>205160.502</x:v>
      </x:c>
      <x:c r="F2376" s="52" t="n">
        <x:v>726477</x:v>
      </x:c>
      <x:c r="G2376" s="54" t="n">
        <x:v>46220</x:v>
      </x:c>
      <x:c r="H2376" s="14" t="str">
        <x:f>IF(E2376&lt;0,"Componente negativo — manter e investigar","OK")</x:f>
        <x:v>OK</x:v>
      </x:c>
    </x:row>
    <x:row r="2377">
      <x:c r="A2377" s="51" t="n">
        <x:v>45200</x:v>
      </x:c>
      <x:c r="B2377" s="14" t="str">
        <x:v>Sudeste</x:v>
      </x:c>
      <x:c r="C2377" s="14" t="str">
        <x:v>SUDESTE / CENTRO - OESTE</x:v>
      </x:c>
      <x:c r="D2377" s="53" t="str">
        <x:v>Cativo</x:v>
      </x:c>
      <x:c r="E2377" s="49" t="n">
        <x:v>6637089.762</x:v>
      </x:c>
      <x:c r="F2377" s="52" t="n">
        <x:v>35668243</x:v>
      </x:c>
      <x:c r="G2377" s="54" t="n">
        <x:v>46220</x:v>
      </x:c>
      <x:c r="H2377" s="14" t="str">
        <x:f>IF(E2377&lt;0,"Componente negativo — manter e investigar","OK")</x:f>
        <x:v>OK</x:v>
      </x:c>
    </x:row>
    <x:row r="2378">
      <x:c r="A2378" s="51" t="n">
        <x:v>45200</x:v>
      </x:c>
      <x:c r="B2378" s="14" t="str">
        <x:v>Sudeste</x:v>
      </x:c>
      <x:c r="C2378" s="14" t="str">
        <x:v>SUDESTE / CENTRO - OESTE</x:v>
      </x:c>
      <x:c r="D2378" s="53" t="str">
        <x:v>Livre</x:v>
      </x:c>
      <x:c r="E2378" s="49" t="n">
        <x:v>372.881</x:v>
      </x:c>
      <x:c r="F2378" s="52" t="n">
        <x:v>2</x:v>
      </x:c>
      <x:c r="G2378" s="54" t="n">
        <x:v>46220</x:v>
      </x:c>
      <x:c r="H2378" s="14" t="str">
        <x:f>IF(E2378&lt;0,"Componente negativo — manter e investigar","OK")</x:f>
        <x:v>OK</x:v>
      </x:c>
    </x:row>
    <x:row r="2379">
      <x:c r="A2379" s="51" t="n">
        <x:v>45200</x:v>
      </x:c>
      <x:c r="B2379" s="14" t="str">
        <x:v>Sul</x:v>
      </x:c>
      <x:c r="C2379" s="14" t="str">
        <x:v>SUL</x:v>
      </x:c>
      <x:c r="D2379" s="53" t="str">
        <x:v>Cativo</x:v>
      </x:c>
      <x:c r="E2379" s="49" t="n">
        <x:v>2210632.0919999997</x:v>
      </x:c>
      <x:c r="F2379" s="52" t="n">
        <x:v>11402942</x:v>
      </x:c>
      <x:c r="G2379" s="54" t="n">
        <x:v>46220</x:v>
      </x:c>
      <x:c r="H2379" s="14" t="str">
        <x:f>IF(E2379&lt;0,"Componente negativo — manter e investigar","OK")</x:f>
        <x:v>OK</x:v>
      </x:c>
    </x:row>
    <x:row r="2380">
      <x:c r="A2380" s="51" t="n">
        <x:v>45231</x:v>
      </x:c>
      <x:c r="B2380" s="14" t="str">
        <x:v>Centro-Oeste</x:v>
      </x:c>
      <x:c r="C2380" s="14" t="str">
        <x:v>SUDESTE / CENTRO - OESTE</x:v>
      </x:c>
      <x:c r="D2380" s="53" t="str">
        <x:v>Cativo</x:v>
      </x:c>
      <x:c r="E2380" s="49" t="n">
        <x:v>1529414.813</x:v>
      </x:c>
      <x:c r="F2380" s="52" t="n">
        <x:v>6271615</x:v>
      </x:c>
      <x:c r="G2380" s="54" t="n">
        <x:v>46220</x:v>
      </x:c>
      <x:c r="H2380" s="14" t="str">
        <x:f>IF(E2380&lt;0,"Componente negativo — manter e investigar","OK")</x:f>
        <x:v>OK</x:v>
      </x:c>
    </x:row>
    <x:row r="2381">
      <x:c r="A2381" s="51" t="n">
        <x:v>45231</x:v>
      </x:c>
      <x:c r="B2381" s="14" t="str">
        <x:v>Nordeste</x:v>
      </x:c>
      <x:c r="C2381" s="14" t="str">
        <x:v>NORDESTE</x:v>
      </x:c>
      <x:c r="D2381" s="53" t="str">
        <x:v>Cativo</x:v>
      </x:c>
      <x:c r="E2381" s="49" t="n">
        <x:v>2684076.777</x:v>
      </x:c>
      <x:c r="F2381" s="52" t="n">
        <x:v>19494861</x:v>
      </x:c>
      <x:c r="G2381" s="54" t="n">
        <x:v>46220</x:v>
      </x:c>
      <x:c r="H2381" s="14" t="str">
        <x:f>IF(E2381&lt;0,"Componente negativo — manter e investigar","OK")</x:f>
        <x:v>OK</x:v>
      </x:c>
    </x:row>
    <x:row r="2382">
      <x:c r="A2382" s="51" t="n">
        <x:v>45231</x:v>
      </x:c>
      <x:c r="B2382" s="14" t="str">
        <x:v>Nordeste</x:v>
      </x:c>
      <x:c r="C2382" s="14" t="str">
        <x:v>NORTE INTERLIGADO</x:v>
      </x:c>
      <x:c r="D2382" s="53" t="str">
        <x:v>Cativo</x:v>
      </x:c>
      <x:c r="E2382" s="49" t="n">
        <x:v>434017.565</x:v>
      </x:c>
      <x:c r="F2382" s="52" t="n">
        <x:v>2518329</x:v>
      </x:c>
      <x:c r="G2382" s="54" t="n">
        <x:v>46220</x:v>
      </x:c>
      <x:c r="H2382" s="14" t="str">
        <x:f>IF(E2382&lt;0,"Componente negativo — manter e investigar","OK")</x:f>
        <x:v>OK</x:v>
      </x:c>
    </x:row>
    <x:row r="2383">
      <x:c r="A2383" s="51" t="n">
        <x:v>45231</x:v>
      </x:c>
      <x:c r="B2383" s="14" t="str">
        <x:v>Nordeste</x:v>
      </x:c>
      <x:c r="C2383" s="14" t="str">
        <x:v>SISTEMAS ISOLADOS</x:v>
      </x:c>
      <x:c r="D2383" s="53" t="str">
        <x:v>Cativo</x:v>
      </x:c>
      <x:c r="E2383" s="49" t="n">
        <x:v>943</x:v>
      </x:c>
      <x:c r="F2383" s="52" t="n">
        <x:v>701</x:v>
      </x:c>
      <x:c r="G2383" s="54" t="n">
        <x:v>46220</x:v>
      </x:c>
      <x:c r="H2383" s="14" t="str">
        <x:f>IF(E2383&lt;0,"Componente negativo — manter e investigar","OK")</x:f>
        <x:v>OK</x:v>
      </x:c>
    </x:row>
    <x:row r="2384">
      <x:c r="A2384" s="51" t="n">
        <x:v>45231</x:v>
      </x:c>
      <x:c r="B2384" s="14" t="str">
        <x:v>Norte</x:v>
      </x:c>
      <x:c r="C2384" s="14" t="str">
        <x:v>NORTE INTERLIGADO</x:v>
      </x:c>
      <x:c r="D2384" s="53" t="str">
        <x:v>Cativo</x:v>
      </x:c>
      <x:c r="E2384" s="49" t="n">
        <x:v>873775.408</x:v>
      </x:c>
      <x:c r="F2384" s="52" t="n">
        <x:v>3901374</x:v>
      </x:c>
      <x:c r="G2384" s="54" t="n">
        <x:v>46220</x:v>
      </x:c>
      <x:c r="H2384" s="14" t="str">
        <x:f>IF(E2384&lt;0,"Componente negativo — manter e investigar","OK")</x:f>
        <x:v>OK</x:v>
      </x:c>
    </x:row>
    <x:row r="2385">
      <x:c r="A2385" s="51" t="n">
        <x:v>45231</x:v>
      </x:c>
      <x:c r="B2385" s="14" t="str">
        <x:v>Norte</x:v>
      </x:c>
      <x:c r="C2385" s="14" t="str">
        <x:v>SISTEMAS ISOLADOS</x:v>
      </x:c>
      <x:c r="D2385" s="53" t="str">
        <x:v>Cativo</x:v>
      </x:c>
      <x:c r="E2385" s="49" t="n">
        <x:v>145654.97</x:v>
      </x:c>
      <x:c r="F2385" s="52" t="n">
        <x:v>594688</x:v>
      </x:c>
      <x:c r="G2385" s="54" t="n">
        <x:v>46220</x:v>
      </x:c>
      <x:c r="H2385" s="14" t="str">
        <x:f>IF(E2385&lt;0,"Componente negativo — manter e investigar","OK")</x:f>
        <x:v>OK</x:v>
      </x:c>
    </x:row>
    <x:row r="2386">
      <x:c r="A2386" s="51" t="n">
        <x:v>45231</x:v>
      </x:c>
      <x:c r="B2386" s="14" t="str">
        <x:v>Norte</x:v>
      </x:c>
      <x:c r="C2386" s="14" t="str">
        <x:v>SUDESTE / CENTRO - OESTE</x:v>
      </x:c>
      <x:c r="D2386" s="53" t="str">
        <x:v>Cativo</x:v>
      </x:c>
      <x:c r="E2386" s="49" t="n">
        <x:v>216358.402</x:v>
      </x:c>
      <x:c r="F2386" s="52" t="n">
        <x:v>728021</x:v>
      </x:c>
      <x:c r="G2386" s="54" t="n">
        <x:v>46220</x:v>
      </x:c>
      <x:c r="H2386" s="14" t="str">
        <x:f>IF(E2386&lt;0,"Componente negativo — manter e investigar","OK")</x:f>
        <x:v>OK</x:v>
      </x:c>
    </x:row>
    <x:row r="2387">
      <x:c r="A2387" s="51" t="n">
        <x:v>45231</x:v>
      </x:c>
      <x:c r="B2387" s="14" t="str">
        <x:v>Sudeste</x:v>
      </x:c>
      <x:c r="C2387" s="14" t="str">
        <x:v>SUDESTE / CENTRO - OESTE</x:v>
      </x:c>
      <x:c r="D2387" s="53" t="str">
        <x:v>Cativo</x:v>
      </x:c>
      <x:c r="E2387" s="49" t="n">
        <x:v>6906728.3950000005</x:v>
      </x:c>
      <x:c r="F2387" s="52" t="n">
        <x:v>35607793</x:v>
      </x:c>
      <x:c r="G2387" s="54" t="n">
        <x:v>46220</x:v>
      </x:c>
      <x:c r="H2387" s="14" t="str">
        <x:f>IF(E2387&lt;0,"Componente negativo — manter e investigar","OK")</x:f>
        <x:v>OK</x:v>
      </x:c>
    </x:row>
    <x:row r="2388">
      <x:c r="A2388" s="51" t="n">
        <x:v>45231</x:v>
      </x:c>
      <x:c r="B2388" s="14" t="str">
        <x:v>Sudeste</x:v>
      </x:c>
      <x:c r="C2388" s="14" t="str">
        <x:v>SUDESTE / CENTRO - OESTE</x:v>
      </x:c>
      <x:c r="D2388" s="53" t="str">
        <x:v>Livre</x:v>
      </x:c>
      <x:c r="E2388" s="49" t="n">
        <x:v>396.301</x:v>
      </x:c>
      <x:c r="F2388" s="52" t="n">
        <x:v>2</x:v>
      </x:c>
      <x:c r="G2388" s="54" t="n">
        <x:v>46220</x:v>
      </x:c>
      <x:c r="H2388" s="14" t="str">
        <x:f>IF(E2388&lt;0,"Componente negativo — manter e investigar","OK")</x:f>
        <x:v>OK</x:v>
      </x:c>
    </x:row>
    <x:row r="2389">
      <x:c r="A2389" s="51" t="n">
        <x:v>45231</x:v>
      </x:c>
      <x:c r="B2389" s="14" t="str">
        <x:v>Sul</x:v>
      </x:c>
      <x:c r="C2389" s="14" t="str">
        <x:v>SUL</x:v>
      </x:c>
      <x:c r="D2389" s="53" t="str">
        <x:v>Cativo</x:v>
      </x:c>
      <x:c r="E2389" s="49" t="n">
        <x:v>2176246.242</x:v>
      </x:c>
      <x:c r="F2389" s="52" t="n">
        <x:v>11418171</x:v>
      </x:c>
      <x:c r="G2389" s="54" t="n">
        <x:v>46220</x:v>
      </x:c>
      <x:c r="H2389" s="14" t="str">
        <x:f>IF(E2389&lt;0,"Componente negativo — manter e investigar","OK")</x:f>
        <x:v>OK</x:v>
      </x:c>
    </x:row>
    <x:row r="2390">
      <x:c r="A2390" s="51" t="n">
        <x:v>45261</x:v>
      </x:c>
      <x:c r="B2390" s="14" t="str">
        <x:v>Centro-Oeste</x:v>
      </x:c>
      <x:c r="C2390" s="14" t="str">
        <x:v>SUDESTE / CENTRO - OESTE</x:v>
      </x:c>
      <x:c r="D2390" s="53" t="str">
        <x:v>Cativo</x:v>
      </x:c>
      <x:c r="E2390" s="49" t="n">
        <x:v>1522553.601</x:v>
      </x:c>
      <x:c r="F2390" s="52" t="n">
        <x:v>6292618</x:v>
      </x:c>
      <x:c r="G2390" s="54" t="n">
        <x:v>46220</x:v>
      </x:c>
      <x:c r="H2390" s="14" t="str">
        <x:f>IF(E2390&lt;0,"Componente negativo — manter e investigar","OK")</x:f>
        <x:v>OK</x:v>
      </x:c>
    </x:row>
    <x:row r="2391">
      <x:c r="A2391" s="51" t="n">
        <x:v>45261</x:v>
      </x:c>
      <x:c r="B2391" s="14" t="str">
        <x:v>Nordeste</x:v>
      </x:c>
      <x:c r="C2391" s="14" t="str">
        <x:v>NORDESTE</x:v>
      </x:c>
      <x:c r="D2391" s="53" t="str">
        <x:v>Cativo</x:v>
      </x:c>
      <x:c r="E2391" s="49" t="n">
        <x:v>2663060.552</x:v>
      </x:c>
      <x:c r="F2391" s="52" t="n">
        <x:v>19615279</x:v>
      </x:c>
      <x:c r="G2391" s="54" t="n">
        <x:v>46220</x:v>
      </x:c>
      <x:c r="H2391" s="14" t="str">
        <x:f>IF(E2391&lt;0,"Componente negativo — manter e investigar","OK")</x:f>
        <x:v>OK</x:v>
      </x:c>
    </x:row>
    <x:row r="2392">
      <x:c r="A2392" s="51" t="n">
        <x:v>45261</x:v>
      </x:c>
      <x:c r="B2392" s="14" t="str">
        <x:v>Nordeste</x:v>
      </x:c>
      <x:c r="C2392" s="14" t="str">
        <x:v>NORTE INTERLIGADO</x:v>
      </x:c>
      <x:c r="D2392" s="53" t="str">
        <x:v>Cativo</x:v>
      </x:c>
      <x:c r="E2392" s="49" t="n">
        <x:v>434079.856</x:v>
      </x:c>
      <x:c r="F2392" s="52" t="n">
        <x:v>2515711</x:v>
      </x:c>
      <x:c r="G2392" s="54" t="n">
        <x:v>46220</x:v>
      </x:c>
      <x:c r="H2392" s="14" t="str">
        <x:f>IF(E2392&lt;0,"Componente negativo — manter e investigar","OK")</x:f>
        <x:v>OK</x:v>
      </x:c>
    </x:row>
    <x:row r="2393">
      <x:c r="A2393" s="51" t="n">
        <x:v>45261</x:v>
      </x:c>
      <x:c r="B2393" s="14" t="str">
        <x:v>Nordeste</x:v>
      </x:c>
      <x:c r="C2393" s="14" t="str">
        <x:v>SISTEMAS ISOLADOS</x:v>
      </x:c>
      <x:c r="D2393" s="53" t="str">
        <x:v>Cativo</x:v>
      </x:c>
      <x:c r="E2393" s="49" t="n">
        <x:v>744</x:v>
      </x:c>
      <x:c r="F2393" s="52" t="n">
        <x:v>703</x:v>
      </x:c>
      <x:c r="G2393" s="54" t="n">
        <x:v>46220</x:v>
      </x:c>
      <x:c r="H2393" s="14" t="str">
        <x:f>IF(E2393&lt;0,"Componente negativo — manter e investigar","OK")</x:f>
        <x:v>OK</x:v>
      </x:c>
    </x:row>
    <x:row r="2394">
      <x:c r="A2394" s="51" t="n">
        <x:v>45261</x:v>
      </x:c>
      <x:c r="B2394" s="14" t="str">
        <x:v>Norte</x:v>
      </x:c>
      <x:c r="C2394" s="14" t="str">
        <x:v>NORTE INTERLIGADO</x:v>
      </x:c>
      <x:c r="D2394" s="53" t="str">
        <x:v>Cativo</x:v>
      </x:c>
      <x:c r="E2394" s="49" t="n">
        <x:v>827310.271</x:v>
      </x:c>
      <x:c r="F2394" s="52" t="n">
        <x:v>3904427</x:v>
      </x:c>
      <x:c r="G2394" s="54" t="n">
        <x:v>46220</x:v>
      </x:c>
      <x:c r="H2394" s="14" t="str">
        <x:f>IF(E2394&lt;0,"Componente negativo — manter e investigar","OK")</x:f>
        <x:v>OK</x:v>
      </x:c>
    </x:row>
    <x:row r="2395">
      <x:c r="A2395" s="51" t="n">
        <x:v>45261</x:v>
      </x:c>
      <x:c r="B2395" s="14" t="str">
        <x:v>Norte</x:v>
      </x:c>
      <x:c r="C2395" s="14" t="str">
        <x:v>SISTEMAS ISOLADOS</x:v>
      </x:c>
      <x:c r="D2395" s="53" t="str">
        <x:v>Cativo</x:v>
      </x:c>
      <x:c r="E2395" s="49" t="n">
        <x:v>137009.158</x:v>
      </x:c>
      <x:c r="F2395" s="52" t="n">
        <x:v>596550</x:v>
      </x:c>
      <x:c r="G2395" s="54" t="n">
        <x:v>46220</x:v>
      </x:c>
      <x:c r="H2395" s="14" t="str">
        <x:f>IF(E2395&lt;0,"Componente negativo — manter e investigar","OK")</x:f>
        <x:v>OK</x:v>
      </x:c>
    </x:row>
    <x:row r="2396">
      <x:c r="A2396" s="51" t="n">
        <x:v>45261</x:v>
      </x:c>
      <x:c r="B2396" s="14" t="str">
        <x:v>Norte</x:v>
      </x:c>
      <x:c r="C2396" s="14" t="str">
        <x:v>SUDESTE / CENTRO - OESTE</x:v>
      </x:c>
      <x:c r="D2396" s="53" t="str">
        <x:v>Cativo</x:v>
      </x:c>
      <x:c r="E2396" s="49" t="n">
        <x:v>207234.908</x:v>
      </x:c>
      <x:c r="F2396" s="52" t="n">
        <x:v>728859</x:v>
      </x:c>
      <x:c r="G2396" s="54" t="n">
        <x:v>46220</x:v>
      </x:c>
      <x:c r="H2396" s="14" t="str">
        <x:f>IF(E2396&lt;0,"Componente negativo — manter e investigar","OK")</x:f>
        <x:v>OK</x:v>
      </x:c>
    </x:row>
    <x:row r="2397">
      <x:c r="A2397" s="51" t="n">
        <x:v>45261</x:v>
      </x:c>
      <x:c r="B2397" s="14" t="str">
        <x:v>Sudeste</x:v>
      </x:c>
      <x:c r="C2397" s="14" t="str">
        <x:v>SUDESTE / CENTRO - OESTE</x:v>
      </x:c>
      <x:c r="D2397" s="53" t="str">
        <x:v>Cativo</x:v>
      </x:c>
      <x:c r="E2397" s="49" t="n">
        <x:v>7203538.187000002</x:v>
      </x:c>
      <x:c r="F2397" s="52" t="n">
        <x:v>35815586</x:v>
      </x:c>
      <x:c r="G2397" s="54" t="n">
        <x:v>46220</x:v>
      </x:c>
      <x:c r="H2397" s="14" t="str">
        <x:f>IF(E2397&lt;0,"Componente negativo — manter e investigar","OK")</x:f>
        <x:v>OK</x:v>
      </x:c>
    </x:row>
    <x:row r="2398">
      <x:c r="A2398" s="51" t="n">
        <x:v>45261</x:v>
      </x:c>
      <x:c r="B2398" s="14" t="str">
        <x:v>Sudeste</x:v>
      </x:c>
      <x:c r="C2398" s="14" t="str">
        <x:v>SUDESTE / CENTRO - OESTE</x:v>
      </x:c>
      <x:c r="D2398" s="53" t="str">
        <x:v>Livre</x:v>
      </x:c>
      <x:c r="E2398" s="49" t="n">
        <x:v>348.878</x:v>
      </x:c>
      <x:c r="F2398" s="52" t="n">
        <x:v>2</x:v>
      </x:c>
      <x:c r="G2398" s="54" t="n">
        <x:v>46220</x:v>
      </x:c>
      <x:c r="H2398" s="14" t="str">
        <x:f>IF(E2398&lt;0,"Componente negativo — manter e investigar","OK")</x:f>
        <x:v>OK</x:v>
      </x:c>
    </x:row>
    <x:row r="2399">
      <x:c r="A2399" s="51" t="n">
        <x:v>45261</x:v>
      </x:c>
      <x:c r="B2399" s="14" t="str">
        <x:v>Sul</x:v>
      </x:c>
      <x:c r="C2399" s="14" t="str">
        <x:v>SUL</x:v>
      </x:c>
      <x:c r="D2399" s="53" t="str">
        <x:v>Cativo</x:v>
      </x:c>
      <x:c r="E2399" s="49" t="n">
        <x:v>2446621.697</x:v>
      </x:c>
      <x:c r="F2399" s="52" t="n">
        <x:v>11435140</x:v>
      </x:c>
      <x:c r="G2399" s="54" t="n">
        <x:v>46220</x:v>
      </x:c>
      <x:c r="H2399" s="14" t="str">
        <x:f>IF(E2399&lt;0,"Componente negativo — manter e investigar","OK")</x:f>
        <x:v>OK</x:v>
      </x:c>
    </x:row>
    <x:row r="2400">
      <x:c r="A2400" s="51" t="n">
        <x:v>45292</x:v>
      </x:c>
      <x:c r="B2400" s="14" t="str">
        <x:v>Centro-Oeste</x:v>
      </x:c>
      <x:c r="C2400" s="14" t="str">
        <x:v>SUDESTE / CENTRO - OESTE</x:v>
      </x:c>
      <x:c r="D2400" s="53" t="str">
        <x:v>Cativo</x:v>
      </x:c>
      <x:c r="E2400" s="49" t="n">
        <x:v>1381912.633</x:v>
      </x:c>
      <x:c r="F2400" s="52" t="n">
        <x:v>6299769</x:v>
      </x:c>
      <x:c r="G2400" s="54" t="n">
        <x:v>46220</x:v>
      </x:c>
      <x:c r="H2400" s="14" t="str">
        <x:f>IF(E2400&lt;0,"Componente negativo — manter e investigar","OK")</x:f>
        <x:v>OK</x:v>
      </x:c>
    </x:row>
    <x:row r="2401">
      <x:c r="A2401" s="51" t="n">
        <x:v>45292</x:v>
      </x:c>
      <x:c r="B2401" s="14" t="str">
        <x:v>Nordeste</x:v>
      </x:c>
      <x:c r="C2401" s="14" t="str">
        <x:v>NORDESTE</x:v>
      </x:c>
      <x:c r="D2401" s="53" t="str">
        <x:v>Cativo</x:v>
      </x:c>
      <x:c r="E2401" s="49" t="n">
        <x:v>2754514.448</x:v>
      </x:c>
      <x:c r="F2401" s="52" t="n">
        <x:v>19605571</x:v>
      </x:c>
      <x:c r="G2401" s="54" t="n">
        <x:v>46220</x:v>
      </x:c>
      <x:c r="H2401" s="14" t="str">
        <x:f>IF(E2401&lt;0,"Componente negativo — manter e investigar","OK")</x:f>
        <x:v>OK</x:v>
      </x:c>
    </x:row>
    <x:row r="2402">
      <x:c r="A2402" s="51" t="n">
        <x:v>45292</x:v>
      </x:c>
      <x:c r="B2402" s="14" t="str">
        <x:v>Nordeste</x:v>
      </x:c>
      <x:c r="C2402" s="14" t="str">
        <x:v>NORDESTE</x:v>
      </x:c>
      <x:c r="D2402" s="53" t="str">
        <x:v>Livre</x:v>
      </x:c>
      <x:c r="E2402" s="49" t="n">
        <x:v>40.82</x:v>
      </x:c>
      <x:c r="F2402" s="52" t="n">
        <x:v>1</x:v>
      </x:c>
      <x:c r="G2402" s="54" t="n">
        <x:v>46220</x:v>
      </x:c>
      <x:c r="H2402" s="14" t="str">
        <x:f>IF(E2402&lt;0,"Componente negativo — manter e investigar","OK")</x:f>
        <x:v>OK</x:v>
      </x:c>
    </x:row>
    <x:row r="2403">
      <x:c r="A2403" s="51" t="n">
        <x:v>45292</x:v>
      </x:c>
      <x:c r="B2403" s="14" t="str">
        <x:v>Nordeste</x:v>
      </x:c>
      <x:c r="C2403" s="14" t="str">
        <x:v>NORTE INTERLIGADO</x:v>
      </x:c>
      <x:c r="D2403" s="53" t="str">
        <x:v>Cativo</x:v>
      </x:c>
      <x:c r="E2403" s="49" t="n">
        <x:v>413115.07</x:v>
      </x:c>
      <x:c r="F2403" s="52" t="n">
        <x:v>2516135</x:v>
      </x:c>
      <x:c r="G2403" s="54" t="n">
        <x:v>46220</x:v>
      </x:c>
      <x:c r="H2403" s="14" t="str">
        <x:f>IF(E2403&lt;0,"Componente negativo — manter e investigar","OK")</x:f>
        <x:v>OK</x:v>
      </x:c>
    </x:row>
    <x:row r="2404">
      <x:c r="A2404" s="51" t="n">
        <x:v>45292</x:v>
      </x:c>
      <x:c r="B2404" s="14" t="str">
        <x:v>Nordeste</x:v>
      </x:c>
      <x:c r="C2404" s="14" t="str">
        <x:v>SISTEMAS ISOLADOS</x:v>
      </x:c>
      <x:c r="D2404" s="53" t="str">
        <x:v>Cativo</x:v>
      </x:c>
      <x:c r="E2404" s="49" t="n">
        <x:v>1263</x:v>
      </x:c>
      <x:c r="F2404" s="52" t="n">
        <x:v>700</x:v>
      </x:c>
      <x:c r="G2404" s="54" t="n">
        <x:v>46220</x:v>
      </x:c>
      <x:c r="H2404" s="14" t="str">
        <x:f>IF(E2404&lt;0,"Componente negativo — manter e investigar","OK")</x:f>
        <x:v>OK</x:v>
      </x:c>
    </x:row>
    <x:row r="2405">
      <x:c r="A2405" s="51" t="n">
        <x:v>45292</x:v>
      </x:c>
      <x:c r="B2405" s="14" t="str">
        <x:v>Norte</x:v>
      </x:c>
      <x:c r="C2405" s="14" t="str">
        <x:v>NORTE INTERLIGADO</x:v>
      </x:c>
      <x:c r="D2405" s="53" t="str">
        <x:v>Cativo</x:v>
      </x:c>
      <x:c r="E2405" s="49" t="n">
        <x:v>780542.169</x:v>
      </x:c>
      <x:c r="F2405" s="52" t="n">
        <x:v>3929483</x:v>
      </x:c>
      <x:c r="G2405" s="54" t="n">
        <x:v>46220</x:v>
      </x:c>
      <x:c r="H2405" s="14" t="str">
        <x:f>IF(E2405&lt;0,"Componente negativo — manter e investigar","OK")</x:f>
        <x:v>OK</x:v>
      </x:c>
    </x:row>
    <x:row r="2406">
      <x:c r="A2406" s="51" t="n">
        <x:v>45292</x:v>
      </x:c>
      <x:c r="B2406" s="14" t="str">
        <x:v>Norte</x:v>
      </x:c>
      <x:c r="C2406" s="14" t="str">
        <x:v>SISTEMAS ISOLADOS</x:v>
      </x:c>
      <x:c r="D2406" s="53" t="str">
        <x:v>Cativo</x:v>
      </x:c>
      <x:c r="E2406" s="49" t="n">
        <x:v>142110.12</x:v>
      </x:c>
      <x:c r="F2406" s="52" t="n">
        <x:v>606427</x:v>
      </x:c>
      <x:c r="G2406" s="54" t="n">
        <x:v>46220</x:v>
      </x:c>
      <x:c r="H2406" s="14" t="str">
        <x:f>IF(E2406&lt;0,"Componente negativo — manter e investigar","OK")</x:f>
        <x:v>OK</x:v>
      </x:c>
    </x:row>
    <x:row r="2407">
      <x:c r="A2407" s="51" t="n">
        <x:v>45292</x:v>
      </x:c>
      <x:c r="B2407" s="14" t="str">
        <x:v>Norte</x:v>
      </x:c>
      <x:c r="C2407" s="14" t="str">
        <x:v>SUDESTE / CENTRO - OESTE</x:v>
      </x:c>
      <x:c r="D2407" s="53" t="str">
        <x:v>Cativo</x:v>
      </x:c>
      <x:c r="E2407" s="49" t="n">
        <x:v>200046.216</x:v>
      </x:c>
      <x:c r="F2407" s="52" t="n">
        <x:v>731819</x:v>
      </x:c>
      <x:c r="G2407" s="54" t="n">
        <x:v>46220</x:v>
      </x:c>
      <x:c r="H2407" s="14" t="str">
        <x:f>IF(E2407&lt;0,"Componente negativo — manter e investigar","OK")</x:f>
        <x:v>OK</x:v>
      </x:c>
    </x:row>
    <x:row r="2408">
      <x:c r="A2408" s="51" t="n">
        <x:v>45292</x:v>
      </x:c>
      <x:c r="B2408" s="14" t="str">
        <x:v>Sudeste</x:v>
      </x:c>
      <x:c r="C2408" s="14" t="str">
        <x:v>SUDESTE / CENTRO - OESTE</x:v>
      </x:c>
      <x:c r="D2408" s="53" t="str">
        <x:v>Cativo</x:v>
      </x:c>
      <x:c r="E2408" s="49" t="n">
        <x:v>7064139.95</x:v>
      </x:c>
      <x:c r="F2408" s="52" t="n">
        <x:v>35535547</x:v>
      </x:c>
      <x:c r="G2408" s="54" t="n">
        <x:v>46220</x:v>
      </x:c>
      <x:c r="H2408" s="14" t="str">
        <x:f>IF(E2408&lt;0,"Componente negativo — manter e investigar","OK")</x:f>
        <x:v>OK</x:v>
      </x:c>
    </x:row>
    <x:row r="2409">
      <x:c r="A2409" s="51" t="n">
        <x:v>45292</x:v>
      </x:c>
      <x:c r="B2409" s="14" t="str">
        <x:v>Sudeste</x:v>
      </x:c>
      <x:c r="C2409" s="14" t="str">
        <x:v>SUDESTE / CENTRO - OESTE</x:v>
      </x:c>
      <x:c r="D2409" s="53" t="str">
        <x:v>Livre</x:v>
      </x:c>
      <x:c r="E2409" s="49" t="n">
        <x:v>985.223</x:v>
      </x:c>
      <x:c r="F2409" s="52" t="n">
        <x:v>4</x:v>
      </x:c>
      <x:c r="G2409" s="54" t="n">
        <x:v>46220</x:v>
      </x:c>
      <x:c r="H2409" s="14" t="str">
        <x:f>IF(E2409&lt;0,"Componente negativo — manter e investigar","OK")</x:f>
        <x:v>OK</x:v>
      </x:c>
    </x:row>
    <x:row r="2410">
      <x:c r="A2410" s="51" t="n">
        <x:v>45292</x:v>
      </x:c>
      <x:c r="B2410" s="14" t="str">
        <x:v>Sul</x:v>
      </x:c>
      <x:c r="C2410" s="14" t="str">
        <x:v>SUL</x:v>
      </x:c>
      <x:c r="D2410" s="53" t="str">
        <x:v>Cativo</x:v>
      </x:c>
      <x:c r="E2410" s="49" t="n">
        <x:v>2703759.3999999994</x:v>
      </x:c>
      <x:c r="F2410" s="52" t="n">
        <x:v>11758497</x:v>
      </x:c>
      <x:c r="G2410" s="54" t="n">
        <x:v>46220</x:v>
      </x:c>
      <x:c r="H2410" s="14" t="str">
        <x:f>IF(E2410&lt;0,"Componente negativo — manter e investigar","OK")</x:f>
        <x:v>OK</x:v>
      </x:c>
    </x:row>
    <x:row r="2411">
      <x:c r="A2411" s="51" t="n">
        <x:v>45292</x:v>
      </x:c>
      <x:c r="B2411" s="14" t="str">
        <x:v>Sul</x:v>
      </x:c>
      <x:c r="C2411" s="14" t="str">
        <x:v>SUL</x:v>
      </x:c>
      <x:c r="D2411" s="53" t="str">
        <x:v>Livre</x:v>
      </x:c>
      <x:c r="E2411" s="49" t="n">
        <x:v>0.427</x:v>
      </x:c>
      <x:c r="F2411" s="52" t="n">
        <x:v>0</x:v>
      </x:c>
      <x:c r="G2411" s="54" t="n">
        <x:v>46220</x:v>
      </x:c>
      <x:c r="H2411" s="14" t="str">
        <x:f>IF(E2411&lt;0,"Componente negativo — manter e investigar","OK")</x:f>
        <x:v>OK</x:v>
      </x:c>
    </x:row>
    <x:row r="2412">
      <x:c r="A2412" s="51" t="n">
        <x:v>45323</x:v>
      </x:c>
      <x:c r="B2412" s="14" t="str">
        <x:v>Centro-Oeste</x:v>
      </x:c>
      <x:c r="C2412" s="14" t="str">
        <x:v>SUDESTE / CENTRO - OESTE</x:v>
      </x:c>
      <x:c r="D2412" s="53" t="str">
        <x:v>Cativo</x:v>
      </x:c>
      <x:c r="E2412" s="49" t="n">
        <x:v>1363530.619</x:v>
      </x:c>
      <x:c r="F2412" s="52" t="n">
        <x:v>6315205</x:v>
      </x:c>
      <x:c r="G2412" s="54" t="n">
        <x:v>46220</x:v>
      </x:c>
      <x:c r="H2412" s="14" t="str">
        <x:f>IF(E2412&lt;0,"Componente negativo — manter e investigar","OK")</x:f>
        <x:v>OK</x:v>
      </x:c>
    </x:row>
    <x:row r="2413">
      <x:c r="A2413" s="51" t="n">
        <x:v>45323</x:v>
      </x:c>
      <x:c r="B2413" s="14" t="str">
        <x:v>Nordeste</x:v>
      </x:c>
      <x:c r="C2413" s="14" t="str">
        <x:v>NORDESTE</x:v>
      </x:c>
      <x:c r="D2413" s="53" t="str">
        <x:v>Cativo</x:v>
      </x:c>
      <x:c r="E2413" s="49" t="n">
        <x:v>2699961.9050000003</x:v>
      </x:c>
      <x:c r="F2413" s="52" t="n">
        <x:v>19617178</x:v>
      </x:c>
      <x:c r="G2413" s="54" t="n">
        <x:v>46220</x:v>
      </x:c>
      <x:c r="H2413" s="14" t="str">
        <x:f>IF(E2413&lt;0,"Componente negativo — manter e investigar","OK")</x:f>
        <x:v>OK</x:v>
      </x:c>
    </x:row>
    <x:row r="2414">
      <x:c r="A2414" s="51" t="n">
        <x:v>45323</x:v>
      </x:c>
      <x:c r="B2414" s="14" t="str">
        <x:v>Nordeste</x:v>
      </x:c>
      <x:c r="C2414" s="14" t="str">
        <x:v>NORDESTE</x:v>
      </x:c>
      <x:c r="D2414" s="53" t="str">
        <x:v>Livre</x:v>
      </x:c>
      <x:c r="E2414" s="49" t="n">
        <x:v>37.751</x:v>
      </x:c>
      <x:c r="F2414" s="52" t="n">
        <x:v>1</x:v>
      </x:c>
      <x:c r="G2414" s="54" t="n">
        <x:v>46220</x:v>
      </x:c>
      <x:c r="H2414" s="14" t="str">
        <x:f>IF(E2414&lt;0,"Componente negativo — manter e investigar","OK")</x:f>
        <x:v>OK</x:v>
      </x:c>
    </x:row>
    <x:row r="2415">
      <x:c r="A2415" s="51" t="n">
        <x:v>45323</x:v>
      </x:c>
      <x:c r="B2415" s="14" t="str">
        <x:v>Nordeste</x:v>
      </x:c>
      <x:c r="C2415" s="14" t="str">
        <x:v>NORTE INTERLIGADO</x:v>
      </x:c>
      <x:c r="D2415" s="53" t="str">
        <x:v>Cativo</x:v>
      </x:c>
      <x:c r="E2415" s="49" t="n">
        <x:v>397761.061</x:v>
      </x:c>
      <x:c r="F2415" s="52" t="n">
        <x:v>2519166</x:v>
      </x:c>
      <x:c r="G2415" s="54" t="n">
        <x:v>46220</x:v>
      </x:c>
      <x:c r="H2415" s="14" t="str">
        <x:f>IF(E2415&lt;0,"Componente negativo — manter e investigar","OK")</x:f>
        <x:v>OK</x:v>
      </x:c>
    </x:row>
    <x:row r="2416">
      <x:c r="A2416" s="51" t="n">
        <x:v>45323</x:v>
      </x:c>
      <x:c r="B2416" s="14" t="str">
        <x:v>Nordeste</x:v>
      </x:c>
      <x:c r="C2416" s="14" t="str">
        <x:v>SISTEMAS ISOLADOS</x:v>
      </x:c>
      <x:c r="D2416" s="53" t="str">
        <x:v>Cativo</x:v>
      </x:c>
      <x:c r="E2416" s="49" t="n">
        <x:v>1135</x:v>
      </x:c>
      <x:c r="F2416" s="52" t="n">
        <x:v>707</x:v>
      </x:c>
      <x:c r="G2416" s="54" t="n">
        <x:v>46220</x:v>
      </x:c>
      <x:c r="H2416" s="14" t="str">
        <x:f>IF(E2416&lt;0,"Componente negativo — manter e investigar","OK")</x:f>
        <x:v>OK</x:v>
      </x:c>
    </x:row>
    <x:row r="2417">
      <x:c r="A2417" s="51" t="n">
        <x:v>45323</x:v>
      </x:c>
      <x:c r="B2417" s="14" t="str">
        <x:v>Norte</x:v>
      </x:c>
      <x:c r="C2417" s="14" t="str">
        <x:v>NORTE INTERLIGADO</x:v>
      </x:c>
      <x:c r="D2417" s="53" t="str">
        <x:v>Cativo</x:v>
      </x:c>
      <x:c r="E2417" s="49" t="n">
        <x:v>762829.208</x:v>
      </x:c>
      <x:c r="F2417" s="52" t="n">
        <x:v>3916274</x:v>
      </x:c>
      <x:c r="G2417" s="54" t="n">
        <x:v>46220</x:v>
      </x:c>
      <x:c r="H2417" s="14" t="str">
        <x:f>IF(E2417&lt;0,"Componente negativo — manter e investigar","OK")</x:f>
        <x:v>OK</x:v>
      </x:c>
    </x:row>
    <x:row r="2418">
      <x:c r="A2418" s="51" t="n">
        <x:v>45323</x:v>
      </x:c>
      <x:c r="B2418" s="14" t="str">
        <x:v>Norte</x:v>
      </x:c>
      <x:c r="C2418" s="14" t="str">
        <x:v>SISTEMAS ISOLADOS</x:v>
      </x:c>
      <x:c r="D2418" s="53" t="str">
        <x:v>Cativo</x:v>
      </x:c>
      <x:c r="E2418" s="49" t="n">
        <x:v>138977.314</x:v>
      </x:c>
      <x:c r="F2418" s="52" t="n">
        <x:v>600395</x:v>
      </x:c>
      <x:c r="G2418" s="54" t="n">
        <x:v>46220</x:v>
      </x:c>
      <x:c r="H2418" s="14" t="str">
        <x:f>IF(E2418&lt;0,"Componente negativo — manter e investigar","OK")</x:f>
        <x:v>OK</x:v>
      </x:c>
    </x:row>
    <x:row r="2419">
      <x:c r="A2419" s="51" t="n">
        <x:v>45323</x:v>
      </x:c>
      <x:c r="B2419" s="14" t="str">
        <x:v>Norte</x:v>
      </x:c>
      <x:c r="C2419" s="14" t="str">
        <x:v>SUDESTE / CENTRO - OESTE</x:v>
      </x:c>
      <x:c r="D2419" s="53" t="str">
        <x:v>Cativo</x:v>
      </x:c>
      <x:c r="E2419" s="49" t="n">
        <x:v>186101.471</x:v>
      </x:c>
      <x:c r="F2419" s="52" t="n">
        <x:v>731709</x:v>
      </x:c>
      <x:c r="G2419" s="54" t="n">
        <x:v>46220</x:v>
      </x:c>
      <x:c r="H2419" s="14" t="str">
        <x:f>IF(E2419&lt;0,"Componente negativo — manter e investigar","OK")</x:f>
        <x:v>OK</x:v>
      </x:c>
    </x:row>
    <x:row r="2420">
      <x:c r="A2420" s="51" t="n">
        <x:v>45323</x:v>
      </x:c>
      <x:c r="B2420" s="14" t="str">
        <x:v>Sudeste</x:v>
      </x:c>
      <x:c r="C2420" s="14" t="str">
        <x:v>SUDESTE / CENTRO - OESTE</x:v>
      </x:c>
      <x:c r="D2420" s="53" t="str">
        <x:v>Cativo</x:v>
      </x:c>
      <x:c r="E2420" s="49" t="n">
        <x:v>6879126.089</x:v>
      </x:c>
      <x:c r="F2420" s="52" t="n">
        <x:v>35774009</x:v>
      </x:c>
      <x:c r="G2420" s="54" t="n">
        <x:v>46220</x:v>
      </x:c>
      <x:c r="H2420" s="14" t="str">
        <x:f>IF(E2420&lt;0,"Componente negativo — manter e investigar","OK")</x:f>
        <x:v>OK</x:v>
      </x:c>
    </x:row>
    <x:row r="2421">
      <x:c r="A2421" s="51" t="n">
        <x:v>45323</x:v>
      </x:c>
      <x:c r="B2421" s="14" t="str">
        <x:v>Sudeste</x:v>
      </x:c>
      <x:c r="C2421" s="14" t="str">
        <x:v>SUDESTE / CENTRO - OESTE</x:v>
      </x:c>
      <x:c r="D2421" s="53" t="str">
        <x:v>Livre</x:v>
      </x:c>
      <x:c r="E2421" s="49" t="n">
        <x:v>946.001</x:v>
      </x:c>
      <x:c r="F2421" s="52" t="n">
        <x:v>8</x:v>
      </x:c>
      <x:c r="G2421" s="54" t="n">
        <x:v>46220</x:v>
      </x:c>
      <x:c r="H2421" s="14" t="str">
        <x:f>IF(E2421&lt;0,"Componente negativo — manter e investigar","OK")</x:f>
        <x:v>OK</x:v>
      </x:c>
    </x:row>
    <x:row r="2422">
      <x:c r="A2422" s="51" t="n">
        <x:v>45323</x:v>
      </x:c>
      <x:c r="B2422" s="14" t="str">
        <x:v>Sul</x:v>
      </x:c>
      <x:c r="C2422" s="14" t="str">
        <x:v>SUL</x:v>
      </x:c>
      <x:c r="D2422" s="53" t="str">
        <x:v>Cativo</x:v>
      </x:c>
      <x:c r="E2422" s="49" t="n">
        <x:v>2770282.0549999997</x:v>
      </x:c>
      <x:c r="F2422" s="52" t="n">
        <x:v>11759351</x:v>
      </x:c>
      <x:c r="G2422" s="54" t="n">
        <x:v>46220</x:v>
      </x:c>
      <x:c r="H2422" s="14" t="str">
        <x:f>IF(E2422&lt;0,"Componente negativo — manter e investigar","OK")</x:f>
        <x:v>OK</x:v>
      </x:c>
    </x:row>
    <x:row r="2423">
      <x:c r="A2423" s="51" t="n">
        <x:v>45323</x:v>
      </x:c>
      <x:c r="B2423" s="14" t="str">
        <x:v>Sul</x:v>
      </x:c>
      <x:c r="C2423" s="14" t="str">
        <x:v>SUL</x:v>
      </x:c>
      <x:c r="D2423" s="53" t="str">
        <x:v>Livre</x:v>
      </x:c>
      <x:c r="E2423" s="49" t="n">
        <x:v>166.848</x:v>
      </x:c>
      <x:c r="F2423" s="52" t="n">
        <x:v>0</x:v>
      </x:c>
      <x:c r="G2423" s="54" t="n">
        <x:v>46220</x:v>
      </x:c>
      <x:c r="H2423" s="14" t="str">
        <x:f>IF(E2423&lt;0,"Componente negativo — manter e investigar","OK")</x:f>
        <x:v>OK</x:v>
      </x:c>
    </x:row>
    <x:row r="2424">
      <x:c r="A2424" s="51" t="n">
        <x:v>45352</x:v>
      </x:c>
      <x:c r="B2424" s="14" t="str">
        <x:v>Centro-Oeste</x:v>
      </x:c>
      <x:c r="C2424" s="14" t="str">
        <x:v>SUDESTE / CENTRO - OESTE</x:v>
      </x:c>
      <x:c r="D2424" s="53" t="str">
        <x:v>Cativo</x:v>
      </x:c>
      <x:c r="E2424" s="49" t="n">
        <x:v>1422775.621</x:v>
      </x:c>
      <x:c r="F2424" s="52" t="n">
        <x:v>6321911</x:v>
      </x:c>
      <x:c r="G2424" s="54" t="n">
        <x:v>46220</x:v>
      </x:c>
      <x:c r="H2424" s="14" t="str">
        <x:f>IF(E2424&lt;0,"Componente negativo — manter e investigar","OK")</x:f>
        <x:v>OK</x:v>
      </x:c>
    </x:row>
    <x:row r="2425">
      <x:c r="A2425" s="51" t="n">
        <x:v>45352</x:v>
      </x:c>
      <x:c r="B2425" s="14" t="str">
        <x:v>Nordeste</x:v>
      </x:c>
      <x:c r="C2425" s="14" t="str">
        <x:v>NORDESTE</x:v>
      </x:c>
      <x:c r="D2425" s="53" t="str">
        <x:v>Cativo</x:v>
      </x:c>
      <x:c r="E2425" s="49" t="n">
        <x:v>2713249.389</x:v>
      </x:c>
      <x:c r="F2425" s="52" t="n">
        <x:v>19638583</x:v>
      </x:c>
      <x:c r="G2425" s="54" t="n">
        <x:v>46220</x:v>
      </x:c>
      <x:c r="H2425" s="14" t="str">
        <x:f>IF(E2425&lt;0,"Componente negativo — manter e investigar","OK")</x:f>
        <x:v>OK</x:v>
      </x:c>
    </x:row>
    <x:row r="2426">
      <x:c r="A2426" s="51" t="n">
        <x:v>45352</x:v>
      </x:c>
      <x:c r="B2426" s="14" t="str">
        <x:v>Nordeste</x:v>
      </x:c>
      <x:c r="C2426" s="14" t="str">
        <x:v>NORDESTE</x:v>
      </x:c>
      <x:c r="D2426" s="53" t="str">
        <x:v>Livre</x:v>
      </x:c>
      <x:c r="E2426" s="49" t="n">
        <x:v>27.707</x:v>
      </x:c>
      <x:c r="F2426" s="52" t="n">
        <x:v>1</x:v>
      </x:c>
      <x:c r="G2426" s="54" t="n">
        <x:v>46220</x:v>
      </x:c>
      <x:c r="H2426" s="14" t="str">
        <x:f>IF(E2426&lt;0,"Componente negativo — manter e investigar","OK")</x:f>
        <x:v>OK</x:v>
      </x:c>
    </x:row>
    <x:row r="2427">
      <x:c r="A2427" s="51" t="n">
        <x:v>45352</x:v>
      </x:c>
      <x:c r="B2427" s="14" t="str">
        <x:v>Nordeste</x:v>
      </x:c>
      <x:c r="C2427" s="14" t="str">
        <x:v>NORTE INTERLIGADO</x:v>
      </x:c>
      <x:c r="D2427" s="53" t="str">
        <x:v>Cativo</x:v>
      </x:c>
      <x:c r="E2427" s="49" t="n">
        <x:v>378237.587</x:v>
      </x:c>
      <x:c r="F2427" s="52" t="n">
        <x:v>2521699</x:v>
      </x:c>
      <x:c r="G2427" s="54" t="n">
        <x:v>46220</x:v>
      </x:c>
      <x:c r="H2427" s="14" t="str">
        <x:f>IF(E2427&lt;0,"Componente negativo — manter e investigar","OK")</x:f>
        <x:v>OK</x:v>
      </x:c>
    </x:row>
    <x:row r="2428">
      <x:c r="A2428" s="51" t="n">
        <x:v>45352</x:v>
      </x:c>
      <x:c r="B2428" s="14" t="str">
        <x:v>Nordeste</x:v>
      </x:c>
      <x:c r="C2428" s="14" t="str">
        <x:v>NORTE INTERLIGADO</x:v>
      </x:c>
      <x:c r="D2428" s="53" t="str">
        <x:v>Livre</x:v>
      </x:c>
      <x:c r="E2428" s="49" t="n">
        <x:v>59.13</x:v>
      </x:c>
      <x:c r="F2428" s="52" t="n">
        <x:v>1</x:v>
      </x:c>
      <x:c r="G2428" s="54" t="n">
        <x:v>46220</x:v>
      </x:c>
      <x:c r="H2428" s="14" t="str">
        <x:f>IF(E2428&lt;0,"Componente negativo — manter e investigar","OK")</x:f>
        <x:v>OK</x:v>
      </x:c>
    </x:row>
    <x:row r="2429">
      <x:c r="A2429" s="51" t="n">
        <x:v>45352</x:v>
      </x:c>
      <x:c r="B2429" s="14" t="str">
        <x:v>Nordeste</x:v>
      </x:c>
      <x:c r="C2429" s="14" t="str">
        <x:v>SISTEMAS ISOLADOS</x:v>
      </x:c>
      <x:c r="D2429" s="53" t="str">
        <x:v>Cativo</x:v>
      </x:c>
      <x:c r="E2429" s="49" t="n">
        <x:v>978</x:v>
      </x:c>
      <x:c r="F2429" s="52" t="n">
        <x:v>706</x:v>
      </x:c>
      <x:c r="G2429" s="54" t="n">
        <x:v>46220</x:v>
      </x:c>
      <x:c r="H2429" s="14" t="str">
        <x:f>IF(E2429&lt;0,"Componente negativo — manter e investigar","OK")</x:f>
        <x:v>OK</x:v>
      </x:c>
    </x:row>
    <x:row r="2430">
      <x:c r="A2430" s="51" t="n">
        <x:v>45352</x:v>
      </x:c>
      <x:c r="B2430" s="14" t="str">
        <x:v>Norte</x:v>
      </x:c>
      <x:c r="C2430" s="14" t="str">
        <x:v>NORTE INTERLIGADO</x:v>
      </x:c>
      <x:c r="D2430" s="53" t="str">
        <x:v>Cativo</x:v>
      </x:c>
      <x:c r="E2430" s="49" t="n">
        <x:v>753745.083</x:v>
      </x:c>
      <x:c r="F2430" s="52" t="n">
        <x:v>3927412</x:v>
      </x:c>
      <x:c r="G2430" s="54" t="n">
        <x:v>46220</x:v>
      </x:c>
      <x:c r="H2430" s="14" t="str">
        <x:f>IF(E2430&lt;0,"Componente negativo — manter e investigar","OK")</x:f>
        <x:v>OK</x:v>
      </x:c>
    </x:row>
    <x:row r="2431">
      <x:c r="A2431" s="51" t="n">
        <x:v>45352</x:v>
      </x:c>
      <x:c r="B2431" s="14" t="str">
        <x:v>Norte</x:v>
      </x:c>
      <x:c r="C2431" s="14" t="str">
        <x:v>SISTEMAS ISOLADOS</x:v>
      </x:c>
      <x:c r="D2431" s="53" t="str">
        <x:v>Cativo</x:v>
      </x:c>
      <x:c r="E2431" s="49" t="n">
        <x:v>139991.607</x:v>
      </x:c>
      <x:c r="F2431" s="52" t="n">
        <x:v>601314</x:v>
      </x:c>
      <x:c r="G2431" s="54" t="n">
        <x:v>46220</x:v>
      </x:c>
      <x:c r="H2431" s="14" t="str">
        <x:f>IF(E2431&lt;0,"Componente negativo — manter e investigar","OK")</x:f>
        <x:v>OK</x:v>
      </x:c>
    </x:row>
    <x:row r="2432">
      <x:c r="A2432" s="51" t="n">
        <x:v>45352</x:v>
      </x:c>
      <x:c r="B2432" s="14" t="str">
        <x:v>Norte</x:v>
      </x:c>
      <x:c r="C2432" s="14" t="str">
        <x:v>SUDESTE / CENTRO - OESTE</x:v>
      </x:c>
      <x:c r="D2432" s="53" t="str">
        <x:v>Cativo</x:v>
      </x:c>
      <x:c r="E2432" s="49" t="n">
        <x:v>190357.31</x:v>
      </x:c>
      <x:c r="F2432" s="52" t="n">
        <x:v>733675</x:v>
      </x:c>
      <x:c r="G2432" s="54" t="n">
        <x:v>46220</x:v>
      </x:c>
      <x:c r="H2432" s="14" t="str">
        <x:f>IF(E2432&lt;0,"Componente negativo — manter e investigar","OK")</x:f>
        <x:v>OK</x:v>
      </x:c>
    </x:row>
    <x:row r="2433">
      <x:c r="A2433" s="51" t="n">
        <x:v>45352</x:v>
      </x:c>
      <x:c r="B2433" s="14" t="str">
        <x:v>Sudeste</x:v>
      </x:c>
      <x:c r="C2433" s="14" t="str">
        <x:v>SUDESTE / CENTRO - OESTE</x:v>
      </x:c>
      <x:c r="D2433" s="53" t="str">
        <x:v>Cativo</x:v>
      </x:c>
      <x:c r="E2433" s="49" t="n">
        <x:v>7254415.5879999995</x:v>
      </x:c>
      <x:c r="F2433" s="52" t="n">
        <x:v>35803537</x:v>
      </x:c>
      <x:c r="G2433" s="54" t="n">
        <x:v>46220</x:v>
      </x:c>
      <x:c r="H2433" s="14" t="str">
        <x:f>IF(E2433&lt;0,"Componente negativo — manter e investigar","OK")</x:f>
        <x:v>OK</x:v>
      </x:c>
    </x:row>
    <x:row r="2434">
      <x:c r="A2434" s="51" t="n">
        <x:v>45352</x:v>
      </x:c>
      <x:c r="B2434" s="14" t="str">
        <x:v>Sudeste</x:v>
      </x:c>
      <x:c r="C2434" s="14" t="str">
        <x:v>SUDESTE / CENTRO - OESTE</x:v>
      </x:c>
      <x:c r="D2434" s="53" t="str">
        <x:v>Livre</x:v>
      </x:c>
      <x:c r="E2434" s="49" t="n">
        <x:v>-685.35</x:v>
      </x:c>
      <x:c r="F2434" s="52" t="n">
        <x:v>5</x:v>
      </x:c>
      <x:c r="G2434" s="54" t="n">
        <x:v>46220</x:v>
      </x:c>
      <x:c r="H2434" s="14" t="str">
        <x:f>IF(E2434&lt;0,"Componente negativo — manter e investigar","OK")</x:f>
        <x:v>Componente negativo — manter e investigar</x:v>
      </x:c>
    </x:row>
    <x:row r="2435">
      <x:c r="A2435" s="51" t="n">
        <x:v>45352</x:v>
      </x:c>
      <x:c r="B2435" s="14" t="str">
        <x:v>Sul</x:v>
      </x:c>
      <x:c r="C2435" s="14" t="str">
        <x:v>SUL</x:v>
      </x:c>
      <x:c r="D2435" s="53" t="str">
        <x:v>Cativo</x:v>
      </x:c>
      <x:c r="E2435" s="49" t="n">
        <x:v>2751057.503</x:v>
      </x:c>
      <x:c r="F2435" s="52" t="n">
        <x:v>11790379</x:v>
      </x:c>
      <x:c r="G2435" s="54" t="n">
        <x:v>46220</x:v>
      </x:c>
      <x:c r="H2435" s="14" t="str">
        <x:f>IF(E2435&lt;0,"Componente negativo — manter e investigar","OK")</x:f>
        <x:v>OK</x:v>
      </x:c>
    </x:row>
    <x:row r="2436">
      <x:c r="A2436" s="51" t="n">
        <x:v>45352</x:v>
      </x:c>
      <x:c r="B2436" s="14" t="str">
        <x:v>Sul</x:v>
      </x:c>
      <x:c r="C2436" s="14" t="str">
        <x:v>SUL</x:v>
      </x:c>
      <x:c r="D2436" s="53" t="str">
        <x:v>Livre</x:v>
      </x:c>
      <x:c r="E2436" s="49" t="n">
        <x:v>-128.156</x:v>
      </x:c>
      <x:c r="F2436" s="52" t="n">
        <x:v>0</x:v>
      </x:c>
      <x:c r="G2436" s="54" t="n">
        <x:v>46220</x:v>
      </x:c>
      <x:c r="H2436" s="14" t="str">
        <x:f>IF(E2436&lt;0,"Componente negativo — manter e investigar","OK")</x:f>
        <x:v>Componente negativo — manter e investigar</x:v>
      </x:c>
    </x:row>
    <x:row r="2437">
      <x:c r="A2437" s="51" t="n">
        <x:v>45383</x:v>
      </x:c>
      <x:c r="B2437" s="14" t="str">
        <x:v>Centro-Oeste</x:v>
      </x:c>
      <x:c r="C2437" s="14" t="str">
        <x:v>SUDESTE / CENTRO - OESTE</x:v>
      </x:c>
      <x:c r="D2437" s="53" t="str">
        <x:v>Cativo</x:v>
      </x:c>
      <x:c r="E2437" s="49" t="n">
        <x:v>1382254.7969999998</x:v>
      </x:c>
      <x:c r="F2437" s="52" t="n">
        <x:v>6334606</x:v>
      </x:c>
      <x:c r="G2437" s="54" t="n">
        <x:v>46220</x:v>
      </x:c>
      <x:c r="H2437" s="14" t="str">
        <x:f>IF(E2437&lt;0,"Componente negativo — manter e investigar","OK")</x:f>
        <x:v>OK</x:v>
      </x:c>
    </x:row>
    <x:row r="2438">
      <x:c r="A2438" s="51" t="n">
        <x:v>45383</x:v>
      </x:c>
      <x:c r="B2438" s="14" t="str">
        <x:v>Nordeste</x:v>
      </x:c>
      <x:c r="C2438" s="14" t="str">
        <x:v>NORDESTE</x:v>
      </x:c>
      <x:c r="D2438" s="53" t="str">
        <x:v>Cativo</x:v>
      </x:c>
      <x:c r="E2438" s="49" t="n">
        <x:v>2754173.0270000002</x:v>
      </x:c>
      <x:c r="F2438" s="52" t="n">
        <x:v>19685588</x:v>
      </x:c>
      <x:c r="G2438" s="54" t="n">
        <x:v>46220</x:v>
      </x:c>
      <x:c r="H2438" s="14" t="str">
        <x:f>IF(E2438&lt;0,"Componente negativo — manter e investigar","OK")</x:f>
        <x:v>OK</x:v>
      </x:c>
    </x:row>
    <x:row r="2439">
      <x:c r="A2439" s="51" t="n">
        <x:v>45383</x:v>
      </x:c>
      <x:c r="B2439" s="14" t="str">
        <x:v>Nordeste</x:v>
      </x:c>
      <x:c r="C2439" s="14" t="str">
        <x:v>NORDESTE</x:v>
      </x:c>
      <x:c r="D2439" s="53" t="str">
        <x:v>Livre</x:v>
      </x:c>
      <x:c r="E2439" s="49" t="n">
        <x:v>24.846</x:v>
      </x:c>
      <x:c r="F2439" s="52" t="n">
        <x:v>1</x:v>
      </x:c>
      <x:c r="G2439" s="54" t="n">
        <x:v>46220</x:v>
      </x:c>
      <x:c r="H2439" s="14" t="str">
        <x:f>IF(E2439&lt;0,"Componente negativo — manter e investigar","OK")</x:f>
        <x:v>OK</x:v>
      </x:c>
    </x:row>
    <x:row r="2440">
      <x:c r="A2440" s="51" t="n">
        <x:v>45383</x:v>
      </x:c>
      <x:c r="B2440" s="14" t="str">
        <x:v>Nordeste</x:v>
      </x:c>
      <x:c r="C2440" s="14" t="str">
        <x:v>NORTE INTERLIGADO</x:v>
      </x:c>
      <x:c r="D2440" s="53" t="str">
        <x:v>Cativo</x:v>
      </x:c>
      <x:c r="E2440" s="49" t="n">
        <x:v>397980.703</x:v>
      </x:c>
      <x:c r="F2440" s="52" t="n">
        <x:v>2530934</x:v>
      </x:c>
      <x:c r="G2440" s="54" t="n">
        <x:v>46220</x:v>
      </x:c>
      <x:c r="H2440" s="14" t="str">
        <x:f>IF(E2440&lt;0,"Componente negativo — manter e investigar","OK")</x:f>
        <x:v>OK</x:v>
      </x:c>
    </x:row>
    <x:row r="2441">
      <x:c r="A2441" s="51" t="n">
        <x:v>45383</x:v>
      </x:c>
      <x:c r="B2441" s="14" t="str">
        <x:v>Nordeste</x:v>
      </x:c>
      <x:c r="C2441" s="14" t="str">
        <x:v>NORTE INTERLIGADO</x:v>
      </x:c>
      <x:c r="D2441" s="53" t="str">
        <x:v>Livre</x:v>
      </x:c>
      <x:c r="E2441" s="49" t="n">
        <x:v>59.935</x:v>
      </x:c>
      <x:c r="F2441" s="52" t="n">
        <x:v>1</x:v>
      </x:c>
      <x:c r="G2441" s="54" t="n">
        <x:v>46220</x:v>
      </x:c>
      <x:c r="H2441" s="14" t="str">
        <x:f>IF(E2441&lt;0,"Componente negativo — manter e investigar","OK")</x:f>
        <x:v>OK</x:v>
      </x:c>
    </x:row>
    <x:row r="2442">
      <x:c r="A2442" s="51" t="n">
        <x:v>45383</x:v>
      </x:c>
      <x:c r="B2442" s="14" t="str">
        <x:v>Nordeste</x:v>
      </x:c>
      <x:c r="C2442" s="14" t="str">
        <x:v>SISTEMAS ISOLADOS</x:v>
      </x:c>
      <x:c r="D2442" s="53" t="str">
        <x:v>Cativo</x:v>
      </x:c>
      <x:c r="E2442" s="49" t="n">
        <x:v>975</x:v>
      </x:c>
      <x:c r="F2442" s="52" t="n">
        <x:v>706</x:v>
      </x:c>
      <x:c r="G2442" s="54" t="n">
        <x:v>46220</x:v>
      </x:c>
      <x:c r="H2442" s="14" t="str">
        <x:f>IF(E2442&lt;0,"Componente negativo — manter e investigar","OK")</x:f>
        <x:v>OK</x:v>
      </x:c>
    </x:row>
    <x:row r="2443">
      <x:c r="A2443" s="51" t="n">
        <x:v>45383</x:v>
      </x:c>
      <x:c r="B2443" s="14" t="str">
        <x:v>Norte</x:v>
      </x:c>
      <x:c r="C2443" s="14" t="str">
        <x:v>NORTE INTERLIGADO</x:v>
      </x:c>
      <x:c r="D2443" s="53" t="str">
        <x:v>Cativo</x:v>
      </x:c>
      <x:c r="E2443" s="49" t="n">
        <x:v>766387.453</x:v>
      </x:c>
      <x:c r="F2443" s="52" t="n">
        <x:v>3960865</x:v>
      </x:c>
      <x:c r="G2443" s="54" t="n">
        <x:v>46220</x:v>
      </x:c>
      <x:c r="H2443" s="14" t="str">
        <x:f>IF(E2443&lt;0,"Componente negativo — manter e investigar","OK")</x:f>
        <x:v>OK</x:v>
      </x:c>
    </x:row>
    <x:row r="2444">
      <x:c r="A2444" s="51" t="n">
        <x:v>45383</x:v>
      </x:c>
      <x:c r="B2444" s="14" t="str">
        <x:v>Norte</x:v>
      </x:c>
      <x:c r="C2444" s="14" t="str">
        <x:v>SISTEMAS ISOLADOS</x:v>
      </x:c>
      <x:c r="D2444" s="53" t="str">
        <x:v>Cativo</x:v>
      </x:c>
      <x:c r="E2444" s="49" t="n">
        <x:v>149839.104</x:v>
      </x:c>
      <x:c r="F2444" s="52" t="n">
        <x:v>611876</x:v>
      </x:c>
      <x:c r="G2444" s="54" t="n">
        <x:v>46220</x:v>
      </x:c>
      <x:c r="H2444" s="14" t="str">
        <x:f>IF(E2444&lt;0,"Componente negativo — manter e investigar","OK")</x:f>
        <x:v>OK</x:v>
      </x:c>
    </x:row>
    <x:row r="2445">
      <x:c r="A2445" s="51" t="n">
        <x:v>45383</x:v>
      </x:c>
      <x:c r="B2445" s="14" t="str">
        <x:v>Norte</x:v>
      </x:c>
      <x:c r="C2445" s="14" t="str">
        <x:v>SUDESTE / CENTRO - OESTE</x:v>
      </x:c>
      <x:c r="D2445" s="53" t="str">
        <x:v>Cativo</x:v>
      </x:c>
      <x:c r="E2445" s="49" t="n">
        <x:v>201654.608</x:v>
      </x:c>
      <x:c r="F2445" s="52" t="n">
        <x:v>735439</x:v>
      </x:c>
      <x:c r="G2445" s="54" t="n">
        <x:v>46220</x:v>
      </x:c>
      <x:c r="H2445" s="14" t="str">
        <x:f>IF(E2445&lt;0,"Componente negativo — manter e investigar","OK")</x:f>
        <x:v>OK</x:v>
      </x:c>
    </x:row>
    <x:row r="2446">
      <x:c r="A2446" s="51" t="n">
        <x:v>45383</x:v>
      </x:c>
      <x:c r="B2446" s="14" t="str">
        <x:v>Sudeste</x:v>
      </x:c>
      <x:c r="C2446" s="14" t="str">
        <x:v>SUDESTE / CENTRO - OESTE</x:v>
      </x:c>
      <x:c r="D2446" s="53" t="str">
        <x:v>Cativo</x:v>
      </x:c>
      <x:c r="E2446" s="49" t="n">
        <x:v>6714564.800999999</x:v>
      </x:c>
      <x:c r="F2446" s="52" t="n">
        <x:v>35808381</x:v>
      </x:c>
      <x:c r="G2446" s="54" t="n">
        <x:v>46220</x:v>
      </x:c>
      <x:c r="H2446" s="14" t="str">
        <x:f>IF(E2446&lt;0,"Componente negativo — manter e investigar","OK")</x:f>
        <x:v>OK</x:v>
      </x:c>
    </x:row>
    <x:row r="2447">
      <x:c r="A2447" s="51" t="n">
        <x:v>45383</x:v>
      </x:c>
      <x:c r="B2447" s="14" t="str">
        <x:v>Sudeste</x:v>
      </x:c>
      <x:c r="C2447" s="14" t="str">
        <x:v>SUDESTE / CENTRO - OESTE</x:v>
      </x:c>
      <x:c r="D2447" s="53" t="str">
        <x:v>Livre</x:v>
      </x:c>
      <x:c r="E2447" s="49" t="n">
        <x:v>464.831</x:v>
      </x:c>
      <x:c r="F2447" s="52" t="n">
        <x:v>4</x:v>
      </x:c>
      <x:c r="G2447" s="54" t="n">
        <x:v>46220</x:v>
      </x:c>
      <x:c r="H2447" s="14" t="str">
        <x:f>IF(E2447&lt;0,"Componente negativo — manter e investigar","OK")</x:f>
        <x:v>OK</x:v>
      </x:c>
    </x:row>
    <x:row r="2448">
      <x:c r="A2448" s="51" t="n">
        <x:v>45383</x:v>
      </x:c>
      <x:c r="B2448" s="14" t="str">
        <x:v>Sul</x:v>
      </x:c>
      <x:c r="C2448" s="14" t="str">
        <x:v>SUL</x:v>
      </x:c>
      <x:c r="D2448" s="53" t="str">
        <x:v>Cativo</x:v>
      </x:c>
      <x:c r="E2448" s="49" t="n">
        <x:v>2572691.1209999993</x:v>
      </x:c>
      <x:c r="F2448" s="52" t="n">
        <x:v>11796737</x:v>
      </x:c>
      <x:c r="G2448" s="54" t="n">
        <x:v>46220</x:v>
      </x:c>
      <x:c r="H2448" s="14" t="str">
        <x:f>IF(E2448&lt;0,"Componente negativo — manter e investigar","OK")</x:f>
        <x:v>OK</x:v>
      </x:c>
    </x:row>
    <x:row r="2449">
      <x:c r="A2449" s="51" t="n">
        <x:v>45413</x:v>
      </x:c>
      <x:c r="B2449" s="14" t="str">
        <x:v>Centro-Oeste</x:v>
      </x:c>
      <x:c r="C2449" s="14" t="str">
        <x:v>SUDESTE / CENTRO - OESTE</x:v>
      </x:c>
      <x:c r="D2449" s="53" t="str">
        <x:v>Cativo</x:v>
      </x:c>
      <x:c r="E2449" s="49" t="n">
        <x:v>1396686.023</x:v>
      </x:c>
      <x:c r="F2449" s="52" t="n">
        <x:v>6352533</x:v>
      </x:c>
      <x:c r="G2449" s="54" t="n">
        <x:v>46220</x:v>
      </x:c>
      <x:c r="H2449" s="14" t="str">
        <x:f>IF(E2449&lt;0,"Componente negativo — manter e investigar","OK")</x:f>
        <x:v>OK</x:v>
      </x:c>
    </x:row>
    <x:row r="2450">
      <x:c r="A2450" s="51" t="n">
        <x:v>45413</x:v>
      </x:c>
      <x:c r="B2450" s="14" t="str">
        <x:v>Nordeste</x:v>
      </x:c>
      <x:c r="C2450" s="14" t="str">
        <x:v>NORDESTE</x:v>
      </x:c>
      <x:c r="D2450" s="53" t="str">
        <x:v>Cativo</x:v>
      </x:c>
      <x:c r="E2450" s="49" t="n">
        <x:v>2676399.2060000002</x:v>
      </x:c>
      <x:c r="F2450" s="52" t="n">
        <x:v>19826004</x:v>
      </x:c>
      <x:c r="G2450" s="54" t="n">
        <x:v>46220</x:v>
      </x:c>
      <x:c r="H2450" s="14" t="str">
        <x:f>IF(E2450&lt;0,"Componente negativo — manter e investigar","OK")</x:f>
        <x:v>OK</x:v>
      </x:c>
    </x:row>
    <x:row r="2451">
      <x:c r="A2451" s="51" t="n">
        <x:v>45413</x:v>
      </x:c>
      <x:c r="B2451" s="14" t="str">
        <x:v>Nordeste</x:v>
      </x:c>
      <x:c r="C2451" s="14" t="str">
        <x:v>NORDESTE</x:v>
      </x:c>
      <x:c r="D2451" s="53" t="str">
        <x:v>Livre</x:v>
      </x:c>
      <x:c r="E2451" s="49" t="n">
        <x:v>32.682</x:v>
      </x:c>
      <x:c r="F2451" s="52" t="n">
        <x:v>1</x:v>
      </x:c>
      <x:c r="G2451" s="54" t="n">
        <x:v>46220</x:v>
      </x:c>
      <x:c r="H2451" s="14" t="str">
        <x:f>IF(E2451&lt;0,"Componente negativo — manter e investigar","OK")</x:f>
        <x:v>OK</x:v>
      </x:c>
    </x:row>
    <x:row r="2452">
      <x:c r="A2452" s="51" t="n">
        <x:v>45413</x:v>
      </x:c>
      <x:c r="B2452" s="14" t="str">
        <x:v>Nordeste</x:v>
      </x:c>
      <x:c r="C2452" s="14" t="str">
        <x:v>NORTE INTERLIGADO</x:v>
      </x:c>
      <x:c r="D2452" s="53" t="str">
        <x:v>Cativo</x:v>
      </x:c>
      <x:c r="E2452" s="49" t="n">
        <x:v>428694.5</x:v>
      </x:c>
      <x:c r="F2452" s="52" t="n">
        <x:v>2535290</x:v>
      </x:c>
      <x:c r="G2452" s="54" t="n">
        <x:v>46220</x:v>
      </x:c>
      <x:c r="H2452" s="14" t="str">
        <x:f>IF(E2452&lt;0,"Componente negativo — manter e investigar","OK")</x:f>
        <x:v>OK</x:v>
      </x:c>
    </x:row>
    <x:row r="2453">
      <x:c r="A2453" s="51" t="n">
        <x:v>45413</x:v>
      </x:c>
      <x:c r="B2453" s="14" t="str">
        <x:v>Nordeste</x:v>
      </x:c>
      <x:c r="C2453" s="14" t="str">
        <x:v>NORTE INTERLIGADO</x:v>
      </x:c>
      <x:c r="D2453" s="53" t="str">
        <x:v>Livre</x:v>
      </x:c>
      <x:c r="E2453" s="49" t="n">
        <x:v>65.032</x:v>
      </x:c>
      <x:c r="F2453" s="52" t="n">
        <x:v>1</x:v>
      </x:c>
      <x:c r="G2453" s="54" t="n">
        <x:v>46220</x:v>
      </x:c>
      <x:c r="H2453" s="14" t="str">
        <x:f>IF(E2453&lt;0,"Componente negativo — manter e investigar","OK")</x:f>
        <x:v>OK</x:v>
      </x:c>
    </x:row>
    <x:row r="2454">
      <x:c r="A2454" s="51" t="n">
        <x:v>45413</x:v>
      </x:c>
      <x:c r="B2454" s="14" t="str">
        <x:v>Nordeste</x:v>
      </x:c>
      <x:c r="C2454" s="14" t="str">
        <x:v>SISTEMAS ISOLADOS</x:v>
      </x:c>
      <x:c r="D2454" s="53" t="str">
        <x:v>Cativo</x:v>
      </x:c>
      <x:c r="E2454" s="49" t="n">
        <x:v>978</x:v>
      </x:c>
      <x:c r="F2454" s="52" t="n">
        <x:v>719</x:v>
      </x:c>
      <x:c r="G2454" s="54" t="n">
        <x:v>46220</x:v>
      </x:c>
      <x:c r="H2454" s="14" t="str">
        <x:f>IF(E2454&lt;0,"Componente negativo — manter e investigar","OK")</x:f>
        <x:v>OK</x:v>
      </x:c>
    </x:row>
    <x:row r="2455">
      <x:c r="A2455" s="51" t="n">
        <x:v>45413</x:v>
      </x:c>
      <x:c r="B2455" s="14" t="str">
        <x:v>Norte</x:v>
      </x:c>
      <x:c r="C2455" s="14" t="str">
        <x:v>NORTE INTERLIGADO</x:v>
      </x:c>
      <x:c r="D2455" s="53" t="str">
        <x:v>Cativo</x:v>
      </x:c>
      <x:c r="E2455" s="49" t="n">
        <x:v>787262.294</x:v>
      </x:c>
      <x:c r="F2455" s="52" t="n">
        <x:v>3940933</x:v>
      </x:c>
      <x:c r="G2455" s="54" t="n">
        <x:v>46220</x:v>
      </x:c>
      <x:c r="H2455" s="14" t="str">
        <x:f>IF(E2455&lt;0,"Componente negativo — manter e investigar","OK")</x:f>
        <x:v>OK</x:v>
      </x:c>
    </x:row>
    <x:row r="2456">
      <x:c r="A2456" s="51" t="n">
        <x:v>45413</x:v>
      </x:c>
      <x:c r="B2456" s="14" t="str">
        <x:v>Norte</x:v>
      </x:c>
      <x:c r="C2456" s="14" t="str">
        <x:v>SISTEMAS ISOLADOS</x:v>
      </x:c>
      <x:c r="D2456" s="53" t="str">
        <x:v>Cativo</x:v>
      </x:c>
      <x:c r="E2456" s="49" t="n">
        <x:v>138909.471</x:v>
      </x:c>
      <x:c r="F2456" s="52" t="n">
        <x:v>605808</x:v>
      </x:c>
      <x:c r="G2456" s="54" t="n">
        <x:v>46220</x:v>
      </x:c>
      <x:c r="H2456" s="14" t="str">
        <x:f>IF(E2456&lt;0,"Componente negativo — manter e investigar","OK")</x:f>
        <x:v>OK</x:v>
      </x:c>
    </x:row>
    <x:row r="2457">
      <x:c r="A2457" s="51" t="n">
        <x:v>45413</x:v>
      </x:c>
      <x:c r="B2457" s="14" t="str">
        <x:v>Norte</x:v>
      </x:c>
      <x:c r="C2457" s="14" t="str">
        <x:v>SUDESTE / CENTRO - OESTE</x:v>
      </x:c>
      <x:c r="D2457" s="53" t="str">
        <x:v>Cativo</x:v>
      </x:c>
      <x:c r="E2457" s="49" t="n">
        <x:v>210075.357</x:v>
      </x:c>
      <x:c r="F2457" s="52" t="n">
        <x:v>740006</x:v>
      </x:c>
      <x:c r="G2457" s="54" t="n">
        <x:v>46220</x:v>
      </x:c>
      <x:c r="H2457" s="14" t="str">
        <x:f>IF(E2457&lt;0,"Componente negativo — manter e investigar","OK")</x:f>
        <x:v>OK</x:v>
      </x:c>
    </x:row>
    <x:row r="2458">
      <x:c r="A2458" s="51" t="n">
        <x:v>45413</x:v>
      </x:c>
      <x:c r="B2458" s="14" t="str">
        <x:v>Sudeste</x:v>
      </x:c>
      <x:c r="C2458" s="14" t="str">
        <x:v>SUDESTE / CENTRO - OESTE</x:v>
      </x:c>
      <x:c r="D2458" s="53" t="str">
        <x:v>Cativo</x:v>
      </x:c>
      <x:c r="E2458" s="49" t="n">
        <x:v>6869187.266</x:v>
      </x:c>
      <x:c r="F2458" s="52" t="n">
        <x:v>35979458</x:v>
      </x:c>
      <x:c r="G2458" s="54" t="n">
        <x:v>46220</x:v>
      </x:c>
      <x:c r="H2458" s="14" t="str">
        <x:f>IF(E2458&lt;0,"Componente negativo — manter e investigar","OK")</x:f>
        <x:v>OK</x:v>
      </x:c>
    </x:row>
    <x:row r="2459">
      <x:c r="A2459" s="51" t="n">
        <x:v>45413</x:v>
      </x:c>
      <x:c r="B2459" s="14" t="str">
        <x:v>Sudeste</x:v>
      </x:c>
      <x:c r="C2459" s="14" t="str">
        <x:v>SUDESTE / CENTRO - OESTE</x:v>
      </x:c>
      <x:c r="D2459" s="53" t="str">
        <x:v>Livre</x:v>
      </x:c>
      <x:c r="E2459" s="49" t="n">
        <x:v>492.826</x:v>
      </x:c>
      <x:c r="F2459" s="52" t="n">
        <x:v>5</x:v>
      </x:c>
      <x:c r="G2459" s="54" t="n">
        <x:v>46220</x:v>
      </x:c>
      <x:c r="H2459" s="14" t="str">
        <x:f>IF(E2459&lt;0,"Componente negativo — manter e investigar","OK")</x:f>
        <x:v>OK</x:v>
      </x:c>
    </x:row>
    <x:row r="2460">
      <x:c r="A2460" s="51" t="n">
        <x:v>45413</x:v>
      </x:c>
      <x:c r="B2460" s="14" t="str">
        <x:v>Sul</x:v>
      </x:c>
      <x:c r="C2460" s="14" t="str">
        <x:v>SUL</x:v>
      </x:c>
      <x:c r="D2460" s="53" t="str">
        <x:v>Cativo</x:v>
      </x:c>
      <x:c r="E2460" s="49" t="n">
        <x:v>2346266.641</x:v>
      </x:c>
      <x:c r="F2460" s="52" t="n">
        <x:v>11449247</x:v>
      </x:c>
      <x:c r="G2460" s="54" t="n">
        <x:v>46220</x:v>
      </x:c>
      <x:c r="H2460" s="14" t="str">
        <x:f>IF(E2460&lt;0,"Componente negativo — manter e investigar","OK")</x:f>
        <x:v>OK</x:v>
      </x:c>
    </x:row>
    <x:row r="2461">
      <x:c r="A2461" s="51" t="n">
        <x:v>45413</x:v>
      </x:c>
      <x:c r="B2461" s="14" t="str">
        <x:v>Sul</x:v>
      </x:c>
      <x:c r="C2461" s="14" t="str">
        <x:v>SUL</x:v>
      </x:c>
      <x:c r="D2461" s="53" t="str">
        <x:v>Livre</x:v>
      </x:c>
      <x:c r="E2461" s="49" t="n">
        <x:v>0.497</x:v>
      </x:c>
      <x:c r="F2461" s="52" t="n">
        <x:v>1</x:v>
      </x:c>
      <x:c r="G2461" s="54" t="n">
        <x:v>46220</x:v>
      </x:c>
      <x:c r="H2461" s="14" t="str">
        <x:f>IF(E2461&lt;0,"Componente negativo — manter e investigar","OK")</x:f>
        <x:v>OK</x:v>
      </x:c>
    </x:row>
    <x:row r="2462">
      <x:c r="A2462" s="51" t="n">
        <x:v>45444</x:v>
      </x:c>
      <x:c r="B2462" s="14" t="str">
        <x:v>Centro-Oeste</x:v>
      </x:c>
      <x:c r="C2462" s="14" t="str">
        <x:v>SUDESTE / CENTRO - OESTE</x:v>
      </x:c>
      <x:c r="D2462" s="53" t="str">
        <x:v>Cativo</x:v>
      </x:c>
      <x:c r="E2462" s="49" t="n">
        <x:v>1232245.066</x:v>
      </x:c>
      <x:c r="F2462" s="52" t="n">
        <x:v>6361663</x:v>
      </x:c>
      <x:c r="G2462" s="54" t="n">
        <x:v>46220</x:v>
      </x:c>
      <x:c r="H2462" s="14" t="str">
        <x:f>IF(E2462&lt;0,"Componente negativo — manter e investigar","OK")</x:f>
        <x:v>OK</x:v>
      </x:c>
    </x:row>
    <x:row r="2463">
      <x:c r="A2463" s="51" t="n">
        <x:v>45444</x:v>
      </x:c>
      <x:c r="B2463" s="14" t="str">
        <x:v>Nordeste</x:v>
      </x:c>
      <x:c r="C2463" s="14" t="str">
        <x:v>NORDESTE</x:v>
      </x:c>
      <x:c r="D2463" s="53" t="str">
        <x:v>Cativo</x:v>
      </x:c>
      <x:c r="E2463" s="49" t="n">
        <x:v>2559749.1980000003</x:v>
      </x:c>
      <x:c r="F2463" s="52" t="n">
        <x:v>19769850</x:v>
      </x:c>
      <x:c r="G2463" s="54" t="n">
        <x:v>46220</x:v>
      </x:c>
      <x:c r="H2463" s="14" t="str">
        <x:f>IF(E2463&lt;0,"Componente negativo — manter e investigar","OK")</x:f>
        <x:v>OK</x:v>
      </x:c>
    </x:row>
    <x:row r="2464">
      <x:c r="A2464" s="51" t="n">
        <x:v>45444</x:v>
      </x:c>
      <x:c r="B2464" s="14" t="str">
        <x:v>Nordeste</x:v>
      </x:c>
      <x:c r="C2464" s="14" t="str">
        <x:v>NORDESTE</x:v>
      </x:c>
      <x:c r="D2464" s="53" t="str">
        <x:v>Livre</x:v>
      </x:c>
      <x:c r="E2464" s="49" t="n">
        <x:v>41.165</x:v>
      </x:c>
      <x:c r="F2464" s="52" t="n">
        <x:v>1</x:v>
      </x:c>
      <x:c r="G2464" s="54" t="n">
        <x:v>46220</x:v>
      </x:c>
      <x:c r="H2464" s="14" t="str">
        <x:f>IF(E2464&lt;0,"Componente negativo — manter e investigar","OK")</x:f>
        <x:v>OK</x:v>
      </x:c>
    </x:row>
    <x:row r="2465">
      <x:c r="A2465" s="51" t="n">
        <x:v>45444</x:v>
      </x:c>
      <x:c r="B2465" s="14" t="str">
        <x:v>Nordeste</x:v>
      </x:c>
      <x:c r="C2465" s="14" t="str">
        <x:v>NORTE INTERLIGADO</x:v>
      </x:c>
      <x:c r="D2465" s="53" t="str">
        <x:v>Cativo</x:v>
      </x:c>
      <x:c r="E2465" s="49" t="n">
        <x:v>436711.627</x:v>
      </x:c>
      <x:c r="F2465" s="52" t="n">
        <x:v>2540932</x:v>
      </x:c>
      <x:c r="G2465" s="54" t="n">
        <x:v>46220</x:v>
      </x:c>
      <x:c r="H2465" s="14" t="str">
        <x:f>IF(E2465&lt;0,"Componente negativo — manter e investigar","OK")</x:f>
        <x:v>OK</x:v>
      </x:c>
    </x:row>
    <x:row r="2466">
      <x:c r="A2466" s="51" t="n">
        <x:v>45444</x:v>
      </x:c>
      <x:c r="B2466" s="14" t="str">
        <x:v>Nordeste</x:v>
      </x:c>
      <x:c r="C2466" s="14" t="str">
        <x:v>NORTE INTERLIGADO</x:v>
      </x:c>
      <x:c r="D2466" s="53" t="str">
        <x:v>Livre</x:v>
      </x:c>
      <x:c r="E2466" s="49" t="n">
        <x:v>57.512</x:v>
      </x:c>
      <x:c r="F2466" s="52" t="n">
        <x:v>1</x:v>
      </x:c>
      <x:c r="G2466" s="54" t="n">
        <x:v>46220</x:v>
      </x:c>
      <x:c r="H2466" s="14" t="str">
        <x:f>IF(E2466&lt;0,"Componente negativo — manter e investigar","OK")</x:f>
        <x:v>OK</x:v>
      </x:c>
    </x:row>
    <x:row r="2467">
      <x:c r="A2467" s="51" t="n">
        <x:v>45444</x:v>
      </x:c>
      <x:c r="B2467" s="14" t="str">
        <x:v>Nordeste</x:v>
      </x:c>
      <x:c r="C2467" s="14" t="str">
        <x:v>SISTEMAS ISOLADOS</x:v>
      </x:c>
      <x:c r="D2467" s="53" t="str">
        <x:v>Cativo</x:v>
      </x:c>
      <x:c r="E2467" s="49" t="n">
        <x:v>744</x:v>
      </x:c>
      <x:c r="F2467" s="52" t="n">
        <x:v>644</x:v>
      </x:c>
      <x:c r="G2467" s="54" t="n">
        <x:v>46220</x:v>
      </x:c>
      <x:c r="H2467" s="14" t="str">
        <x:f>IF(E2467&lt;0,"Componente negativo — manter e investigar","OK")</x:f>
        <x:v>OK</x:v>
      </x:c>
    </x:row>
    <x:row r="2468">
      <x:c r="A2468" s="51" t="n">
        <x:v>45444</x:v>
      </x:c>
      <x:c r="B2468" s="14" t="str">
        <x:v>Norte</x:v>
      </x:c>
      <x:c r="C2468" s="14" t="str">
        <x:v>NORTE INTERLIGADO</x:v>
      </x:c>
      <x:c r="D2468" s="53" t="str">
        <x:v>Cativo</x:v>
      </x:c>
      <x:c r="E2468" s="49" t="n">
        <x:v>807188.521</x:v>
      </x:c>
      <x:c r="F2468" s="52" t="n">
        <x:v>3976668</x:v>
      </x:c>
      <x:c r="G2468" s="54" t="n">
        <x:v>46220</x:v>
      </x:c>
      <x:c r="H2468" s="14" t="str">
        <x:f>IF(E2468&lt;0,"Componente negativo — manter e investigar","OK")</x:f>
        <x:v>OK</x:v>
      </x:c>
    </x:row>
    <x:row r="2469">
      <x:c r="A2469" s="51" t="n">
        <x:v>45444</x:v>
      </x:c>
      <x:c r="B2469" s="14" t="str">
        <x:v>Norte</x:v>
      </x:c>
      <x:c r="C2469" s="14" t="str">
        <x:v>SISTEMAS ISOLADOS</x:v>
      </x:c>
      <x:c r="D2469" s="53" t="str">
        <x:v>Cativo</x:v>
      </x:c>
      <x:c r="E2469" s="49" t="n">
        <x:v>124668.294</x:v>
      </x:c>
      <x:c r="F2469" s="52" t="n">
        <x:v>616433</x:v>
      </x:c>
      <x:c r="G2469" s="54" t="n">
        <x:v>46220</x:v>
      </x:c>
      <x:c r="H2469" s="14" t="str">
        <x:f>IF(E2469&lt;0,"Componente negativo — manter e investigar","OK")</x:f>
        <x:v>OK</x:v>
      </x:c>
    </x:row>
    <x:row r="2470">
      <x:c r="A2470" s="51" t="n">
        <x:v>45444</x:v>
      </x:c>
      <x:c r="B2470" s="14" t="str">
        <x:v>Norte</x:v>
      </x:c>
      <x:c r="C2470" s="14" t="str">
        <x:v>SUDESTE / CENTRO - OESTE</x:v>
      </x:c>
      <x:c r="D2470" s="53" t="str">
        <x:v>Cativo</x:v>
      </x:c>
      <x:c r="E2470" s="49" t="n">
        <x:v>185308.483</x:v>
      </x:c>
      <x:c r="F2470" s="52" t="n">
        <x:v>741249</x:v>
      </x:c>
      <x:c r="G2470" s="54" t="n">
        <x:v>46220</x:v>
      </x:c>
      <x:c r="H2470" s="14" t="str">
        <x:f>IF(E2470&lt;0,"Componente negativo — manter e investigar","OK")</x:f>
        <x:v>OK</x:v>
      </x:c>
    </x:row>
    <x:row r="2471">
      <x:c r="A2471" s="51" t="n">
        <x:v>45444</x:v>
      </x:c>
      <x:c r="B2471" s="14" t="str">
        <x:v>Sudeste</x:v>
      </x:c>
      <x:c r="C2471" s="14" t="str">
        <x:v>SUDESTE / CENTRO - OESTE</x:v>
      </x:c>
      <x:c r="D2471" s="53" t="str">
        <x:v>Cativo</x:v>
      </x:c>
      <x:c r="E2471" s="49" t="n">
        <x:v>6346983.877000001</x:v>
      </x:c>
      <x:c r="F2471" s="52" t="n">
        <x:v>36057370</x:v>
      </x:c>
      <x:c r="G2471" s="54" t="n">
        <x:v>46220</x:v>
      </x:c>
      <x:c r="H2471" s="14" t="str">
        <x:f>IF(E2471&lt;0,"Componente negativo — manter e investigar","OK")</x:f>
        <x:v>OK</x:v>
      </x:c>
    </x:row>
    <x:row r="2472">
      <x:c r="A2472" s="51" t="n">
        <x:v>45444</x:v>
      </x:c>
      <x:c r="B2472" s="14" t="str">
        <x:v>Sudeste</x:v>
      </x:c>
      <x:c r="C2472" s="14" t="str">
        <x:v>SUDESTE / CENTRO - OESTE</x:v>
      </x:c>
      <x:c r="D2472" s="53" t="str">
        <x:v>Livre</x:v>
      </x:c>
      <x:c r="E2472" s="49" t="n">
        <x:v>499.696</x:v>
      </x:c>
      <x:c r="F2472" s="52" t="n">
        <x:v>6</x:v>
      </x:c>
      <x:c r="G2472" s="54" t="n">
        <x:v>46220</x:v>
      </x:c>
      <x:c r="H2472" s="14" t="str">
        <x:f>IF(E2472&lt;0,"Componente negativo — manter e investigar","OK")</x:f>
        <x:v>OK</x:v>
      </x:c>
    </x:row>
    <x:row r="2473">
      <x:c r="A2473" s="51" t="n">
        <x:v>45444</x:v>
      </x:c>
      <x:c r="B2473" s="14" t="str">
        <x:v>Sul</x:v>
      </x:c>
      <x:c r="C2473" s="14" t="str">
        <x:v>SUL</x:v>
      </x:c>
      <x:c r="D2473" s="53" t="str">
        <x:v>Cativo</x:v>
      </x:c>
      <x:c r="E2473" s="49" t="n">
        <x:v>2277394.204</x:v>
      </x:c>
      <x:c r="F2473" s="52" t="n">
        <x:v>11468864</x:v>
      </x:c>
      <x:c r="G2473" s="54" t="n">
        <x:v>46220</x:v>
      </x:c>
      <x:c r="H2473" s="14" t="str">
        <x:f>IF(E2473&lt;0,"Componente negativo — manter e investigar","OK")</x:f>
        <x:v>OK</x:v>
      </x:c>
    </x:row>
    <x:row r="2474">
      <x:c r="A2474" s="51" t="n">
        <x:v>45444</x:v>
      </x:c>
      <x:c r="B2474" s="14" t="str">
        <x:v>Sul</x:v>
      </x:c>
      <x:c r="C2474" s="14" t="str">
        <x:v>SUL</x:v>
      </x:c>
      <x:c r="D2474" s="53" t="str">
        <x:v>Livre</x:v>
      </x:c>
      <x:c r="E2474" s="49" t="n">
        <x:v>9.109</x:v>
      </x:c>
      <x:c r="F2474" s="52" t="n">
        <x:v>2</x:v>
      </x:c>
      <x:c r="G2474" s="54" t="n">
        <x:v>46220</x:v>
      </x:c>
      <x:c r="H2474" s="14" t="str">
        <x:f>IF(E2474&lt;0,"Componente negativo — manter e investigar","OK")</x:f>
        <x:v>OK</x:v>
      </x:c>
    </x:row>
    <x:row r="2475">
      <x:c r="A2475" s="51" t="n">
        <x:v>45474</x:v>
      </x:c>
      <x:c r="B2475" s="14" t="str">
        <x:v>Centro-Oeste</x:v>
      </x:c>
      <x:c r="C2475" s="14" t="str">
        <x:v>SUDESTE / CENTRO - OESTE</x:v>
      </x:c>
      <x:c r="D2475" s="53" t="str">
        <x:v>Cativo</x:v>
      </x:c>
      <x:c r="E2475" s="49" t="n">
        <x:v>1194277.0559999999</x:v>
      </x:c>
      <x:c r="F2475" s="52" t="n">
        <x:v>6390388</x:v>
      </x:c>
      <x:c r="G2475" s="54" t="n">
        <x:v>46220</x:v>
      </x:c>
      <x:c r="H2475" s="14" t="str">
        <x:f>IF(E2475&lt;0,"Componente negativo — manter e investigar","OK")</x:f>
        <x:v>OK</x:v>
      </x:c>
    </x:row>
    <x:row r="2476">
      <x:c r="A2476" s="51" t="n">
        <x:v>45474</x:v>
      </x:c>
      <x:c r="B2476" s="14" t="str">
        <x:v>Nordeste</x:v>
      </x:c>
      <x:c r="C2476" s="14" t="str">
        <x:v>NORDESTE</x:v>
      </x:c>
      <x:c r="D2476" s="53" t="str">
        <x:v>Cativo</x:v>
      </x:c>
      <x:c r="E2476" s="49" t="n">
        <x:v>2380085.039</x:v>
      </x:c>
      <x:c r="F2476" s="52" t="n">
        <x:v>19892866</x:v>
      </x:c>
      <x:c r="G2476" s="54" t="n">
        <x:v>46220</x:v>
      </x:c>
      <x:c r="H2476" s="14" t="str">
        <x:f>IF(E2476&lt;0,"Componente negativo — manter e investigar","OK")</x:f>
        <x:v>OK</x:v>
      </x:c>
    </x:row>
    <x:row r="2477">
      <x:c r="A2477" s="51" t="n">
        <x:v>45474</x:v>
      </x:c>
      <x:c r="B2477" s="14" t="str">
        <x:v>Nordeste</x:v>
      </x:c>
      <x:c r="C2477" s="14" t="str">
        <x:v>NORDESTE</x:v>
      </x:c>
      <x:c r="D2477" s="53" t="str">
        <x:v>Livre</x:v>
      </x:c>
      <x:c r="E2477" s="49" t="n">
        <x:v>33.684</x:v>
      </x:c>
      <x:c r="F2477" s="52" t="n">
        <x:v>1</x:v>
      </x:c>
      <x:c r="G2477" s="54" t="n">
        <x:v>46220</x:v>
      </x:c>
      <x:c r="H2477" s="14" t="str">
        <x:f>IF(E2477&lt;0,"Componente negativo — manter e investigar","OK")</x:f>
        <x:v>OK</x:v>
      </x:c>
    </x:row>
    <x:row r="2478">
      <x:c r="A2478" s="51" t="n">
        <x:v>45474</x:v>
      </x:c>
      <x:c r="B2478" s="14" t="str">
        <x:v>Nordeste</x:v>
      </x:c>
      <x:c r="C2478" s="14" t="str">
        <x:v>NORTE INTERLIGADO</x:v>
      </x:c>
      <x:c r="D2478" s="53" t="str">
        <x:v>Cativo</x:v>
      </x:c>
      <x:c r="E2478" s="49" t="n">
        <x:v>416084.646</x:v>
      </x:c>
      <x:c r="F2478" s="52" t="n">
        <x:v>2603866</x:v>
      </x:c>
      <x:c r="G2478" s="54" t="n">
        <x:v>46220</x:v>
      </x:c>
      <x:c r="H2478" s="14" t="str">
        <x:f>IF(E2478&lt;0,"Componente negativo — manter e investigar","OK")</x:f>
        <x:v>OK</x:v>
      </x:c>
    </x:row>
    <x:row r="2479">
      <x:c r="A2479" s="51" t="n">
        <x:v>45474</x:v>
      </x:c>
      <x:c r="B2479" s="14" t="str">
        <x:v>Nordeste</x:v>
      </x:c>
      <x:c r="C2479" s="14" t="str">
        <x:v>NORTE INTERLIGADO</x:v>
      </x:c>
      <x:c r="D2479" s="53" t="str">
        <x:v>Livre</x:v>
      </x:c>
      <x:c r="E2479" s="49" t="n">
        <x:v>61.563</x:v>
      </x:c>
      <x:c r="F2479" s="52" t="n">
        <x:v>1</x:v>
      </x:c>
      <x:c r="G2479" s="54" t="n">
        <x:v>46220</x:v>
      </x:c>
      <x:c r="H2479" s="14" t="str">
        <x:f>IF(E2479&lt;0,"Componente negativo — manter e investigar","OK")</x:f>
        <x:v>OK</x:v>
      </x:c>
    </x:row>
    <x:row r="2480">
      <x:c r="A2480" s="51" t="n">
        <x:v>45474</x:v>
      </x:c>
      <x:c r="B2480" s="14" t="str">
        <x:v>Nordeste</x:v>
      </x:c>
      <x:c r="C2480" s="14" t="str">
        <x:v>SISTEMAS ISOLADOS</x:v>
      </x:c>
      <x:c r="D2480" s="53" t="str">
        <x:v>Cativo</x:v>
      </x:c>
      <x:c r="E2480" s="49" t="n">
        <x:v>886</x:v>
      </x:c>
      <x:c r="F2480" s="52" t="n">
        <x:v>724</x:v>
      </x:c>
      <x:c r="G2480" s="54" t="n">
        <x:v>46220</x:v>
      </x:c>
      <x:c r="H2480" s="14" t="str">
        <x:f>IF(E2480&lt;0,"Componente negativo — manter e investigar","OK")</x:f>
        <x:v>OK</x:v>
      </x:c>
    </x:row>
    <x:row r="2481">
      <x:c r="A2481" s="51" t="n">
        <x:v>45474</x:v>
      </x:c>
      <x:c r="B2481" s="14" t="str">
        <x:v>Norte</x:v>
      </x:c>
      <x:c r="C2481" s="14" t="str">
        <x:v>NORTE INTERLIGADO</x:v>
      </x:c>
      <x:c r="D2481" s="53" t="str">
        <x:v>Cativo</x:v>
      </x:c>
      <x:c r="E2481" s="49" t="n">
        <x:v>818953.121</x:v>
      </x:c>
      <x:c r="F2481" s="52" t="n">
        <x:v>3981558</x:v>
      </x:c>
      <x:c r="G2481" s="54" t="n">
        <x:v>46220</x:v>
      </x:c>
      <x:c r="H2481" s="14" t="str">
        <x:f>IF(E2481&lt;0,"Componente negativo — manter e investigar","OK")</x:f>
        <x:v>OK</x:v>
      </x:c>
    </x:row>
    <x:row r="2482">
      <x:c r="A2482" s="51" t="n">
        <x:v>45474</x:v>
      </x:c>
      <x:c r="B2482" s="14" t="str">
        <x:v>Norte</x:v>
      </x:c>
      <x:c r="C2482" s="14" t="str">
        <x:v>SISTEMAS ISOLADOS</x:v>
      </x:c>
      <x:c r="D2482" s="53" t="str">
        <x:v>Cativo</x:v>
      </x:c>
      <x:c r="E2482" s="49" t="n">
        <x:v>132689.764</x:v>
      </x:c>
      <x:c r="F2482" s="52" t="n">
        <x:v>617660</x:v>
      </x:c>
      <x:c r="G2482" s="54" t="n">
        <x:v>46220</x:v>
      </x:c>
      <x:c r="H2482" s="14" t="str">
        <x:f>IF(E2482&lt;0,"Componente negativo — manter e investigar","OK")</x:f>
        <x:v>OK</x:v>
      </x:c>
    </x:row>
    <x:row r="2483">
      <x:c r="A2483" s="51" t="n">
        <x:v>45474</x:v>
      </x:c>
      <x:c r="B2483" s="14" t="str">
        <x:v>Norte</x:v>
      </x:c>
      <x:c r="C2483" s="14" t="str">
        <x:v>SUDESTE / CENTRO - OESTE</x:v>
      </x:c>
      <x:c r="D2483" s="53" t="str">
        <x:v>Cativo</x:v>
      </x:c>
      <x:c r="E2483" s="49" t="n">
        <x:v>192132.642</x:v>
      </x:c>
      <x:c r="F2483" s="52" t="n">
        <x:v>746197</x:v>
      </x:c>
      <x:c r="G2483" s="54" t="n">
        <x:v>46220</x:v>
      </x:c>
      <x:c r="H2483" s="14" t="str">
        <x:f>IF(E2483&lt;0,"Componente negativo — manter e investigar","OK")</x:f>
        <x:v>OK</x:v>
      </x:c>
    </x:row>
    <x:row r="2484">
      <x:c r="A2484" s="51" t="n">
        <x:v>45474</x:v>
      </x:c>
      <x:c r="B2484" s="14" t="str">
        <x:v>Sudeste</x:v>
      </x:c>
      <x:c r="C2484" s="14" t="str">
        <x:v>SUDESTE / CENTRO - OESTE</x:v>
      </x:c>
      <x:c r="D2484" s="53" t="str">
        <x:v>Cativo</x:v>
      </x:c>
      <x:c r="E2484" s="49" t="n">
        <x:v>6045577.219</x:v>
      </x:c>
      <x:c r="F2484" s="52" t="n">
        <x:v>36102520</x:v>
      </x:c>
      <x:c r="G2484" s="54" t="n">
        <x:v>46220</x:v>
      </x:c>
      <x:c r="H2484" s="14" t="str">
        <x:f>IF(E2484&lt;0,"Componente negativo — manter e investigar","OK")</x:f>
        <x:v>OK</x:v>
      </x:c>
    </x:row>
    <x:row r="2485">
      <x:c r="A2485" s="51" t="n">
        <x:v>45474</x:v>
      </x:c>
      <x:c r="B2485" s="14" t="str">
        <x:v>Sudeste</x:v>
      </x:c>
      <x:c r="C2485" s="14" t="str">
        <x:v>SUDESTE / CENTRO - OESTE</x:v>
      </x:c>
      <x:c r="D2485" s="53" t="str">
        <x:v>Livre</x:v>
      </x:c>
      <x:c r="E2485" s="49" t="n">
        <x:v>576.147</x:v>
      </x:c>
      <x:c r="F2485" s="52" t="n">
        <x:v>6</x:v>
      </x:c>
      <x:c r="G2485" s="54" t="n">
        <x:v>46220</x:v>
      </x:c>
      <x:c r="H2485" s="14" t="str">
        <x:f>IF(E2485&lt;0,"Componente negativo — manter e investigar","OK")</x:f>
        <x:v>OK</x:v>
      </x:c>
    </x:row>
    <x:row r="2486">
      <x:c r="A2486" s="51" t="n">
        <x:v>45474</x:v>
      </x:c>
      <x:c r="B2486" s="14" t="str">
        <x:v>Sul</x:v>
      </x:c>
      <x:c r="C2486" s="14" t="str">
        <x:v>SUL</x:v>
      </x:c>
      <x:c r="D2486" s="53" t="str">
        <x:v>Cativo</x:v>
      </x:c>
      <x:c r="E2486" s="49" t="n">
        <x:v>2248232.6590000005</x:v>
      </x:c>
      <x:c r="F2486" s="52" t="n">
        <x:v>11536241</x:v>
      </x:c>
      <x:c r="G2486" s="54" t="n">
        <x:v>46220</x:v>
      </x:c>
      <x:c r="H2486" s="14" t="str">
        <x:f>IF(E2486&lt;0,"Componente negativo — manter e investigar","OK")</x:f>
        <x:v>OK</x:v>
      </x:c>
    </x:row>
    <x:row r="2487">
      <x:c r="A2487" s="51" t="n">
        <x:v>45474</x:v>
      </x:c>
      <x:c r="B2487" s="14" t="str">
        <x:v>Sul</x:v>
      </x:c>
      <x:c r="C2487" s="14" t="str">
        <x:v>SUL</x:v>
      </x:c>
      <x:c r="D2487" s="53" t="str">
        <x:v>Livre</x:v>
      </x:c>
      <x:c r="E2487" s="49" t="n">
        <x:v>13.647</x:v>
      </x:c>
      <x:c r="F2487" s="52" t="n">
        <x:v>2</x:v>
      </x:c>
      <x:c r="G2487" s="54" t="n">
        <x:v>46220</x:v>
      </x:c>
      <x:c r="H2487" s="14" t="str">
        <x:f>IF(E2487&lt;0,"Componente negativo — manter e investigar","OK")</x:f>
        <x:v>OK</x:v>
      </x:c>
    </x:row>
    <x:row r="2488">
      <x:c r="A2488" s="51" t="n">
        <x:v>45505</x:v>
      </x:c>
      <x:c r="B2488" s="14" t="str">
        <x:v>Centro-Oeste</x:v>
      </x:c>
      <x:c r="C2488" s="14" t="str">
        <x:v>SUDESTE / CENTRO - OESTE</x:v>
      </x:c>
      <x:c r="D2488" s="53" t="str">
        <x:v>Cativo</x:v>
      </x:c>
      <x:c r="E2488" s="49" t="n">
        <x:v>1229234.373</x:v>
      </x:c>
      <x:c r="F2488" s="52" t="n">
        <x:v>6407907</x:v>
      </x:c>
      <x:c r="G2488" s="54" t="n">
        <x:v>46220</x:v>
      </x:c>
      <x:c r="H2488" s="14" t="str">
        <x:f>IF(E2488&lt;0,"Componente negativo — manter e investigar","OK")</x:f>
        <x:v>OK</x:v>
      </x:c>
    </x:row>
    <x:row r="2489">
      <x:c r="A2489" s="51" t="n">
        <x:v>45505</x:v>
      </x:c>
      <x:c r="B2489" s="14" t="str">
        <x:v>Nordeste</x:v>
      </x:c>
      <x:c r="C2489" s="14" t="str">
        <x:v>NORDESTE</x:v>
      </x:c>
      <x:c r="D2489" s="53" t="str">
        <x:v>Cativo</x:v>
      </x:c>
      <x:c r="E2489" s="49" t="n">
        <x:v>2417100.692</x:v>
      </x:c>
      <x:c r="F2489" s="52" t="n">
        <x:v>19889347</x:v>
      </x:c>
      <x:c r="G2489" s="54" t="n">
        <x:v>46220</x:v>
      </x:c>
      <x:c r="H2489" s="14" t="str">
        <x:f>IF(E2489&lt;0,"Componente negativo — manter e investigar","OK")</x:f>
        <x:v>OK</x:v>
      </x:c>
    </x:row>
    <x:row r="2490">
      <x:c r="A2490" s="51" t="n">
        <x:v>45505</x:v>
      </x:c>
      <x:c r="B2490" s="14" t="str">
        <x:v>Nordeste</x:v>
      </x:c>
      <x:c r="C2490" s="14" t="str">
        <x:v>NORDESTE</x:v>
      </x:c>
      <x:c r="D2490" s="53" t="str">
        <x:v>Livre</x:v>
      </x:c>
      <x:c r="E2490" s="49" t="n">
        <x:v>31.388</x:v>
      </x:c>
      <x:c r="F2490" s="52" t="n">
        <x:v>1</x:v>
      </x:c>
      <x:c r="G2490" s="54" t="n">
        <x:v>46220</x:v>
      </x:c>
      <x:c r="H2490" s="14" t="str">
        <x:f>IF(E2490&lt;0,"Componente negativo — manter e investigar","OK")</x:f>
        <x:v>OK</x:v>
      </x:c>
    </x:row>
    <x:row r="2491">
      <x:c r="A2491" s="51" t="n">
        <x:v>45505</x:v>
      </x:c>
      <x:c r="B2491" s="14" t="str">
        <x:v>Nordeste</x:v>
      </x:c>
      <x:c r="C2491" s="14" t="str">
        <x:v>NORTE INTERLIGADO</x:v>
      </x:c>
      <x:c r="D2491" s="53" t="str">
        <x:v>Cativo</x:v>
      </x:c>
      <x:c r="E2491" s="49" t="n">
        <x:v>421378.833</x:v>
      </x:c>
      <x:c r="F2491" s="52" t="n">
        <x:v>2558661</x:v>
      </x:c>
      <x:c r="G2491" s="54" t="n">
        <x:v>46220</x:v>
      </x:c>
      <x:c r="H2491" s="14" t="str">
        <x:f>IF(E2491&lt;0,"Componente negativo — manter e investigar","OK")</x:f>
        <x:v>OK</x:v>
      </x:c>
    </x:row>
    <x:row r="2492">
      <x:c r="A2492" s="51" t="n">
        <x:v>45505</x:v>
      </x:c>
      <x:c r="B2492" s="14" t="str">
        <x:v>Nordeste</x:v>
      </x:c>
      <x:c r="C2492" s="14" t="str">
        <x:v>NORTE INTERLIGADO</x:v>
      </x:c>
      <x:c r="D2492" s="53" t="str">
        <x:v>Livre</x:v>
      </x:c>
      <x:c r="E2492" s="49" t="n">
        <x:v>67.317</x:v>
      </x:c>
      <x:c r="F2492" s="52" t="n">
        <x:v>2</x:v>
      </x:c>
      <x:c r="G2492" s="54" t="n">
        <x:v>46220</x:v>
      </x:c>
      <x:c r="H2492" s="14" t="str">
        <x:f>IF(E2492&lt;0,"Componente negativo — manter e investigar","OK")</x:f>
        <x:v>OK</x:v>
      </x:c>
    </x:row>
    <x:row r="2493">
      <x:c r="A2493" s="51" t="n">
        <x:v>45505</x:v>
      </x:c>
      <x:c r="B2493" s="14" t="str">
        <x:v>Nordeste</x:v>
      </x:c>
      <x:c r="C2493" s="14" t="str">
        <x:v>SISTEMAS ISOLADOS</x:v>
      </x:c>
      <x:c r="D2493" s="53" t="str">
        <x:v>Cativo</x:v>
      </x:c>
      <x:c r="E2493" s="49" t="n">
        <x:v>978</x:v>
      </x:c>
      <x:c r="F2493" s="52" t="n">
        <x:v>725</x:v>
      </x:c>
      <x:c r="G2493" s="54" t="n">
        <x:v>46220</x:v>
      </x:c>
      <x:c r="H2493" s="14" t="str">
        <x:f>IF(E2493&lt;0,"Componente negativo — manter e investigar","OK")</x:f>
        <x:v>OK</x:v>
      </x:c>
    </x:row>
    <x:row r="2494">
      <x:c r="A2494" s="51" t="n">
        <x:v>45505</x:v>
      </x:c>
      <x:c r="B2494" s="14" t="str">
        <x:v>Norte</x:v>
      </x:c>
      <x:c r="C2494" s="14" t="str">
        <x:v>NORTE INTERLIGADO</x:v>
      </x:c>
      <x:c r="D2494" s="53" t="str">
        <x:v>Cativo</x:v>
      </x:c>
      <x:c r="E2494" s="49" t="n">
        <x:v>864148.5819999999</x:v>
      </x:c>
      <x:c r="F2494" s="52" t="n">
        <x:v>3976839</x:v>
      </x:c>
      <x:c r="G2494" s="54" t="n">
        <x:v>46220</x:v>
      </x:c>
      <x:c r="H2494" s="14" t="str">
        <x:f>IF(E2494&lt;0,"Componente negativo — manter e investigar","OK")</x:f>
        <x:v>OK</x:v>
      </x:c>
    </x:row>
    <x:row r="2495">
      <x:c r="A2495" s="51" t="n">
        <x:v>45505</x:v>
      </x:c>
      <x:c r="B2495" s="14" t="str">
        <x:v>Norte</x:v>
      </x:c>
      <x:c r="C2495" s="14" t="str">
        <x:v>SISTEMAS ISOLADOS</x:v>
      </x:c>
      <x:c r="D2495" s="53" t="str">
        <x:v>Cativo</x:v>
      </x:c>
      <x:c r="E2495" s="49" t="n">
        <x:v>138676.598</x:v>
      </x:c>
      <x:c r="F2495" s="52" t="n">
        <x:v>600546</x:v>
      </x:c>
      <x:c r="G2495" s="54" t="n">
        <x:v>46220</x:v>
      </x:c>
      <x:c r="H2495" s="14" t="str">
        <x:f>IF(E2495&lt;0,"Componente negativo — manter e investigar","OK")</x:f>
        <x:v>OK</x:v>
      </x:c>
    </x:row>
    <x:row r="2496">
      <x:c r="A2496" s="51" t="n">
        <x:v>45505</x:v>
      </x:c>
      <x:c r="B2496" s="14" t="str">
        <x:v>Norte</x:v>
      </x:c>
      <x:c r="C2496" s="14" t="str">
        <x:v>SUDESTE / CENTRO - OESTE</x:v>
      </x:c>
      <x:c r="D2496" s="53" t="str">
        <x:v>Cativo</x:v>
      </x:c>
      <x:c r="E2496" s="49" t="n">
        <x:v>198118.188</x:v>
      </x:c>
      <x:c r="F2496" s="52" t="n">
        <x:v>750590</x:v>
      </x:c>
      <x:c r="G2496" s="54" t="n">
        <x:v>46220</x:v>
      </x:c>
      <x:c r="H2496" s="14" t="str">
        <x:f>IF(E2496&lt;0,"Componente negativo — manter e investigar","OK")</x:f>
        <x:v>OK</x:v>
      </x:c>
    </x:row>
    <x:row r="2497">
      <x:c r="A2497" s="51" t="n">
        <x:v>45505</x:v>
      </x:c>
      <x:c r="B2497" s="14" t="str">
        <x:v>Sudeste</x:v>
      </x:c>
      <x:c r="C2497" s="14" t="str">
        <x:v>SUDESTE / CENTRO - OESTE</x:v>
      </x:c>
      <x:c r="D2497" s="53" t="str">
        <x:v>Cativo</x:v>
      </x:c>
      <x:c r="E2497" s="49" t="n">
        <x:v>6126322.136</x:v>
      </x:c>
      <x:c r="F2497" s="52" t="n">
        <x:v>36144273</x:v>
      </x:c>
      <x:c r="G2497" s="54" t="n">
        <x:v>46220</x:v>
      </x:c>
      <x:c r="H2497" s="14" t="str">
        <x:f>IF(E2497&lt;0,"Componente negativo — manter e investigar","OK")</x:f>
        <x:v>OK</x:v>
      </x:c>
    </x:row>
    <x:row r="2498">
      <x:c r="A2498" s="51" t="n">
        <x:v>45505</x:v>
      </x:c>
      <x:c r="B2498" s="14" t="str">
        <x:v>Sudeste</x:v>
      </x:c>
      <x:c r="C2498" s="14" t="str">
        <x:v>SUDESTE / CENTRO - OESTE</x:v>
      </x:c>
      <x:c r="D2498" s="53" t="str">
        <x:v>Livre</x:v>
      </x:c>
      <x:c r="E2498" s="49" t="n">
        <x:v>409.149</x:v>
      </x:c>
      <x:c r="F2498" s="52" t="n">
        <x:v>7</x:v>
      </x:c>
      <x:c r="G2498" s="54" t="n">
        <x:v>46220</x:v>
      </x:c>
      <x:c r="H2498" s="14" t="str">
        <x:f>IF(E2498&lt;0,"Componente negativo — manter e investigar","OK")</x:f>
        <x:v>OK</x:v>
      </x:c>
    </x:row>
    <x:row r="2499">
      <x:c r="A2499" s="51" t="n">
        <x:v>45505</x:v>
      </x:c>
      <x:c r="B2499" s="14" t="str">
        <x:v>Sul</x:v>
      </x:c>
      <x:c r="C2499" s="14" t="str">
        <x:v>SUL</x:v>
      </x:c>
      <x:c r="D2499" s="53" t="str">
        <x:v>Cativo</x:v>
      </x:c>
      <x:c r="E2499" s="49" t="n">
        <x:v>2350659.015</x:v>
      </x:c>
      <x:c r="F2499" s="52" t="n">
        <x:v>11922732</x:v>
      </x:c>
      <x:c r="G2499" s="54" t="n">
        <x:v>46220</x:v>
      </x:c>
      <x:c r="H2499" s="14" t="str">
        <x:f>IF(E2499&lt;0,"Componente negativo — manter e investigar","OK")</x:f>
        <x:v>OK</x:v>
      </x:c>
    </x:row>
    <x:row r="2500">
      <x:c r="A2500" s="51" t="n">
        <x:v>45505</x:v>
      </x:c>
      <x:c r="B2500" s="14" t="str">
        <x:v>Sul</x:v>
      </x:c>
      <x:c r="C2500" s="14" t="str">
        <x:v>SUL</x:v>
      </x:c>
      <x:c r="D2500" s="53" t="str">
        <x:v>Livre</x:v>
      </x:c>
      <x:c r="E2500" s="49" t="n">
        <x:v>21.471</x:v>
      </x:c>
      <x:c r="F2500" s="52" t="n">
        <x:v>2</x:v>
      </x:c>
      <x:c r="G2500" s="54" t="n">
        <x:v>46220</x:v>
      </x:c>
      <x:c r="H2500" s="14" t="str">
        <x:f>IF(E2500&lt;0,"Componente negativo — manter e investigar","OK")</x:f>
        <x:v>OK</x:v>
      </x:c>
    </x:row>
    <x:row r="2501">
      <x:c r="A2501" s="51" t="n">
        <x:v>45536</x:v>
      </x:c>
      <x:c r="B2501" s="14" t="str">
        <x:v>Centro-Oeste</x:v>
      </x:c>
      <x:c r="C2501" s="14" t="str">
        <x:v>SUDESTE / CENTRO - OESTE</x:v>
      </x:c>
      <x:c r="D2501" s="53" t="str">
        <x:v>Cativo</x:v>
      </x:c>
      <x:c r="E2501" s="49" t="n">
        <x:v>1377487.988</x:v>
      </x:c>
      <x:c r="F2501" s="52" t="n">
        <x:v>6429269</x:v>
      </x:c>
      <x:c r="G2501" s="54" t="n">
        <x:v>46220</x:v>
      </x:c>
      <x:c r="H2501" s="14" t="str">
        <x:f>IF(E2501&lt;0,"Componente negativo — manter e investigar","OK")</x:f>
        <x:v>OK</x:v>
      </x:c>
    </x:row>
    <x:row r="2502">
      <x:c r="A2502" s="51" t="n">
        <x:v>45536</x:v>
      </x:c>
      <x:c r="B2502" s="14" t="str">
        <x:v>Nordeste</x:v>
      </x:c>
      <x:c r="C2502" s="14" t="str">
        <x:v>NORDESTE</x:v>
      </x:c>
      <x:c r="D2502" s="53" t="str">
        <x:v>Cativo</x:v>
      </x:c>
      <x:c r="E2502" s="49" t="n">
        <x:v>2504923.233</x:v>
      </x:c>
      <x:c r="F2502" s="52" t="n">
        <x:v>19920641</x:v>
      </x:c>
      <x:c r="G2502" s="54" t="n">
        <x:v>46220</x:v>
      </x:c>
      <x:c r="H2502" s="14" t="str">
        <x:f>IF(E2502&lt;0,"Componente negativo — manter e investigar","OK")</x:f>
        <x:v>OK</x:v>
      </x:c>
    </x:row>
    <x:row r="2503">
      <x:c r="A2503" s="51" t="n">
        <x:v>45536</x:v>
      </x:c>
      <x:c r="B2503" s="14" t="str">
        <x:v>Nordeste</x:v>
      </x:c>
      <x:c r="C2503" s="14" t="str">
        <x:v>NORDESTE</x:v>
      </x:c>
      <x:c r="D2503" s="53" t="str">
        <x:v>Livre</x:v>
      </x:c>
      <x:c r="E2503" s="49" t="n">
        <x:v>51.09</x:v>
      </x:c>
      <x:c r="F2503" s="52" t="n">
        <x:v>2</x:v>
      </x:c>
      <x:c r="G2503" s="54" t="n">
        <x:v>46220</x:v>
      </x:c>
      <x:c r="H2503" s="14" t="str">
        <x:f>IF(E2503&lt;0,"Componente negativo — manter e investigar","OK")</x:f>
        <x:v>OK</x:v>
      </x:c>
    </x:row>
    <x:row r="2504">
      <x:c r="A2504" s="51" t="n">
        <x:v>45536</x:v>
      </x:c>
      <x:c r="B2504" s="14" t="str">
        <x:v>Nordeste</x:v>
      </x:c>
      <x:c r="C2504" s="14" t="str">
        <x:v>NORTE INTERLIGADO</x:v>
      </x:c>
      <x:c r="D2504" s="53" t="str">
        <x:v>Cativo</x:v>
      </x:c>
      <x:c r="E2504" s="49" t="n">
        <x:v>448130.549</x:v>
      </x:c>
      <x:c r="F2504" s="52" t="n">
        <x:v>2554084</x:v>
      </x:c>
      <x:c r="G2504" s="54" t="n">
        <x:v>46220</x:v>
      </x:c>
      <x:c r="H2504" s="14" t="str">
        <x:f>IF(E2504&lt;0,"Componente negativo — manter e investigar","OK")</x:f>
        <x:v>OK</x:v>
      </x:c>
    </x:row>
    <x:row r="2505">
      <x:c r="A2505" s="51" t="n">
        <x:v>45536</x:v>
      </x:c>
      <x:c r="B2505" s="14" t="str">
        <x:v>Nordeste</x:v>
      </x:c>
      <x:c r="C2505" s="14" t="str">
        <x:v>NORTE INTERLIGADO</x:v>
      </x:c>
      <x:c r="D2505" s="53" t="str">
        <x:v>Livre</x:v>
      </x:c>
      <x:c r="E2505" s="49" t="n">
        <x:v>65.567</x:v>
      </x:c>
      <x:c r="F2505" s="52" t="n">
        <x:v>2</x:v>
      </x:c>
      <x:c r="G2505" s="54" t="n">
        <x:v>46220</x:v>
      </x:c>
      <x:c r="H2505" s="14" t="str">
        <x:f>IF(E2505&lt;0,"Componente negativo — manter e investigar","OK")</x:f>
        <x:v>OK</x:v>
      </x:c>
    </x:row>
    <x:row r="2506">
      <x:c r="A2506" s="51" t="n">
        <x:v>45536</x:v>
      </x:c>
      <x:c r="B2506" s="14" t="str">
        <x:v>Nordeste</x:v>
      </x:c>
      <x:c r="C2506" s="14" t="str">
        <x:v>SISTEMAS ISOLADOS</x:v>
      </x:c>
      <x:c r="D2506" s="53" t="str">
        <x:v>Cativo</x:v>
      </x:c>
      <x:c r="E2506" s="49" t="n">
        <x:v>926</x:v>
      </x:c>
      <x:c r="F2506" s="52" t="n">
        <x:v>746</x:v>
      </x:c>
      <x:c r="G2506" s="54" t="n">
        <x:v>46220</x:v>
      </x:c>
      <x:c r="H2506" s="14" t="str">
        <x:f>IF(E2506&lt;0,"Componente negativo — manter e investigar","OK")</x:f>
        <x:v>OK</x:v>
      </x:c>
    </x:row>
    <x:row r="2507">
      <x:c r="A2507" s="51" t="n">
        <x:v>45536</x:v>
      </x:c>
      <x:c r="B2507" s="14" t="str">
        <x:v>Norte</x:v>
      </x:c>
      <x:c r="C2507" s="14" t="str">
        <x:v>NORTE INTERLIGADO</x:v>
      </x:c>
      <x:c r="D2507" s="53" t="str">
        <x:v>Cativo</x:v>
      </x:c>
      <x:c r="E2507" s="49" t="n">
        <x:v>906520.45</x:v>
      </x:c>
      <x:c r="F2507" s="52" t="n">
        <x:v>4047394</x:v>
      </x:c>
      <x:c r="G2507" s="54" t="n">
        <x:v>46220</x:v>
      </x:c>
      <x:c r="H2507" s="14" t="str">
        <x:f>IF(E2507&lt;0,"Componente negativo — manter e investigar","OK")</x:f>
        <x:v>OK</x:v>
      </x:c>
    </x:row>
    <x:row r="2508">
      <x:c r="A2508" s="51" t="n">
        <x:v>45536</x:v>
      </x:c>
      <x:c r="B2508" s="14" t="str">
        <x:v>Norte</x:v>
      </x:c>
      <x:c r="C2508" s="14" t="str">
        <x:v>SISTEMAS ISOLADOS</x:v>
      </x:c>
      <x:c r="D2508" s="53" t="str">
        <x:v>Cativo</x:v>
      </x:c>
      <x:c r="E2508" s="49" t="n">
        <x:v>151744.061</x:v>
      </x:c>
      <x:c r="F2508" s="52" t="n">
        <x:v>611946</x:v>
      </x:c>
      <x:c r="G2508" s="54" t="n">
        <x:v>46220</x:v>
      </x:c>
      <x:c r="H2508" s="14" t="str">
        <x:f>IF(E2508&lt;0,"Componente negativo — manter e investigar","OK")</x:f>
        <x:v>OK</x:v>
      </x:c>
    </x:row>
    <x:row r="2509">
      <x:c r="A2509" s="51" t="n">
        <x:v>45536</x:v>
      </x:c>
      <x:c r="B2509" s="14" t="str">
        <x:v>Norte</x:v>
      </x:c>
      <x:c r="C2509" s="14" t="str">
        <x:v>SUDESTE / CENTRO - OESTE</x:v>
      </x:c>
      <x:c r="D2509" s="53" t="str">
        <x:v>Cativo</x:v>
      </x:c>
      <x:c r="E2509" s="49" t="n">
        <x:v>216569.852</x:v>
      </x:c>
      <x:c r="F2509" s="52" t="n">
        <x:v>752275</x:v>
      </x:c>
      <x:c r="G2509" s="54" t="n">
        <x:v>46220</x:v>
      </x:c>
      <x:c r="H2509" s="14" t="str">
        <x:f>IF(E2509&lt;0,"Componente negativo — manter e investigar","OK")</x:f>
        <x:v>OK</x:v>
      </x:c>
    </x:row>
    <x:row r="2510">
      <x:c r="A2510" s="51" t="n">
        <x:v>45536</x:v>
      </x:c>
      <x:c r="B2510" s="14" t="str">
        <x:v>Sudeste</x:v>
      </x:c>
      <x:c r="C2510" s="14" t="str">
        <x:v>SUDESTE / CENTRO - OESTE</x:v>
      </x:c>
      <x:c r="D2510" s="53" t="str">
        <x:v>Cativo</x:v>
      </x:c>
      <x:c r="E2510" s="49" t="n">
        <x:v>6384688.209000001</x:v>
      </x:c>
      <x:c r="F2510" s="52" t="n">
        <x:v>36179251</x:v>
      </x:c>
      <x:c r="G2510" s="54" t="n">
        <x:v>46220</x:v>
      </x:c>
      <x:c r="H2510" s="14" t="str">
        <x:f>IF(E2510&lt;0,"Componente negativo — manter e investigar","OK")</x:f>
        <x:v>OK</x:v>
      </x:c>
    </x:row>
    <x:row r="2511">
      <x:c r="A2511" s="51" t="n">
        <x:v>45536</x:v>
      </x:c>
      <x:c r="B2511" s="14" t="str">
        <x:v>Sudeste</x:v>
      </x:c>
      <x:c r="C2511" s="14" t="str">
        <x:v>SUDESTE / CENTRO - OESTE</x:v>
      </x:c>
      <x:c r="D2511" s="53" t="str">
        <x:v>Livre</x:v>
      </x:c>
      <x:c r="E2511" s="49" t="n">
        <x:v>622.962</x:v>
      </x:c>
      <x:c r="F2511" s="52" t="n">
        <x:v>8</x:v>
      </x:c>
      <x:c r="G2511" s="54" t="n">
        <x:v>46220</x:v>
      </x:c>
      <x:c r="H2511" s="14" t="str">
        <x:f>IF(E2511&lt;0,"Componente negativo — manter e investigar","OK")</x:f>
        <x:v>OK</x:v>
      </x:c>
    </x:row>
    <x:row r="2512">
      <x:c r="A2512" s="51" t="n">
        <x:v>45536</x:v>
      </x:c>
      <x:c r="B2512" s="14" t="str">
        <x:v>Sul</x:v>
      </x:c>
      <x:c r="C2512" s="14" t="str">
        <x:v>SUL</x:v>
      </x:c>
      <x:c r="D2512" s="53" t="str">
        <x:v>Cativo</x:v>
      </x:c>
      <x:c r="E2512" s="49" t="n">
        <x:v>2230169.255</x:v>
      </x:c>
      <x:c r="F2512" s="52" t="n">
        <x:v>11762236</x:v>
      </x:c>
      <x:c r="G2512" s="54" t="n">
        <x:v>46220</x:v>
      </x:c>
      <x:c r="H2512" s="14" t="str">
        <x:f>IF(E2512&lt;0,"Componente negativo — manter e investigar","OK")</x:f>
        <x:v>OK</x:v>
      </x:c>
    </x:row>
    <x:row r="2513">
      <x:c r="A2513" s="51" t="n">
        <x:v>45536</x:v>
      </x:c>
      <x:c r="B2513" s="14" t="str">
        <x:v>Sul</x:v>
      </x:c>
      <x:c r="C2513" s="14" t="str">
        <x:v>SUL</x:v>
      </x:c>
      <x:c r="D2513" s="53" t="str">
        <x:v>Livre</x:v>
      </x:c>
      <x:c r="E2513" s="49" t="n">
        <x:v>18.354</x:v>
      </x:c>
      <x:c r="F2513" s="52" t="n">
        <x:v>2</x:v>
      </x:c>
      <x:c r="G2513" s="54" t="n">
        <x:v>46220</x:v>
      </x:c>
      <x:c r="H2513" s="14" t="str">
        <x:f>IF(E2513&lt;0,"Componente negativo — manter e investigar","OK")</x:f>
        <x:v>OK</x:v>
      </x:c>
    </x:row>
    <x:row r="2514">
      <x:c r="A2514" s="51" t="n">
        <x:v>45566</x:v>
      </x:c>
      <x:c r="B2514" s="14" t="str">
        <x:v>Centro-Oeste</x:v>
      </x:c>
      <x:c r="C2514" s="14" t="str">
        <x:v>SUDESTE / CENTRO - OESTE</x:v>
      </x:c>
      <x:c r="D2514" s="53" t="str">
        <x:v>Cativo</x:v>
      </x:c>
      <x:c r="E2514" s="49" t="n">
        <x:v>1581609.509</x:v>
      </x:c>
      <x:c r="F2514" s="52" t="n">
        <x:v>6445712</x:v>
      </x:c>
      <x:c r="G2514" s="54" t="n">
        <x:v>46220</x:v>
      </x:c>
      <x:c r="H2514" s="14" t="str">
        <x:f>IF(E2514&lt;0,"Componente negativo — manter e investigar","OK")</x:f>
        <x:v>OK</x:v>
      </x:c>
    </x:row>
    <x:row r="2515">
      <x:c r="A2515" s="51" t="n">
        <x:v>45566</x:v>
      </x:c>
      <x:c r="B2515" s="14" t="str">
        <x:v>Centro-Oeste</x:v>
      </x:c>
      <x:c r="C2515" s="14" t="str">
        <x:v>SUDESTE / CENTRO - OESTE</x:v>
      </x:c>
      <x:c r="D2515" s="53" t="str">
        <x:v>Livre</x:v>
      </x:c>
      <x:c r="E2515" s="49" t="n">
        <x:v>23.472</x:v>
      </x:c>
      <x:c r="F2515" s="52" t="n">
        <x:v>2</x:v>
      </x:c>
      <x:c r="G2515" s="54" t="n">
        <x:v>46220</x:v>
      </x:c>
      <x:c r="H2515" s="14" t="str">
        <x:f>IF(E2515&lt;0,"Componente negativo — manter e investigar","OK")</x:f>
        <x:v>OK</x:v>
      </x:c>
    </x:row>
    <x:row r="2516">
      <x:c r="A2516" s="51" t="n">
        <x:v>45566</x:v>
      </x:c>
      <x:c r="B2516" s="14" t="str">
        <x:v>Nordeste</x:v>
      </x:c>
      <x:c r="C2516" s="14" t="str">
        <x:v>NORDESTE</x:v>
      </x:c>
      <x:c r="D2516" s="53" t="str">
        <x:v>Cativo</x:v>
      </x:c>
      <x:c r="E2516" s="49" t="n">
        <x:v>2507810.4110000003</x:v>
      </x:c>
      <x:c r="F2516" s="52" t="n">
        <x:v>20061761</x:v>
      </x:c>
      <x:c r="G2516" s="54" t="n">
        <x:v>46220</x:v>
      </x:c>
      <x:c r="H2516" s="14" t="str">
        <x:f>IF(E2516&lt;0,"Componente negativo — manter e investigar","OK")</x:f>
        <x:v>OK</x:v>
      </x:c>
    </x:row>
    <x:row r="2517">
      <x:c r="A2517" s="51" t="n">
        <x:v>45566</x:v>
      </x:c>
      <x:c r="B2517" s="14" t="str">
        <x:v>Nordeste</x:v>
      </x:c>
      <x:c r="C2517" s="14" t="str">
        <x:v>NORDESTE</x:v>
      </x:c>
      <x:c r="D2517" s="53" t="str">
        <x:v>Livre</x:v>
      </x:c>
      <x:c r="E2517" s="49" t="n">
        <x:v>62.17</x:v>
      </x:c>
      <x:c r="F2517" s="52" t="n">
        <x:v>2</x:v>
      </x:c>
      <x:c r="G2517" s="54" t="n">
        <x:v>46220</x:v>
      </x:c>
      <x:c r="H2517" s="14" t="str">
        <x:f>IF(E2517&lt;0,"Componente negativo — manter e investigar","OK")</x:f>
        <x:v>OK</x:v>
      </x:c>
    </x:row>
    <x:row r="2518">
      <x:c r="A2518" s="51" t="n">
        <x:v>45566</x:v>
      </x:c>
      <x:c r="B2518" s="14" t="str">
        <x:v>Nordeste</x:v>
      </x:c>
      <x:c r="C2518" s="14" t="str">
        <x:v>NORTE INTERLIGADO</x:v>
      </x:c>
      <x:c r="D2518" s="53" t="str">
        <x:v>Cativo</x:v>
      </x:c>
      <x:c r="E2518" s="49" t="n">
        <x:v>457547.359</x:v>
      </x:c>
      <x:c r="F2518" s="52" t="n">
        <x:v>2561277</x:v>
      </x:c>
      <x:c r="G2518" s="54" t="n">
        <x:v>46220</x:v>
      </x:c>
      <x:c r="H2518" s="14" t="str">
        <x:f>IF(E2518&lt;0,"Componente negativo — manter e investigar","OK")</x:f>
        <x:v>OK</x:v>
      </x:c>
    </x:row>
    <x:row r="2519">
      <x:c r="A2519" s="51" t="n">
        <x:v>45566</x:v>
      </x:c>
      <x:c r="B2519" s="14" t="str">
        <x:v>Nordeste</x:v>
      </x:c>
      <x:c r="C2519" s="14" t="str">
        <x:v>NORTE INTERLIGADO</x:v>
      </x:c>
      <x:c r="D2519" s="53" t="str">
        <x:v>Livre</x:v>
      </x:c>
      <x:c r="E2519" s="49" t="n">
        <x:v>62.038</x:v>
      </x:c>
      <x:c r="F2519" s="52" t="n">
        <x:v>2</x:v>
      </x:c>
      <x:c r="G2519" s="54" t="n">
        <x:v>46220</x:v>
      </x:c>
      <x:c r="H2519" s="14" t="str">
        <x:f>IF(E2519&lt;0,"Componente negativo — manter e investigar","OK")</x:f>
        <x:v>OK</x:v>
      </x:c>
    </x:row>
    <x:row r="2520">
      <x:c r="A2520" s="51" t="n">
        <x:v>45566</x:v>
      </x:c>
      <x:c r="B2520" s="14" t="str">
        <x:v>Nordeste</x:v>
      </x:c>
      <x:c r="C2520" s="14" t="str">
        <x:v>SISTEMAS ISOLADOS</x:v>
      </x:c>
      <x:c r="D2520" s="53" t="str">
        <x:v>Cativo</x:v>
      </x:c>
      <x:c r="E2520" s="49" t="n">
        <x:v>735</x:v>
      </x:c>
      <x:c r="F2520" s="52" t="n">
        <x:v>766</x:v>
      </x:c>
      <x:c r="G2520" s="54" t="n">
        <x:v>46220</x:v>
      </x:c>
      <x:c r="H2520" s="14" t="str">
        <x:f>IF(E2520&lt;0,"Componente negativo — manter e investigar","OK")</x:f>
        <x:v>OK</x:v>
      </x:c>
    </x:row>
    <x:row r="2521">
      <x:c r="A2521" s="51" t="n">
        <x:v>45566</x:v>
      </x:c>
      <x:c r="B2521" s="14" t="str">
        <x:v>Norte</x:v>
      </x:c>
      <x:c r="C2521" s="14" t="str">
        <x:v>NORTE INTERLIGADO</x:v>
      </x:c>
      <x:c r="D2521" s="53" t="str">
        <x:v>Cativo</x:v>
      </x:c>
      <x:c r="E2521" s="49" t="n">
        <x:v>924109.107</x:v>
      </x:c>
      <x:c r="F2521" s="52" t="n">
        <x:v>4033828</x:v>
      </x:c>
      <x:c r="G2521" s="54" t="n">
        <x:v>46220</x:v>
      </x:c>
      <x:c r="H2521" s="14" t="str">
        <x:f>IF(E2521&lt;0,"Componente negativo — manter e investigar","OK")</x:f>
        <x:v>OK</x:v>
      </x:c>
    </x:row>
    <x:row r="2522">
      <x:c r="A2522" s="51" t="n">
        <x:v>45566</x:v>
      </x:c>
      <x:c r="B2522" s="14" t="str">
        <x:v>Norte</x:v>
      </x:c>
      <x:c r="C2522" s="14" t="str">
        <x:v>SISTEMAS ISOLADOS</x:v>
      </x:c>
      <x:c r="D2522" s="53" t="str">
        <x:v>Cativo</x:v>
      </x:c>
      <x:c r="E2522" s="49" t="n">
        <x:v>157101.815</x:v>
      </x:c>
      <x:c r="F2522" s="52" t="n">
        <x:v>619038</x:v>
      </x:c>
      <x:c r="G2522" s="54" t="n">
        <x:v>46220</x:v>
      </x:c>
      <x:c r="H2522" s="14" t="str">
        <x:f>IF(E2522&lt;0,"Componente negativo — manter e investigar","OK")</x:f>
        <x:v>OK</x:v>
      </x:c>
    </x:row>
    <x:row r="2523">
      <x:c r="A2523" s="51" t="n">
        <x:v>45566</x:v>
      </x:c>
      <x:c r="B2523" s="14" t="str">
        <x:v>Norte</x:v>
      </x:c>
      <x:c r="C2523" s="14" t="str">
        <x:v>SUDESTE / CENTRO - OESTE</x:v>
      </x:c>
      <x:c r="D2523" s="53" t="str">
        <x:v>Cativo</x:v>
      </x:c>
      <x:c r="E2523" s="49" t="n">
        <x:v>239657.898</x:v>
      </x:c>
      <x:c r="F2523" s="52" t="n">
        <x:v>757942</x:v>
      </x:c>
      <x:c r="G2523" s="54" t="n">
        <x:v>46220</x:v>
      </x:c>
      <x:c r="H2523" s="14" t="str">
        <x:f>IF(E2523&lt;0,"Componente negativo — manter e investigar","OK")</x:f>
        <x:v>OK</x:v>
      </x:c>
    </x:row>
    <x:row r="2524">
      <x:c r="A2524" s="51" t="n">
        <x:v>45566</x:v>
      </x:c>
      <x:c r="B2524" s="14" t="str">
        <x:v>Sudeste</x:v>
      </x:c>
      <x:c r="C2524" s="14" t="str">
        <x:v>SUDESTE / CENTRO - OESTE</x:v>
      </x:c>
      <x:c r="D2524" s="53" t="str">
        <x:v>Cativo</x:v>
      </x:c>
      <x:c r="E2524" s="49" t="n">
        <x:v>6926133.756000002</x:v>
      </x:c>
      <x:c r="F2524" s="52" t="n">
        <x:v>36251575</x:v>
      </x:c>
      <x:c r="G2524" s="54" t="n">
        <x:v>46220</x:v>
      </x:c>
      <x:c r="H2524" s="14" t="str">
        <x:f>IF(E2524&lt;0,"Componente negativo — manter e investigar","OK")</x:f>
        <x:v>OK</x:v>
      </x:c>
    </x:row>
    <x:row r="2525">
      <x:c r="A2525" s="51" t="n">
        <x:v>45566</x:v>
      </x:c>
      <x:c r="B2525" s="14" t="str">
        <x:v>Sudeste</x:v>
      </x:c>
      <x:c r="C2525" s="14" t="str">
        <x:v>SUDESTE / CENTRO - OESTE</x:v>
      </x:c>
      <x:c r="D2525" s="53" t="str">
        <x:v>Livre</x:v>
      </x:c>
      <x:c r="E2525" s="49" t="n">
        <x:v>624.094</x:v>
      </x:c>
      <x:c r="F2525" s="52" t="n">
        <x:v>11</x:v>
      </x:c>
      <x:c r="G2525" s="54" t="n">
        <x:v>46220</x:v>
      </x:c>
      <x:c r="H2525" s="14" t="str">
        <x:f>IF(E2525&lt;0,"Componente negativo — manter e investigar","OK")</x:f>
        <x:v>OK</x:v>
      </x:c>
    </x:row>
    <x:row r="2526">
      <x:c r="A2526" s="51" t="n">
        <x:v>45566</x:v>
      </x:c>
      <x:c r="B2526" s="14" t="str">
        <x:v>Sul</x:v>
      </x:c>
      <x:c r="C2526" s="14" t="str">
        <x:v>SUL</x:v>
      </x:c>
      <x:c r="D2526" s="53" t="str">
        <x:v>Cativo</x:v>
      </x:c>
      <x:c r="E2526" s="49" t="n">
        <x:v>2294389.8120000004</x:v>
      </x:c>
      <x:c r="F2526" s="52" t="n">
        <x:v>11866271</x:v>
      </x:c>
      <x:c r="G2526" s="54" t="n">
        <x:v>46220</x:v>
      </x:c>
      <x:c r="H2526" s="14" t="str">
        <x:f>IF(E2526&lt;0,"Componente negativo — manter e investigar","OK")</x:f>
        <x:v>OK</x:v>
      </x:c>
    </x:row>
    <x:row r="2527">
      <x:c r="A2527" s="51" t="n">
        <x:v>45566</x:v>
      </x:c>
      <x:c r="B2527" s="14" t="str">
        <x:v>Sul</x:v>
      </x:c>
      <x:c r="C2527" s="14" t="str">
        <x:v>SUL</x:v>
      </x:c>
      <x:c r="D2527" s="53" t="str">
        <x:v>Livre</x:v>
      </x:c>
      <x:c r="E2527" s="49" t="n">
        <x:v>22.433</x:v>
      </x:c>
      <x:c r="F2527" s="52" t="n">
        <x:v>2</x:v>
      </x:c>
      <x:c r="G2527" s="54" t="n">
        <x:v>46220</x:v>
      </x:c>
      <x:c r="H2527" s="14" t="str">
        <x:f>IF(E2527&lt;0,"Componente negativo — manter e investigar","OK")</x:f>
        <x:v>OK</x:v>
      </x:c>
    </x:row>
    <x:row r="2528">
      <x:c r="A2528" s="51" t="n">
        <x:v>45597</x:v>
      </x:c>
      <x:c r="B2528" s="14" t="str">
        <x:v>Centro-Oeste</x:v>
      </x:c>
      <x:c r="C2528" s="14" t="str">
        <x:v>SUDESTE / CENTRO - OESTE</x:v>
      </x:c>
      <x:c r="D2528" s="53" t="str">
        <x:v>Cativo</x:v>
      </x:c>
      <x:c r="E2528" s="49" t="n">
        <x:v>1443020.194</x:v>
      </x:c>
      <x:c r="F2528" s="52" t="n">
        <x:v>6452044</x:v>
      </x:c>
      <x:c r="G2528" s="54" t="n">
        <x:v>46220</x:v>
      </x:c>
      <x:c r="H2528" s="14" t="str">
        <x:f>IF(E2528&lt;0,"Componente negativo — manter e investigar","OK")</x:f>
        <x:v>OK</x:v>
      </x:c>
    </x:row>
    <x:row r="2529">
      <x:c r="A2529" s="51" t="n">
        <x:v>45597</x:v>
      </x:c>
      <x:c r="B2529" s="14" t="str">
        <x:v>Centro-Oeste</x:v>
      </x:c>
      <x:c r="C2529" s="14" t="str">
        <x:v>SUDESTE / CENTRO - OESTE</x:v>
      </x:c>
      <x:c r="D2529" s="53" t="str">
        <x:v>Livre</x:v>
      </x:c>
      <x:c r="E2529" s="49" t="n">
        <x:v>38.713</x:v>
      </x:c>
      <x:c r="F2529" s="52" t="n">
        <x:v>4</x:v>
      </x:c>
      <x:c r="G2529" s="54" t="n">
        <x:v>46220</x:v>
      </x:c>
      <x:c r="H2529" s="14" t="str">
        <x:f>IF(E2529&lt;0,"Componente negativo — manter e investigar","OK")</x:f>
        <x:v>OK</x:v>
      </x:c>
    </x:row>
    <x:row r="2530">
      <x:c r="A2530" s="51" t="n">
        <x:v>45597</x:v>
      </x:c>
      <x:c r="B2530" s="14" t="str">
        <x:v>Nordeste</x:v>
      </x:c>
      <x:c r="C2530" s="14" t="str">
        <x:v>NORDESTE</x:v>
      </x:c>
      <x:c r="D2530" s="53" t="str">
        <x:v>Cativo</x:v>
      </x:c>
      <x:c r="E2530" s="49" t="n">
        <x:v>2709089.999</x:v>
      </x:c>
      <x:c r="F2530" s="52" t="n">
        <x:v>20113567</x:v>
      </x:c>
      <x:c r="G2530" s="54" t="n">
        <x:v>46220</x:v>
      </x:c>
      <x:c r="H2530" s="14" t="str">
        <x:f>IF(E2530&lt;0,"Componente negativo — manter e investigar","OK")</x:f>
        <x:v>OK</x:v>
      </x:c>
    </x:row>
    <x:row r="2531">
      <x:c r="A2531" s="51" t="n">
        <x:v>45597</x:v>
      </x:c>
      <x:c r="B2531" s="14" t="str">
        <x:v>Nordeste</x:v>
      </x:c>
      <x:c r="C2531" s="14" t="str">
        <x:v>NORDESTE</x:v>
      </x:c>
      <x:c r="D2531" s="53" t="str">
        <x:v>Livre</x:v>
      </x:c>
      <x:c r="E2531" s="49" t="n">
        <x:v>55.195</x:v>
      </x:c>
      <x:c r="F2531" s="52" t="n">
        <x:v>2</x:v>
      </x:c>
      <x:c r="G2531" s="54" t="n">
        <x:v>46220</x:v>
      </x:c>
      <x:c r="H2531" s="14" t="str">
        <x:f>IF(E2531&lt;0,"Componente negativo — manter e investigar","OK")</x:f>
        <x:v>OK</x:v>
      </x:c>
    </x:row>
    <x:row r="2532">
      <x:c r="A2532" s="51" t="n">
        <x:v>45597</x:v>
      </x:c>
      <x:c r="B2532" s="14" t="str">
        <x:v>Nordeste</x:v>
      </x:c>
      <x:c r="C2532" s="14" t="str">
        <x:v>NORTE INTERLIGADO</x:v>
      </x:c>
      <x:c r="D2532" s="53" t="str">
        <x:v>Cativo</x:v>
      </x:c>
      <x:c r="E2532" s="49" t="n">
        <x:v>468394.873</x:v>
      </x:c>
      <x:c r="F2532" s="52" t="n">
        <x:v>2564768</x:v>
      </x:c>
      <x:c r="G2532" s="54" t="n">
        <x:v>46220</x:v>
      </x:c>
      <x:c r="H2532" s="14" t="str">
        <x:f>IF(E2532&lt;0,"Componente negativo — manter e investigar","OK")</x:f>
        <x:v>OK</x:v>
      </x:c>
    </x:row>
    <x:row r="2533">
      <x:c r="A2533" s="51" t="n">
        <x:v>45597</x:v>
      </x:c>
      <x:c r="B2533" s="14" t="str">
        <x:v>Nordeste</x:v>
      </x:c>
      <x:c r="C2533" s="14" t="str">
        <x:v>NORTE INTERLIGADO</x:v>
      </x:c>
      <x:c r="D2533" s="53" t="str">
        <x:v>Livre</x:v>
      </x:c>
      <x:c r="E2533" s="49" t="n">
        <x:v>65.467</x:v>
      </x:c>
      <x:c r="F2533" s="52" t="n">
        <x:v>2</x:v>
      </x:c>
      <x:c r="G2533" s="54" t="n">
        <x:v>46220</x:v>
      </x:c>
      <x:c r="H2533" s="14" t="str">
        <x:f>IF(E2533&lt;0,"Componente negativo — manter e investigar","OK")</x:f>
        <x:v>OK</x:v>
      </x:c>
    </x:row>
    <x:row r="2534">
      <x:c r="A2534" s="51" t="n">
        <x:v>45597</x:v>
      </x:c>
      <x:c r="B2534" s="14" t="str">
        <x:v>Nordeste</x:v>
      </x:c>
      <x:c r="C2534" s="14" t="str">
        <x:v>SISTEMAS ISOLADOS</x:v>
      </x:c>
      <x:c r="D2534" s="53" t="str">
        <x:v>Cativo</x:v>
      </x:c>
      <x:c r="E2534" s="49" t="n">
        <x:v>1034</x:v>
      </x:c>
      <x:c r="F2534" s="52" t="n">
        <x:v>768</x:v>
      </x:c>
      <x:c r="G2534" s="54" t="n">
        <x:v>46220</x:v>
      </x:c>
      <x:c r="H2534" s="14" t="str">
        <x:f>IF(E2534&lt;0,"Componente negativo — manter e investigar","OK")</x:f>
        <x:v>OK</x:v>
      </x:c>
    </x:row>
    <x:row r="2535">
      <x:c r="A2535" s="51" t="n">
        <x:v>45597</x:v>
      </x:c>
      <x:c r="B2535" s="14" t="str">
        <x:v>Norte</x:v>
      </x:c>
      <x:c r="C2535" s="14" t="str">
        <x:v>NORTE INTERLIGADO</x:v>
      </x:c>
      <x:c r="D2535" s="53" t="str">
        <x:v>Cativo</x:v>
      </x:c>
      <x:c r="E2535" s="49" t="n">
        <x:v>894282.7270000001</x:v>
      </x:c>
      <x:c r="F2535" s="52" t="n">
        <x:v>4002445</x:v>
      </x:c>
      <x:c r="G2535" s="54" t="n">
        <x:v>46220</x:v>
      </x:c>
      <x:c r="H2535" s="14" t="str">
        <x:f>IF(E2535&lt;0,"Componente negativo — manter e investigar","OK")</x:f>
        <x:v>OK</x:v>
      </x:c>
    </x:row>
    <x:row r="2536">
      <x:c r="A2536" s="51" t="n">
        <x:v>45597</x:v>
      </x:c>
      <x:c r="B2536" s="14" t="str">
        <x:v>Norte</x:v>
      </x:c>
      <x:c r="C2536" s="14" t="str">
        <x:v>SISTEMAS ISOLADOS</x:v>
      </x:c>
      <x:c r="D2536" s="53" t="str">
        <x:v>Cativo</x:v>
      </x:c>
      <x:c r="E2536" s="49" t="n">
        <x:v>158816.455</x:v>
      </x:c>
      <x:c r="F2536" s="52" t="n">
        <x:v>612547</x:v>
      </x:c>
      <x:c r="G2536" s="54" t="n">
        <x:v>46220</x:v>
      </x:c>
      <x:c r="H2536" s="14" t="str">
        <x:f>IF(E2536&lt;0,"Componente negativo — manter e investigar","OK")</x:f>
        <x:v>OK</x:v>
      </x:c>
    </x:row>
    <x:row r="2537">
      <x:c r="A2537" s="51" t="n">
        <x:v>45597</x:v>
      </x:c>
      <x:c r="B2537" s="14" t="str">
        <x:v>Norte</x:v>
      </x:c>
      <x:c r="C2537" s="14" t="str">
        <x:v>SUDESTE / CENTRO - OESTE</x:v>
      </x:c>
      <x:c r="D2537" s="53" t="str">
        <x:v>Cativo</x:v>
      </x:c>
      <x:c r="E2537" s="49" t="n">
        <x:v>205823.206</x:v>
      </x:c>
      <x:c r="F2537" s="52" t="n">
        <x:v>755430</x:v>
      </x:c>
      <x:c r="G2537" s="54" t="n">
        <x:v>46220</x:v>
      </x:c>
      <x:c r="H2537" s="14" t="str">
        <x:f>IF(E2537&lt;0,"Componente negativo — manter e investigar","OK")</x:f>
        <x:v>OK</x:v>
      </x:c>
    </x:row>
    <x:row r="2538">
      <x:c r="A2538" s="51" t="n">
        <x:v>45597</x:v>
      </x:c>
      <x:c r="B2538" s="14" t="str">
        <x:v>Sudeste</x:v>
      </x:c>
      <x:c r="C2538" s="14" t="str">
        <x:v>SUDESTE / CENTRO - OESTE</x:v>
      </x:c>
      <x:c r="D2538" s="53" t="str">
        <x:v>Cativo</x:v>
      </x:c>
      <x:c r="E2538" s="49" t="n">
        <x:v>6530155.683000001</x:v>
      </x:c>
      <x:c r="F2538" s="52" t="n">
        <x:v>36329774</x:v>
      </x:c>
      <x:c r="G2538" s="54" t="n">
        <x:v>46220</x:v>
      </x:c>
      <x:c r="H2538" s="14" t="str">
        <x:f>IF(E2538&lt;0,"Componente negativo — manter e investigar","OK")</x:f>
        <x:v>OK</x:v>
      </x:c>
    </x:row>
    <x:row r="2539">
      <x:c r="A2539" s="51" t="n">
        <x:v>45597</x:v>
      </x:c>
      <x:c r="B2539" s="14" t="str">
        <x:v>Sudeste</x:v>
      </x:c>
      <x:c r="C2539" s="14" t="str">
        <x:v>SUDESTE / CENTRO - OESTE</x:v>
      </x:c>
      <x:c r="D2539" s="53" t="str">
        <x:v>Livre</x:v>
      </x:c>
      <x:c r="E2539" s="49" t="n">
        <x:v>695.409</x:v>
      </x:c>
      <x:c r="F2539" s="52" t="n">
        <x:v>14</x:v>
      </x:c>
      <x:c r="G2539" s="54" t="n">
        <x:v>46220</x:v>
      </x:c>
      <x:c r="H2539" s="14" t="str">
        <x:f>IF(E2539&lt;0,"Componente negativo — manter e investigar","OK")</x:f>
        <x:v>OK</x:v>
      </x:c>
    </x:row>
    <x:row r="2540">
      <x:c r="A2540" s="51" t="n">
        <x:v>45597</x:v>
      </x:c>
      <x:c r="B2540" s="14" t="str">
        <x:v>Sul</x:v>
      </x:c>
      <x:c r="C2540" s="14" t="str">
        <x:v>SUL</x:v>
      </x:c>
      <x:c r="D2540" s="53" t="str">
        <x:v>Cativo</x:v>
      </x:c>
      <x:c r="E2540" s="49" t="n">
        <x:v>2407435.869</x:v>
      </x:c>
      <x:c r="F2540" s="52" t="n">
        <x:v>11804001</x:v>
      </x:c>
      <x:c r="G2540" s="54" t="n">
        <x:v>46220</x:v>
      </x:c>
      <x:c r="H2540" s="14" t="str">
        <x:f>IF(E2540&lt;0,"Componente negativo — manter e investigar","OK")</x:f>
        <x:v>OK</x:v>
      </x:c>
    </x:row>
    <x:row r="2541">
      <x:c r="A2541" s="51" t="n">
        <x:v>45597</x:v>
      </x:c>
      <x:c r="B2541" s="14" t="str">
        <x:v>Sul</x:v>
      </x:c>
      <x:c r="C2541" s="14" t="str">
        <x:v>SUL</x:v>
      </x:c>
      <x:c r="D2541" s="53" t="str">
        <x:v>Livre</x:v>
      </x:c>
      <x:c r="E2541" s="49" t="n">
        <x:v>51.008</x:v>
      </x:c>
      <x:c r="F2541" s="52" t="n">
        <x:v>3</x:v>
      </x:c>
      <x:c r="G2541" s="54" t="n">
        <x:v>46220</x:v>
      </x:c>
      <x:c r="H2541" s="14" t="str">
        <x:f>IF(E2541&lt;0,"Componente negativo — manter e investigar","OK")</x:f>
        <x:v>OK</x:v>
      </x:c>
    </x:row>
    <x:row r="2542">
      <x:c r="A2542" s="51" t="n">
        <x:v>45627</x:v>
      </x:c>
      <x:c r="B2542" s="14" t="str">
        <x:v>Centro-Oeste</x:v>
      </x:c>
      <x:c r="C2542" s="14" t="str">
        <x:v>SUDESTE / CENTRO - OESTE</x:v>
      </x:c>
      <x:c r="D2542" s="53" t="str">
        <x:v>Cativo</x:v>
      </x:c>
      <x:c r="E2542" s="49" t="n">
        <x:v>1469983.6800000002</x:v>
      </x:c>
      <x:c r="F2542" s="52" t="n">
        <x:v>6474124</x:v>
      </x:c>
      <x:c r="G2542" s="54" t="n">
        <x:v>46220</x:v>
      </x:c>
      <x:c r="H2542" s="14" t="str">
        <x:f>IF(E2542&lt;0,"Componente negativo — manter e investigar","OK")</x:f>
        <x:v>OK</x:v>
      </x:c>
    </x:row>
    <x:row r="2543">
      <x:c r="A2543" s="51" t="n">
        <x:v>45627</x:v>
      </x:c>
      <x:c r="B2543" s="14" t="str">
        <x:v>Centro-Oeste</x:v>
      </x:c>
      <x:c r="C2543" s="14" t="str">
        <x:v>SUDESTE / CENTRO - OESTE</x:v>
      </x:c>
      <x:c r="D2543" s="53" t="str">
        <x:v>Livre</x:v>
      </x:c>
      <x:c r="E2543" s="49" t="n">
        <x:v>40.825</x:v>
      </x:c>
      <x:c r="F2543" s="52" t="n">
        <x:v>5</x:v>
      </x:c>
      <x:c r="G2543" s="54" t="n">
        <x:v>46220</x:v>
      </x:c>
      <x:c r="H2543" s="14" t="str">
        <x:f>IF(E2543&lt;0,"Componente negativo — manter e investigar","OK")</x:f>
        <x:v>OK</x:v>
      </x:c>
    </x:row>
    <x:row r="2544">
      <x:c r="A2544" s="51" t="n">
        <x:v>45627</x:v>
      </x:c>
      <x:c r="B2544" s="14" t="str">
        <x:v>Nordeste</x:v>
      </x:c>
      <x:c r="C2544" s="14" t="str">
        <x:v>NORDESTE</x:v>
      </x:c>
      <x:c r="D2544" s="53" t="str">
        <x:v>Cativo</x:v>
      </x:c>
      <x:c r="E2544" s="49" t="n">
        <x:v>2783319.1459999997</x:v>
      </x:c>
      <x:c r="F2544" s="52" t="n">
        <x:v>20097733</x:v>
      </x:c>
      <x:c r="G2544" s="54" t="n">
        <x:v>46220</x:v>
      </x:c>
      <x:c r="H2544" s="14" t="str">
        <x:f>IF(E2544&lt;0,"Componente negativo — manter e investigar","OK")</x:f>
        <x:v>OK</x:v>
      </x:c>
    </x:row>
    <x:row r="2545">
      <x:c r="A2545" s="51" t="n">
        <x:v>45627</x:v>
      </x:c>
      <x:c r="B2545" s="14" t="str">
        <x:v>Nordeste</x:v>
      </x:c>
      <x:c r="C2545" s="14" t="str">
        <x:v>NORDESTE</x:v>
      </x:c>
      <x:c r="D2545" s="53" t="str">
        <x:v>Livre</x:v>
      </x:c>
      <x:c r="E2545" s="49" t="n">
        <x:v>62.84</x:v>
      </x:c>
      <x:c r="F2545" s="52" t="n">
        <x:v>2</x:v>
      </x:c>
      <x:c r="G2545" s="54" t="n">
        <x:v>46220</x:v>
      </x:c>
      <x:c r="H2545" s="14" t="str">
        <x:f>IF(E2545&lt;0,"Componente negativo — manter e investigar","OK")</x:f>
        <x:v>OK</x:v>
      </x:c>
    </x:row>
    <x:row r="2546">
      <x:c r="A2546" s="51" t="n">
        <x:v>45627</x:v>
      </x:c>
      <x:c r="B2546" s="14" t="str">
        <x:v>Nordeste</x:v>
      </x:c>
      <x:c r="C2546" s="14" t="str">
        <x:v>NORTE INTERLIGADO</x:v>
      </x:c>
      <x:c r="D2546" s="53" t="str">
        <x:v>Cativo</x:v>
      </x:c>
      <x:c r="E2546" s="49" t="n">
        <x:v>460186.989</x:v>
      </x:c>
      <x:c r="F2546" s="52" t="n">
        <x:v>2581729</x:v>
      </x:c>
      <x:c r="G2546" s="54" t="n">
        <x:v>46220</x:v>
      </x:c>
      <x:c r="H2546" s="14" t="str">
        <x:f>IF(E2546&lt;0,"Componente negativo — manter e investigar","OK")</x:f>
        <x:v>OK</x:v>
      </x:c>
    </x:row>
    <x:row r="2547">
      <x:c r="A2547" s="51" t="n">
        <x:v>45627</x:v>
      </x:c>
      <x:c r="B2547" s="14" t="str">
        <x:v>Nordeste</x:v>
      </x:c>
      <x:c r="C2547" s="14" t="str">
        <x:v>NORTE INTERLIGADO</x:v>
      </x:c>
      <x:c r="D2547" s="53" t="str">
        <x:v>Livre</x:v>
      </x:c>
      <x:c r="E2547" s="49" t="n">
        <x:v>66.08</x:v>
      </x:c>
      <x:c r="F2547" s="52" t="n">
        <x:v>2</x:v>
      </x:c>
      <x:c r="G2547" s="54" t="n">
        <x:v>46220</x:v>
      </x:c>
      <x:c r="H2547" s="14" t="str">
        <x:f>IF(E2547&lt;0,"Componente negativo — manter e investigar","OK")</x:f>
        <x:v>OK</x:v>
      </x:c>
    </x:row>
    <x:row r="2548">
      <x:c r="A2548" s="51" t="n">
        <x:v>45627</x:v>
      </x:c>
      <x:c r="B2548" s="14" t="str">
        <x:v>Nordeste</x:v>
      </x:c>
      <x:c r="C2548" s="14" t="str">
        <x:v>SISTEMAS ISOLADOS</x:v>
      </x:c>
      <x:c r="D2548" s="53" t="str">
        <x:v>Cativo</x:v>
      </x:c>
      <x:c r="E2548" s="49" t="n">
        <x:v>1042</x:v>
      </x:c>
      <x:c r="F2548" s="52" t="n">
        <x:v>784</x:v>
      </x:c>
      <x:c r="G2548" s="54" t="n">
        <x:v>46220</x:v>
      </x:c>
      <x:c r="H2548" s="14" t="str">
        <x:f>IF(E2548&lt;0,"Componente negativo — manter e investigar","OK")</x:f>
        <x:v>OK</x:v>
      </x:c>
    </x:row>
    <x:row r="2549">
      <x:c r="A2549" s="51" t="n">
        <x:v>45627</x:v>
      </x:c>
      <x:c r="B2549" s="14" t="str">
        <x:v>Norte</x:v>
      </x:c>
      <x:c r="C2549" s="14" t="str">
        <x:v>NORTE INTERLIGADO</x:v>
      </x:c>
      <x:c r="D2549" s="53" t="str">
        <x:v>Cativo</x:v>
      </x:c>
      <x:c r="E2549" s="49" t="n">
        <x:v>872003.654</x:v>
      </x:c>
      <x:c r="F2549" s="52" t="n">
        <x:v>4009900</x:v>
      </x:c>
      <x:c r="G2549" s="54" t="n">
        <x:v>46220</x:v>
      </x:c>
      <x:c r="H2549" s="14" t="str">
        <x:f>IF(E2549&lt;0,"Componente negativo — manter e investigar","OK")</x:f>
        <x:v>OK</x:v>
      </x:c>
    </x:row>
    <x:row r="2550">
      <x:c r="A2550" s="51" t="n">
        <x:v>45627</x:v>
      </x:c>
      <x:c r="B2550" s="14" t="str">
        <x:v>Norte</x:v>
      </x:c>
      <x:c r="C2550" s="14" t="str">
        <x:v>SISTEMAS ISOLADOS</x:v>
      </x:c>
      <x:c r="D2550" s="53" t="str">
        <x:v>Cativo</x:v>
      </x:c>
      <x:c r="E2550" s="49" t="n">
        <x:v>142632.373</x:v>
      </x:c>
      <x:c r="F2550" s="52" t="n">
        <x:v>569337</x:v>
      </x:c>
      <x:c r="G2550" s="54" t="n">
        <x:v>46220</x:v>
      </x:c>
      <x:c r="H2550" s="14" t="str">
        <x:f>IF(E2550&lt;0,"Componente negativo — manter e investigar","OK")</x:f>
        <x:v>OK</x:v>
      </x:c>
    </x:row>
    <x:row r="2551">
      <x:c r="A2551" s="51" t="n">
        <x:v>45627</x:v>
      </x:c>
      <x:c r="B2551" s="14" t="str">
        <x:v>Norte</x:v>
      </x:c>
      <x:c r="C2551" s="14" t="str">
        <x:v>SUDESTE / CENTRO - OESTE</x:v>
      </x:c>
      <x:c r="D2551" s="53" t="str">
        <x:v>Cativo</x:v>
      </x:c>
      <x:c r="E2551" s="49" t="n">
        <x:v>208260.921</x:v>
      </x:c>
      <x:c r="F2551" s="52" t="n">
        <x:v>795244</x:v>
      </x:c>
      <x:c r="G2551" s="54" t="n">
        <x:v>46220</x:v>
      </x:c>
      <x:c r="H2551" s="14" t="str">
        <x:f>IF(E2551&lt;0,"Componente negativo — manter e investigar","OK")</x:f>
        <x:v>OK</x:v>
      </x:c>
    </x:row>
    <x:row r="2552">
      <x:c r="A2552" s="51" t="n">
        <x:v>45627</x:v>
      </x:c>
      <x:c r="B2552" s="14" t="str">
        <x:v>Sudeste</x:v>
      </x:c>
      <x:c r="C2552" s="14" t="str">
        <x:v>SUDESTE / CENTRO - OESTE</x:v>
      </x:c>
      <x:c r="D2552" s="53" t="str">
        <x:v>Cativo</x:v>
      </x:c>
      <x:c r="E2552" s="49" t="n">
        <x:v>6919841.233000001</x:v>
      </x:c>
      <x:c r="F2552" s="52" t="n">
        <x:v>36319057</x:v>
      </x:c>
      <x:c r="G2552" s="54" t="n">
        <x:v>46220</x:v>
      </x:c>
      <x:c r="H2552" s="14" t="str">
        <x:f>IF(E2552&lt;0,"Componente negativo — manter e investigar","OK")</x:f>
        <x:v>OK</x:v>
      </x:c>
    </x:row>
    <x:row r="2553">
      <x:c r="A2553" s="51" t="n">
        <x:v>45627</x:v>
      </x:c>
      <x:c r="B2553" s="14" t="str">
        <x:v>Sudeste</x:v>
      </x:c>
      <x:c r="C2553" s="14" t="str">
        <x:v>SUDESTE / CENTRO - OESTE</x:v>
      </x:c>
      <x:c r="D2553" s="53" t="str">
        <x:v>Livre</x:v>
      </x:c>
      <x:c r="E2553" s="49" t="n">
        <x:v>749.293</x:v>
      </x:c>
      <x:c r="F2553" s="52" t="n">
        <x:v>20</x:v>
      </x:c>
      <x:c r="G2553" s="54" t="n">
        <x:v>46220</x:v>
      </x:c>
      <x:c r="H2553" s="14" t="str">
        <x:f>IF(E2553&lt;0,"Componente negativo — manter e investigar","OK")</x:f>
        <x:v>OK</x:v>
      </x:c>
    </x:row>
    <x:row r="2554">
      <x:c r="A2554" s="51" t="n">
        <x:v>45627</x:v>
      </x:c>
      <x:c r="B2554" s="14" t="str">
        <x:v>Sul</x:v>
      </x:c>
      <x:c r="C2554" s="14" t="str">
        <x:v>SUL</x:v>
      </x:c>
      <x:c r="D2554" s="53" t="str">
        <x:v>Cativo</x:v>
      </x:c>
      <x:c r="E2554" s="49" t="n">
        <x:v>2447307.7830000003</x:v>
      </x:c>
      <x:c r="F2554" s="52" t="n">
        <x:v>11833883</x:v>
      </x:c>
      <x:c r="G2554" s="54" t="n">
        <x:v>46220</x:v>
      </x:c>
      <x:c r="H2554" s="14" t="str">
        <x:f>IF(E2554&lt;0,"Componente negativo — manter e investigar","OK")</x:f>
        <x:v>OK</x:v>
      </x:c>
    </x:row>
    <x:row r="2555">
      <x:c r="A2555" s="51" t="n">
        <x:v>45627</x:v>
      </x:c>
      <x:c r="B2555" s="14" t="str">
        <x:v>Sul</x:v>
      </x:c>
      <x:c r="C2555" s="14" t="str">
        <x:v>SUL</x:v>
      </x:c>
      <x:c r="D2555" s="53" t="str">
        <x:v>Livre</x:v>
      </x:c>
      <x:c r="E2555" s="49" t="n">
        <x:v>47.981</x:v>
      </x:c>
      <x:c r="F2555" s="52" t="n">
        <x:v>3</x:v>
      </x:c>
      <x:c r="G2555" s="54" t="n">
        <x:v>46220</x:v>
      </x:c>
      <x:c r="H2555" s="14" t="str">
        <x:f>IF(E2555&lt;0,"Componente negativo — manter e investigar","OK")</x:f>
        <x:v>OK</x:v>
      </x:c>
    </x:row>
    <x:row r="2556">
      <x:c r="A2556" s="51" t="n">
        <x:v>45658</x:v>
      </x:c>
      <x:c r="B2556" s="14" t="str">
        <x:v>Centro-Oeste</x:v>
      </x:c>
      <x:c r="C2556" s="14" t="str">
        <x:v>SUDESTE / CENTRO - OESTE</x:v>
      </x:c>
      <x:c r="D2556" s="53" t="str">
        <x:v>Cativo</x:v>
      </x:c>
      <x:c r="E2556" s="49" t="n">
        <x:v>1395313.579</x:v>
      </x:c>
      <x:c r="F2556" s="52" t="n">
        <x:v>6502476</x:v>
      </x:c>
      <x:c r="G2556" s="54" t="n">
        <x:v>46220</x:v>
      </x:c>
      <x:c r="H2556" s="14" t="str">
        <x:f>IF(E2556&lt;0,"Componente negativo — manter e investigar","OK")</x:f>
        <x:v>OK</x:v>
      </x:c>
    </x:row>
    <x:row r="2557">
      <x:c r="A2557" s="51" t="n">
        <x:v>45658</x:v>
      </x:c>
      <x:c r="B2557" s="14" t="str">
        <x:v>Centro-Oeste</x:v>
      </x:c>
      <x:c r="C2557" s="14" t="str">
        <x:v>SUDESTE / CENTRO - OESTE</x:v>
      </x:c>
      <x:c r="D2557" s="53" t="str">
        <x:v>Livre</x:v>
      </x:c>
      <x:c r="E2557" s="49" t="n">
        <x:v>40.129</x:v>
      </x:c>
      <x:c r="F2557" s="52" t="n">
        <x:v>5</x:v>
      </x:c>
      <x:c r="G2557" s="54" t="n">
        <x:v>46220</x:v>
      </x:c>
      <x:c r="H2557" s="14" t="str">
        <x:f>IF(E2557&lt;0,"Componente negativo — manter e investigar","OK")</x:f>
        <x:v>OK</x:v>
      </x:c>
    </x:row>
    <x:row r="2558">
      <x:c r="A2558" s="51" t="n">
        <x:v>45658</x:v>
      </x:c>
      <x:c r="B2558" s="14" t="str">
        <x:v>Nordeste</x:v>
      </x:c>
      <x:c r="C2558" s="14" t="str">
        <x:v>NORDESTE</x:v>
      </x:c>
      <x:c r="D2558" s="53" t="str">
        <x:v>Cativo</x:v>
      </x:c>
      <x:c r="E2558" s="49" t="n">
        <x:v>2804060.5200000005</x:v>
      </x:c>
      <x:c r="F2558" s="52" t="n">
        <x:v>20073436</x:v>
      </x:c>
      <x:c r="G2558" s="54" t="n">
        <x:v>46220</x:v>
      </x:c>
      <x:c r="H2558" s="14" t="str">
        <x:f>IF(E2558&lt;0,"Componente negativo — manter e investigar","OK")</x:f>
        <x:v>OK</x:v>
      </x:c>
    </x:row>
    <x:row r="2559">
      <x:c r="A2559" s="51" t="n">
        <x:v>45658</x:v>
      </x:c>
      <x:c r="B2559" s="14" t="str">
        <x:v>Nordeste</x:v>
      </x:c>
      <x:c r="C2559" s="14" t="str">
        <x:v>NORDESTE</x:v>
      </x:c>
      <x:c r="D2559" s="53" t="str">
        <x:v>Livre</x:v>
      </x:c>
      <x:c r="E2559" s="49" t="n">
        <x:v>43.649</x:v>
      </x:c>
      <x:c r="F2559" s="52" t="n">
        <x:v>2</x:v>
      </x:c>
      <x:c r="G2559" s="54" t="n">
        <x:v>46220</x:v>
      </x:c>
      <x:c r="H2559" s="14" t="str">
        <x:f>IF(E2559&lt;0,"Componente negativo — manter e investigar","OK")</x:f>
        <x:v>OK</x:v>
      </x:c>
    </x:row>
    <x:row r="2560">
      <x:c r="A2560" s="51" t="n">
        <x:v>45658</x:v>
      </x:c>
      <x:c r="B2560" s="14" t="str">
        <x:v>Nordeste</x:v>
      </x:c>
      <x:c r="C2560" s="14" t="str">
        <x:v>NORTE INTERLIGADO</x:v>
      </x:c>
      <x:c r="D2560" s="53" t="str">
        <x:v>Cativo</x:v>
      </x:c>
      <x:c r="E2560" s="49" t="n">
        <x:v>431372.204</x:v>
      </x:c>
      <x:c r="F2560" s="52" t="n">
        <x:v>2572759</x:v>
      </x:c>
      <x:c r="G2560" s="54" t="n">
        <x:v>46220</x:v>
      </x:c>
      <x:c r="H2560" s="14" t="str">
        <x:f>IF(E2560&lt;0,"Componente negativo — manter e investigar","OK")</x:f>
        <x:v>OK</x:v>
      </x:c>
    </x:row>
    <x:row r="2561">
      <x:c r="A2561" s="51" t="n">
        <x:v>45658</x:v>
      </x:c>
      <x:c r="B2561" s="14" t="str">
        <x:v>Nordeste</x:v>
      </x:c>
      <x:c r="C2561" s="14" t="str">
        <x:v>NORTE INTERLIGADO</x:v>
      </x:c>
      <x:c r="D2561" s="53" t="str">
        <x:v>Livre</x:v>
      </x:c>
      <x:c r="E2561" s="49" t="n">
        <x:v>80.057</x:v>
      </x:c>
      <x:c r="F2561" s="52" t="n">
        <x:v>3</x:v>
      </x:c>
      <x:c r="G2561" s="54" t="n">
        <x:v>46220</x:v>
      </x:c>
      <x:c r="H2561" s="14" t="str">
        <x:f>IF(E2561&lt;0,"Componente negativo — manter e investigar","OK")</x:f>
        <x:v>OK</x:v>
      </x:c>
    </x:row>
    <x:row r="2562">
      <x:c r="A2562" s="51" t="n">
        <x:v>45658</x:v>
      </x:c>
      <x:c r="B2562" s="14" t="str">
        <x:v>Nordeste</x:v>
      </x:c>
      <x:c r="C2562" s="14" t="str">
        <x:v>SISTEMAS ISOLADOS</x:v>
      </x:c>
      <x:c r="D2562" s="53" t="str">
        <x:v>Cativo</x:v>
      </x:c>
      <x:c r="E2562" s="49" t="n">
        <x:v>1000.753</x:v>
      </x:c>
      <x:c r="F2562" s="52" t="n">
        <x:v>773</x:v>
      </x:c>
      <x:c r="G2562" s="54" t="n">
        <x:v>46220</x:v>
      </x:c>
      <x:c r="H2562" s="14" t="str">
        <x:f>IF(E2562&lt;0,"Componente negativo — manter e investigar","OK")</x:f>
        <x:v>OK</x:v>
      </x:c>
    </x:row>
    <x:row r="2563">
      <x:c r="A2563" s="51" t="n">
        <x:v>45658</x:v>
      </x:c>
      <x:c r="B2563" s="14" t="str">
        <x:v>Norte</x:v>
      </x:c>
      <x:c r="C2563" s="14" t="str">
        <x:v>NORTE INTERLIGADO</x:v>
      </x:c>
      <x:c r="D2563" s="53" t="str">
        <x:v>Cativo</x:v>
      </x:c>
      <x:c r="E2563" s="49" t="n">
        <x:v>776458.236</x:v>
      </x:c>
      <x:c r="F2563" s="52" t="n">
        <x:v>4064407</x:v>
      </x:c>
      <x:c r="G2563" s="54" t="n">
        <x:v>46220</x:v>
      </x:c>
      <x:c r="H2563" s="14" t="str">
        <x:f>IF(E2563&lt;0,"Componente negativo — manter e investigar","OK")</x:f>
        <x:v>OK</x:v>
      </x:c>
    </x:row>
    <x:row r="2564">
      <x:c r="A2564" s="51" t="n">
        <x:v>45658</x:v>
      </x:c>
      <x:c r="B2564" s="14" t="str">
        <x:v>Norte</x:v>
      </x:c>
      <x:c r="C2564" s="14" t="str">
        <x:v>SISTEMAS ISOLADOS</x:v>
      </x:c>
      <x:c r="D2564" s="53" t="str">
        <x:v>Cativo</x:v>
      </x:c>
      <x:c r="E2564" s="49" t="n">
        <x:v>137336.331</x:v>
      </x:c>
      <x:c r="F2564" s="52" t="n">
        <x:v>581597</x:v>
      </x:c>
      <x:c r="G2564" s="54" t="n">
        <x:v>46220</x:v>
      </x:c>
      <x:c r="H2564" s="14" t="str">
        <x:f>IF(E2564&lt;0,"Componente negativo — manter e investigar","OK")</x:f>
        <x:v>OK</x:v>
      </x:c>
    </x:row>
    <x:row r="2565">
      <x:c r="A2565" s="51" t="n">
        <x:v>45658</x:v>
      </x:c>
      <x:c r="B2565" s="14" t="str">
        <x:v>Norte</x:v>
      </x:c>
      <x:c r="C2565" s="14" t="str">
        <x:v>SUDESTE / CENTRO - OESTE</x:v>
      </x:c>
      <x:c r="D2565" s="53" t="str">
        <x:v>Cativo</x:v>
      </x:c>
      <x:c r="E2565" s="49" t="n">
        <x:v>200609.857</x:v>
      </x:c>
      <x:c r="F2565" s="52" t="n">
        <x:v>799819</x:v>
      </x:c>
      <x:c r="G2565" s="54" t="n">
        <x:v>46220</x:v>
      </x:c>
      <x:c r="H2565" s="14" t="str">
        <x:f>IF(E2565&lt;0,"Componente negativo — manter e investigar","OK")</x:f>
        <x:v>OK</x:v>
      </x:c>
    </x:row>
    <x:row r="2566">
      <x:c r="A2566" s="51" t="n">
        <x:v>45658</x:v>
      </x:c>
      <x:c r="B2566" s="14" t="str">
        <x:v>Sudeste</x:v>
      </x:c>
      <x:c r="C2566" s="14" t="str">
        <x:v>SUDESTE / CENTRO - OESTE</x:v>
      </x:c>
      <x:c r="D2566" s="53" t="str">
        <x:v>Cativo</x:v>
      </x:c>
      <x:c r="E2566" s="49" t="n">
        <x:v>7233946.392</x:v>
      </x:c>
      <x:c r="F2566" s="52" t="n">
        <x:v>36320186</x:v>
      </x:c>
      <x:c r="G2566" s="54" t="n">
        <x:v>46220</x:v>
      </x:c>
      <x:c r="H2566" s="14" t="str">
        <x:f>IF(E2566&lt;0,"Componente negativo — manter e investigar","OK")</x:f>
        <x:v>OK</x:v>
      </x:c>
    </x:row>
    <x:row r="2567">
      <x:c r="A2567" s="51" t="n">
        <x:v>45658</x:v>
      </x:c>
      <x:c r="B2567" s="14" t="str">
        <x:v>Sudeste</x:v>
      </x:c>
      <x:c r="C2567" s="14" t="str">
        <x:v>SUDESTE / CENTRO - OESTE</x:v>
      </x:c>
      <x:c r="D2567" s="53" t="str">
        <x:v>Livre</x:v>
      </x:c>
      <x:c r="E2567" s="49" t="n">
        <x:v>990.996</x:v>
      </x:c>
      <x:c r="F2567" s="52" t="n">
        <x:v>28</x:v>
      </x:c>
      <x:c r="G2567" s="54" t="n">
        <x:v>46220</x:v>
      </x:c>
      <x:c r="H2567" s="14" t="str">
        <x:f>IF(E2567&lt;0,"Componente negativo — manter e investigar","OK")</x:f>
        <x:v>OK</x:v>
      </x:c>
    </x:row>
    <x:row r="2568">
      <x:c r="A2568" s="51" t="n">
        <x:v>45658</x:v>
      </x:c>
      <x:c r="B2568" s="14" t="str">
        <x:v>Sul</x:v>
      </x:c>
      <x:c r="C2568" s="14" t="str">
        <x:v>SUL</x:v>
      </x:c>
      <x:c r="D2568" s="53" t="str">
        <x:v>Cativo</x:v>
      </x:c>
      <x:c r="E2568" s="49" t="n">
        <x:v>2713837.2339999997</x:v>
      </x:c>
      <x:c r="F2568" s="52" t="n">
        <x:v>11615761</x:v>
      </x:c>
      <x:c r="G2568" s="54" t="n">
        <x:v>46220</x:v>
      </x:c>
      <x:c r="H2568" s="14" t="str">
        <x:f>IF(E2568&lt;0,"Componente negativo — manter e investigar","OK")</x:f>
        <x:v>OK</x:v>
      </x:c>
    </x:row>
    <x:row r="2569">
      <x:c r="A2569" s="51" t="n">
        <x:v>45658</x:v>
      </x:c>
      <x:c r="B2569" s="14" t="str">
        <x:v>Sul</x:v>
      </x:c>
      <x:c r="C2569" s="14" t="str">
        <x:v>SUL</x:v>
      </x:c>
      <x:c r="D2569" s="53" t="str">
        <x:v>Livre</x:v>
      </x:c>
      <x:c r="E2569" s="49" t="n">
        <x:v>54.379</x:v>
      </x:c>
      <x:c r="F2569" s="52" t="n">
        <x:v>4</x:v>
      </x:c>
      <x:c r="G2569" s="54" t="n">
        <x:v>46220</x:v>
      </x:c>
      <x:c r="H2569" s="14" t="str">
        <x:f>IF(E2569&lt;0,"Componente negativo — manter e investigar","OK")</x:f>
        <x:v>OK</x:v>
      </x:c>
    </x:row>
    <x:row r="2570">
      <x:c r="A2570" s="51" t="n">
        <x:v>45689</x:v>
      </x:c>
      <x:c r="B2570" s="14" t="str">
        <x:v>Centro-Oeste</x:v>
      </x:c>
      <x:c r="C2570" s="14" t="str">
        <x:v>SUDESTE / CENTRO - OESTE</x:v>
      </x:c>
      <x:c r="D2570" s="53" t="str">
        <x:v>Cativo</x:v>
      </x:c>
      <x:c r="E2570" s="49" t="n">
        <x:v>1420796.777</x:v>
      </x:c>
      <x:c r="F2570" s="52" t="n">
        <x:v>6514441</x:v>
      </x:c>
      <x:c r="G2570" s="54" t="n">
        <x:v>46220</x:v>
      </x:c>
      <x:c r="H2570" s="14" t="str">
        <x:f>IF(E2570&lt;0,"Componente negativo — manter e investigar","OK")</x:f>
        <x:v>OK</x:v>
      </x:c>
    </x:row>
    <x:row r="2571">
      <x:c r="A2571" s="51" t="n">
        <x:v>45689</x:v>
      </x:c>
      <x:c r="B2571" s="14" t="str">
        <x:v>Centro-Oeste</x:v>
      </x:c>
      <x:c r="C2571" s="14" t="str">
        <x:v>SUDESTE / CENTRO - OESTE</x:v>
      </x:c>
      <x:c r="D2571" s="53" t="str">
        <x:v>Livre</x:v>
      </x:c>
      <x:c r="E2571" s="49" t="n">
        <x:v>74.098</x:v>
      </x:c>
      <x:c r="F2571" s="52" t="n">
        <x:v>7</x:v>
      </x:c>
      <x:c r="G2571" s="54" t="n">
        <x:v>46220</x:v>
      </x:c>
      <x:c r="H2571" s="14" t="str">
        <x:f>IF(E2571&lt;0,"Componente negativo — manter e investigar","OK")</x:f>
        <x:v>OK</x:v>
      </x:c>
    </x:row>
    <x:row r="2572">
      <x:c r="A2572" s="51" t="n">
        <x:v>45689</x:v>
      </x:c>
      <x:c r="B2572" s="14" t="str">
        <x:v>Nordeste</x:v>
      </x:c>
      <x:c r="C2572" s="14" t="str">
        <x:v>NORDESTE</x:v>
      </x:c>
      <x:c r="D2572" s="53" t="str">
        <x:v>Cativo</x:v>
      </x:c>
      <x:c r="E2572" s="49" t="n">
        <x:v>2734689.001</x:v>
      </x:c>
      <x:c r="F2572" s="52" t="n">
        <x:v>20108597</x:v>
      </x:c>
      <x:c r="G2572" s="54" t="n">
        <x:v>46220</x:v>
      </x:c>
      <x:c r="H2572" s="14" t="str">
        <x:f>IF(E2572&lt;0,"Componente negativo — manter e investigar","OK")</x:f>
        <x:v>OK</x:v>
      </x:c>
    </x:row>
    <x:row r="2573">
      <x:c r="A2573" s="51" t="n">
        <x:v>45689</x:v>
      </x:c>
      <x:c r="B2573" s="14" t="str">
        <x:v>Nordeste</x:v>
      </x:c>
      <x:c r="C2573" s="14" t="str">
        <x:v>NORDESTE</x:v>
      </x:c>
      <x:c r="D2573" s="53" t="str">
        <x:v>Livre</x:v>
      </x:c>
      <x:c r="E2573" s="49" t="n">
        <x:v>51.615</x:v>
      </x:c>
      <x:c r="F2573" s="52" t="n">
        <x:v>2</x:v>
      </x:c>
      <x:c r="G2573" s="54" t="n">
        <x:v>46220</x:v>
      </x:c>
      <x:c r="H2573" s="14" t="str">
        <x:f>IF(E2573&lt;0,"Componente negativo — manter e investigar","OK")</x:f>
        <x:v>OK</x:v>
      </x:c>
    </x:row>
    <x:row r="2574">
      <x:c r="A2574" s="51" t="n">
        <x:v>45689</x:v>
      </x:c>
      <x:c r="B2574" s="14" t="str">
        <x:v>Nordeste</x:v>
      </x:c>
      <x:c r="C2574" s="14" t="str">
        <x:v>NORTE INTERLIGADO</x:v>
      </x:c>
      <x:c r="D2574" s="53" t="str">
        <x:v>Cativo</x:v>
      </x:c>
      <x:c r="E2574" s="49" t="n">
        <x:v>401715.018</x:v>
      </x:c>
      <x:c r="F2574" s="52" t="n">
        <x:v>2571709</x:v>
      </x:c>
      <x:c r="G2574" s="54" t="n">
        <x:v>46220</x:v>
      </x:c>
      <x:c r="H2574" s="14" t="str">
        <x:f>IF(E2574&lt;0,"Componente negativo — manter e investigar","OK")</x:f>
        <x:v>OK</x:v>
      </x:c>
    </x:row>
    <x:row r="2575">
      <x:c r="A2575" s="51" t="n">
        <x:v>45689</x:v>
      </x:c>
      <x:c r="B2575" s="14" t="str">
        <x:v>Nordeste</x:v>
      </x:c>
      <x:c r="C2575" s="14" t="str">
        <x:v>NORTE INTERLIGADO</x:v>
      </x:c>
      <x:c r="D2575" s="53" t="str">
        <x:v>Livre</x:v>
      </x:c>
      <x:c r="E2575" s="49" t="n">
        <x:v>72.388</x:v>
      </x:c>
      <x:c r="F2575" s="52" t="n">
        <x:v>3</x:v>
      </x:c>
      <x:c r="G2575" s="54" t="n">
        <x:v>46220</x:v>
      </x:c>
      <x:c r="H2575" s="14" t="str">
        <x:f>IF(E2575&lt;0,"Componente negativo — manter e investigar","OK")</x:f>
        <x:v>OK</x:v>
      </x:c>
    </x:row>
    <x:row r="2576">
      <x:c r="A2576" s="51" t="n">
        <x:v>45689</x:v>
      </x:c>
      <x:c r="B2576" s="14" t="str">
        <x:v>Nordeste</x:v>
      </x:c>
      <x:c r="C2576" s="14" t="str">
        <x:v>SISTEMAS ISOLADOS</x:v>
      </x:c>
      <x:c r="D2576" s="53" t="str">
        <x:v>Cativo</x:v>
      </x:c>
      <x:c r="E2576" s="49" t="n">
        <x:v>1126.079</x:v>
      </x:c>
      <x:c r="F2576" s="52" t="n">
        <x:v>792</x:v>
      </x:c>
      <x:c r="G2576" s="54" t="n">
        <x:v>46220</x:v>
      </x:c>
      <x:c r="H2576" s="14" t="str">
        <x:f>IF(E2576&lt;0,"Componente negativo — manter e investigar","OK")</x:f>
        <x:v>OK</x:v>
      </x:c>
    </x:row>
    <x:row r="2577">
      <x:c r="A2577" s="51" t="n">
        <x:v>45689</x:v>
      </x:c>
      <x:c r="B2577" s="14" t="str">
        <x:v>Norte</x:v>
      </x:c>
      <x:c r="C2577" s="14" t="str">
        <x:v>NORTE INTERLIGADO</x:v>
      </x:c>
      <x:c r="D2577" s="53" t="str">
        <x:v>Cativo</x:v>
      </x:c>
      <x:c r="E2577" s="49" t="n">
        <x:v>733309.371</x:v>
      </x:c>
      <x:c r="F2577" s="52" t="n">
        <x:v>4051268</x:v>
      </x:c>
      <x:c r="G2577" s="54" t="n">
        <x:v>46220</x:v>
      </x:c>
      <x:c r="H2577" s="14" t="str">
        <x:f>IF(E2577&lt;0,"Componente negativo — manter e investigar","OK")</x:f>
        <x:v>OK</x:v>
      </x:c>
    </x:row>
    <x:row r="2578">
      <x:c r="A2578" s="51" t="n">
        <x:v>45689</x:v>
      </x:c>
      <x:c r="B2578" s="14" t="str">
        <x:v>Norte</x:v>
      </x:c>
      <x:c r="C2578" s="14" t="str">
        <x:v>SISTEMAS ISOLADOS</x:v>
      </x:c>
      <x:c r="D2578" s="53" t="str">
        <x:v>Cativo</x:v>
      </x:c>
      <x:c r="E2578" s="49" t="n">
        <x:v>126406.683</x:v>
      </x:c>
      <x:c r="F2578" s="52" t="n">
        <x:v>583733</x:v>
      </x:c>
      <x:c r="G2578" s="54" t="n">
        <x:v>46220</x:v>
      </x:c>
      <x:c r="H2578" s="14" t="str">
        <x:f>IF(E2578&lt;0,"Componente negativo — manter e investigar","OK")</x:f>
        <x:v>OK</x:v>
      </x:c>
    </x:row>
    <x:row r="2579">
      <x:c r="A2579" s="51" t="n">
        <x:v>45689</x:v>
      </x:c>
      <x:c r="B2579" s="14" t="str">
        <x:v>Norte</x:v>
      </x:c>
      <x:c r="C2579" s="14" t="str">
        <x:v>SUDESTE / CENTRO - OESTE</x:v>
      </x:c>
      <x:c r="D2579" s="53" t="str">
        <x:v>Cativo</x:v>
      </x:c>
      <x:c r="E2579" s="49" t="n">
        <x:v>201942.574</x:v>
      </x:c>
      <x:c r="F2579" s="52" t="n">
        <x:v>802712</x:v>
      </x:c>
      <x:c r="G2579" s="54" t="n">
        <x:v>46220</x:v>
      </x:c>
      <x:c r="H2579" s="14" t="str">
        <x:f>IF(E2579&lt;0,"Componente negativo — manter e investigar","OK")</x:f>
        <x:v>OK</x:v>
      </x:c>
    </x:row>
    <x:row r="2580">
      <x:c r="A2580" s="51" t="n">
        <x:v>45689</x:v>
      </x:c>
      <x:c r="B2580" s="14" t="str">
        <x:v>Sudeste</x:v>
      </x:c>
      <x:c r="C2580" s="14" t="str">
        <x:v>SUDESTE / CENTRO - OESTE</x:v>
      </x:c>
      <x:c r="D2580" s="53" t="str">
        <x:v>Cativo</x:v>
      </x:c>
      <x:c r="E2580" s="49" t="n">
        <x:v>7285163.927</x:v>
      </x:c>
      <x:c r="F2580" s="52" t="n">
        <x:v>36338608</x:v>
      </x:c>
      <x:c r="G2580" s="54" t="n">
        <x:v>46220</x:v>
      </x:c>
      <x:c r="H2580" s="14" t="str">
        <x:f>IF(E2580&lt;0,"Componente negativo — manter e investigar","OK")</x:f>
        <x:v>OK</x:v>
      </x:c>
    </x:row>
    <x:row r="2581">
      <x:c r="A2581" s="51" t="n">
        <x:v>45689</x:v>
      </x:c>
      <x:c r="B2581" s="14" t="str">
        <x:v>Sudeste</x:v>
      </x:c>
      <x:c r="C2581" s="14" t="str">
        <x:v>SUDESTE / CENTRO - OESTE</x:v>
      </x:c>
      <x:c r="D2581" s="53" t="str">
        <x:v>Livre</x:v>
      </x:c>
      <x:c r="E2581" s="49" t="n">
        <x:v>927.086</x:v>
      </x:c>
      <x:c r="F2581" s="52" t="n">
        <x:v>36</x:v>
      </x:c>
      <x:c r="G2581" s="54" t="n">
        <x:v>46220</x:v>
      </x:c>
      <x:c r="H2581" s="14" t="str">
        <x:f>IF(E2581&lt;0,"Componente negativo — manter e investigar","OK")</x:f>
        <x:v>OK</x:v>
      </x:c>
    </x:row>
    <x:row r="2582">
      <x:c r="A2582" s="51" t="n">
        <x:v>45689</x:v>
      </x:c>
      <x:c r="B2582" s="14" t="str">
        <x:v>Sul</x:v>
      </x:c>
      <x:c r="C2582" s="14" t="str">
        <x:v>SUL</x:v>
      </x:c>
      <x:c r="D2582" s="53" t="str">
        <x:v>Cativo</x:v>
      </x:c>
      <x:c r="E2582" s="49" t="n">
        <x:v>3130985.64</x:v>
      </x:c>
      <x:c r="F2582" s="52" t="n">
        <x:v>11687518</x:v>
      </x:c>
      <x:c r="G2582" s="54" t="n">
        <x:v>46220</x:v>
      </x:c>
      <x:c r="H2582" s="14" t="str">
        <x:f>IF(E2582&lt;0,"Componente negativo — manter e investigar","OK")</x:f>
        <x:v>OK</x:v>
      </x:c>
    </x:row>
    <x:row r="2583">
      <x:c r="A2583" s="51" t="n">
        <x:v>45689</x:v>
      </x:c>
      <x:c r="B2583" s="14" t="str">
        <x:v>Sul</x:v>
      </x:c>
      <x:c r="C2583" s="14" t="str">
        <x:v>SUL</x:v>
      </x:c>
      <x:c r="D2583" s="53" t="str">
        <x:v>Livre</x:v>
      </x:c>
      <x:c r="E2583" s="49" t="n">
        <x:v>205.508</x:v>
      </x:c>
      <x:c r="F2583" s="52" t="n">
        <x:v>8</x:v>
      </x:c>
      <x:c r="G2583" s="54" t="n">
        <x:v>46220</x:v>
      </x:c>
      <x:c r="H2583" s="14" t="str">
        <x:f>IF(E2583&lt;0,"Componente negativo — manter e investigar","OK")</x:f>
        <x:v>OK</x:v>
      </x:c>
    </x:row>
    <x:row r="2584">
      <x:c r="A2584" s="51" t="n">
        <x:v>45717</x:v>
      </x:c>
      <x:c r="B2584" s="14" t="str">
        <x:v>Centro-Oeste</x:v>
      </x:c>
      <x:c r="C2584" s="14" t="str">
        <x:v>SUDESTE / CENTRO - OESTE</x:v>
      </x:c>
      <x:c r="D2584" s="53" t="str">
        <x:v>Cativo</x:v>
      </x:c>
      <x:c r="E2584" s="49" t="n">
        <x:v>1469954.837</x:v>
      </x:c>
      <x:c r="F2584" s="52" t="n">
        <x:v>6525419</x:v>
      </x:c>
      <x:c r="G2584" s="54" t="n">
        <x:v>46220</x:v>
      </x:c>
      <x:c r="H2584" s="14" t="str">
        <x:f>IF(E2584&lt;0,"Componente negativo — manter e investigar","OK")</x:f>
        <x:v>OK</x:v>
      </x:c>
    </x:row>
    <x:row r="2585">
      <x:c r="A2585" s="51" t="n">
        <x:v>45717</x:v>
      </x:c>
      <x:c r="B2585" s="14" t="str">
        <x:v>Centro-Oeste</x:v>
      </x:c>
      <x:c r="C2585" s="14" t="str">
        <x:v>SUDESTE / CENTRO - OESTE</x:v>
      </x:c>
      <x:c r="D2585" s="53" t="str">
        <x:v>Livre</x:v>
      </x:c>
      <x:c r="E2585" s="49" t="n">
        <x:v>118.208</x:v>
      </x:c>
      <x:c r="F2585" s="52" t="n">
        <x:v>10</x:v>
      </x:c>
      <x:c r="G2585" s="54" t="n">
        <x:v>46220</x:v>
      </x:c>
      <x:c r="H2585" s="14" t="str">
        <x:f>IF(E2585&lt;0,"Componente negativo — manter e investigar","OK")</x:f>
        <x:v>OK</x:v>
      </x:c>
    </x:row>
    <x:row r="2586">
      <x:c r="A2586" s="51" t="n">
        <x:v>45717</x:v>
      </x:c>
      <x:c r="B2586" s="14" t="str">
        <x:v>Nordeste</x:v>
      </x:c>
      <x:c r="C2586" s="14" t="str">
        <x:v>NORDESTE</x:v>
      </x:c>
      <x:c r="D2586" s="53" t="str">
        <x:v>Cativo</x:v>
      </x:c>
      <x:c r="E2586" s="49" t="n">
        <x:v>2700693.4080000003</x:v>
      </x:c>
      <x:c r="F2586" s="52" t="n">
        <x:v>20141505</x:v>
      </x:c>
      <x:c r="G2586" s="54" t="n">
        <x:v>46220</x:v>
      </x:c>
      <x:c r="H2586" s="14" t="str">
        <x:f>IF(E2586&lt;0,"Componente negativo — manter e investigar","OK")</x:f>
        <x:v>OK</x:v>
      </x:c>
    </x:row>
    <x:row r="2587">
      <x:c r="A2587" s="51" t="n">
        <x:v>45717</x:v>
      </x:c>
      <x:c r="B2587" s="14" t="str">
        <x:v>Nordeste</x:v>
      </x:c>
      <x:c r="C2587" s="14" t="str">
        <x:v>NORDESTE</x:v>
      </x:c>
      <x:c r="D2587" s="53" t="str">
        <x:v>Livre</x:v>
      </x:c>
      <x:c r="E2587" s="49" t="n">
        <x:v>41.978</x:v>
      </x:c>
      <x:c r="F2587" s="52" t="n">
        <x:v>2</x:v>
      </x:c>
      <x:c r="G2587" s="54" t="n">
        <x:v>46220</x:v>
      </x:c>
      <x:c r="H2587" s="14" t="str">
        <x:f>IF(E2587&lt;0,"Componente negativo — manter e investigar","OK")</x:f>
        <x:v>OK</x:v>
      </x:c>
    </x:row>
    <x:row r="2588">
      <x:c r="A2588" s="51" t="n">
        <x:v>45717</x:v>
      </x:c>
      <x:c r="B2588" s="14" t="str">
        <x:v>Nordeste</x:v>
      </x:c>
      <x:c r="C2588" s="14" t="str">
        <x:v>NORTE INTERLIGADO</x:v>
      </x:c>
      <x:c r="D2588" s="53" t="str">
        <x:v>Cativo</x:v>
      </x:c>
      <x:c r="E2588" s="49" t="n">
        <x:v>384247.902</x:v>
      </x:c>
      <x:c r="F2588" s="52" t="n">
        <x:v>2575921</x:v>
      </x:c>
      <x:c r="G2588" s="54" t="n">
        <x:v>46220</x:v>
      </x:c>
      <x:c r="H2588" s="14" t="str">
        <x:f>IF(E2588&lt;0,"Componente negativo — manter e investigar","OK")</x:f>
        <x:v>OK</x:v>
      </x:c>
    </x:row>
    <x:row r="2589">
      <x:c r="A2589" s="51" t="n">
        <x:v>45717</x:v>
      </x:c>
      <x:c r="B2589" s="14" t="str">
        <x:v>Nordeste</x:v>
      </x:c>
      <x:c r="C2589" s="14" t="str">
        <x:v>NORTE INTERLIGADO</x:v>
      </x:c>
      <x:c r="D2589" s="53" t="str">
        <x:v>Livre</x:v>
      </x:c>
      <x:c r="E2589" s="49" t="n">
        <x:v>81.573</x:v>
      </x:c>
      <x:c r="F2589" s="52" t="n">
        <x:v>3</x:v>
      </x:c>
      <x:c r="G2589" s="54" t="n">
        <x:v>46220</x:v>
      </x:c>
      <x:c r="H2589" s="14" t="str">
        <x:f>IF(E2589&lt;0,"Componente negativo — manter e investigar","OK")</x:f>
        <x:v>OK</x:v>
      </x:c>
    </x:row>
    <x:row r="2590">
      <x:c r="A2590" s="51" t="n">
        <x:v>45717</x:v>
      </x:c>
      <x:c r="B2590" s="14" t="str">
        <x:v>Nordeste</x:v>
      </x:c>
      <x:c r="C2590" s="14" t="str">
        <x:v>SISTEMAS ISOLADOS</x:v>
      </x:c>
      <x:c r="D2590" s="53" t="str">
        <x:v>Cativo</x:v>
      </x:c>
      <x:c r="E2590" s="49" t="n">
        <x:v>1011.244</x:v>
      </x:c>
      <x:c r="F2590" s="52" t="n">
        <x:v>805</x:v>
      </x:c>
      <x:c r="G2590" s="54" t="n">
        <x:v>46220</x:v>
      </x:c>
      <x:c r="H2590" s="14" t="str">
        <x:f>IF(E2590&lt;0,"Componente negativo — manter e investigar","OK")</x:f>
        <x:v>OK</x:v>
      </x:c>
    </x:row>
    <x:row r="2591">
      <x:c r="A2591" s="51" t="n">
        <x:v>45717</x:v>
      </x:c>
      <x:c r="B2591" s="14" t="str">
        <x:v>Norte</x:v>
      </x:c>
      <x:c r="C2591" s="14" t="str">
        <x:v>NORTE INTERLIGADO</x:v>
      </x:c>
      <x:c r="D2591" s="53" t="str">
        <x:v>Cativo</x:v>
      </x:c>
      <x:c r="E2591" s="49" t="n">
        <x:v>739595.9639999999</x:v>
      </x:c>
      <x:c r="F2591" s="52" t="n">
        <x:v>4059365</x:v>
      </x:c>
      <x:c r="G2591" s="54" t="n">
        <x:v>46220</x:v>
      </x:c>
      <x:c r="H2591" s="14" t="str">
        <x:f>IF(E2591&lt;0,"Componente negativo — manter e investigar","OK")</x:f>
        <x:v>OK</x:v>
      </x:c>
    </x:row>
    <x:row r="2592">
      <x:c r="A2592" s="51" t="n">
        <x:v>45717</x:v>
      </x:c>
      <x:c r="B2592" s="14" t="str">
        <x:v>Norte</x:v>
      </x:c>
      <x:c r="C2592" s="14" t="str">
        <x:v>SISTEMAS ISOLADOS</x:v>
      </x:c>
      <x:c r="D2592" s="53" t="str">
        <x:v>Cativo</x:v>
      </x:c>
      <x:c r="E2592" s="49" t="n">
        <x:v>126544.414</x:v>
      </x:c>
      <x:c r="F2592" s="52" t="n">
        <x:v>575317</x:v>
      </x:c>
      <x:c r="G2592" s="54" t="n">
        <x:v>46220</x:v>
      </x:c>
      <x:c r="H2592" s="14" t="str">
        <x:f>IF(E2592&lt;0,"Componente negativo — manter e investigar","OK")</x:f>
        <x:v>OK</x:v>
      </x:c>
    </x:row>
    <x:row r="2593">
      <x:c r="A2593" s="51" t="n">
        <x:v>45717</x:v>
      </x:c>
      <x:c r="B2593" s="14" t="str">
        <x:v>Norte</x:v>
      </x:c>
      <x:c r="C2593" s="14" t="str">
        <x:v>SUDESTE / CENTRO - OESTE</x:v>
      </x:c>
      <x:c r="D2593" s="53" t="str">
        <x:v>Cativo</x:v>
      </x:c>
      <x:c r="E2593" s="49" t="n">
        <x:v>196391.865</x:v>
      </x:c>
      <x:c r="F2593" s="52" t="n">
        <x:v>804189</x:v>
      </x:c>
      <x:c r="G2593" s="54" t="n">
        <x:v>46220</x:v>
      </x:c>
      <x:c r="H2593" s="14" t="str">
        <x:f>IF(E2593&lt;0,"Componente negativo — manter e investigar","OK")</x:f>
        <x:v>OK</x:v>
      </x:c>
    </x:row>
    <x:row r="2594">
      <x:c r="A2594" s="51" t="n">
        <x:v>45717</x:v>
      </x:c>
      <x:c r="B2594" s="14" t="str">
        <x:v>Sudeste</x:v>
      </x:c>
      <x:c r="C2594" s="14" t="str">
        <x:v>SUDESTE / CENTRO - OESTE</x:v>
      </x:c>
      <x:c r="D2594" s="53" t="str">
        <x:v>Cativo</x:v>
      </x:c>
      <x:c r="E2594" s="49" t="n">
        <x:v>7752175.333000001</x:v>
      </x:c>
      <x:c r="F2594" s="52" t="n">
        <x:v>36495344</x:v>
      </x:c>
      <x:c r="G2594" s="54" t="n">
        <x:v>46220</x:v>
      </x:c>
      <x:c r="H2594" s="14" t="str">
        <x:f>IF(E2594&lt;0,"Componente negativo — manter e investigar","OK")</x:f>
        <x:v>OK</x:v>
      </x:c>
    </x:row>
    <x:row r="2595">
      <x:c r="A2595" s="51" t="n">
        <x:v>45717</x:v>
      </x:c>
      <x:c r="B2595" s="14" t="str">
        <x:v>Sudeste</x:v>
      </x:c>
      <x:c r="C2595" s="14" t="str">
        <x:v>SUDESTE / CENTRO - OESTE</x:v>
      </x:c>
      <x:c r="D2595" s="53" t="str">
        <x:v>Livre</x:v>
      </x:c>
      <x:c r="E2595" s="49" t="n">
        <x:v>1093.832</x:v>
      </x:c>
      <x:c r="F2595" s="52" t="n">
        <x:v>39</x:v>
      </x:c>
      <x:c r="G2595" s="54" t="n">
        <x:v>46220</x:v>
      </x:c>
      <x:c r="H2595" s="14" t="str">
        <x:f>IF(E2595&lt;0,"Componente negativo — manter e investigar","OK")</x:f>
        <x:v>OK</x:v>
      </x:c>
    </x:row>
    <x:row r="2596">
      <x:c r="A2596" s="51" t="n">
        <x:v>45717</x:v>
      </x:c>
      <x:c r="B2596" s="14" t="str">
        <x:v>Sul</x:v>
      </x:c>
      <x:c r="C2596" s="14" t="str">
        <x:v>SUL</x:v>
      </x:c>
      <x:c r="D2596" s="53" t="str">
        <x:v>Cativo</x:v>
      </x:c>
      <x:c r="E2596" s="49" t="n">
        <x:v>3126092.416</x:v>
      </x:c>
      <x:c r="F2596" s="52" t="n">
        <x:v>11716402</x:v>
      </x:c>
      <x:c r="G2596" s="54" t="n">
        <x:v>46220</x:v>
      </x:c>
      <x:c r="H2596" s="14" t="str">
        <x:f>IF(E2596&lt;0,"Componente negativo — manter e investigar","OK")</x:f>
        <x:v>OK</x:v>
      </x:c>
    </x:row>
    <x:row r="2597">
      <x:c r="A2597" s="51" t="n">
        <x:v>45717</x:v>
      </x:c>
      <x:c r="B2597" s="14" t="str">
        <x:v>Sul</x:v>
      </x:c>
      <x:c r="C2597" s="14" t="str">
        <x:v>SUL</x:v>
      </x:c>
      <x:c r="D2597" s="53" t="str">
        <x:v>Livre</x:v>
      </x:c>
      <x:c r="E2597" s="49" t="n">
        <x:v>189.245</x:v>
      </x:c>
      <x:c r="F2597" s="52" t="n">
        <x:v>8</x:v>
      </x:c>
      <x:c r="G2597" s="54" t="n">
        <x:v>46220</x:v>
      </x:c>
      <x:c r="H2597" s="14" t="str">
        <x:f>IF(E2597&lt;0,"Componente negativo — manter e investigar","OK")</x:f>
        <x:v>OK</x:v>
      </x:c>
    </x:row>
    <x:row r="2598">
      <x:c r="A2598" s="51" t="n">
        <x:v>45748</x:v>
      </x:c>
      <x:c r="B2598" s="14" t="str">
        <x:v>Centro-Oeste</x:v>
      </x:c>
      <x:c r="C2598" s="14" t="str">
        <x:v>SUDESTE / CENTRO - OESTE</x:v>
      </x:c>
      <x:c r="D2598" s="53" t="str">
        <x:v>Cativo</x:v>
      </x:c>
      <x:c r="E2598" s="49" t="n">
        <x:v>1403598.676</x:v>
      </x:c>
      <x:c r="F2598" s="52" t="n">
        <x:v>6540461</x:v>
      </x:c>
      <x:c r="G2598" s="54" t="n">
        <x:v>46220</x:v>
      </x:c>
      <x:c r="H2598" s="14" t="str">
        <x:f>IF(E2598&lt;0,"Componente negativo — manter e investigar","OK")</x:f>
        <x:v>OK</x:v>
      </x:c>
    </x:row>
    <x:row r="2599">
      <x:c r="A2599" s="51" t="n">
        <x:v>45748</x:v>
      </x:c>
      <x:c r="B2599" s="14" t="str">
        <x:v>Centro-Oeste</x:v>
      </x:c>
      <x:c r="C2599" s="14" t="str">
        <x:v>SUDESTE / CENTRO - OESTE</x:v>
      </x:c>
      <x:c r="D2599" s="53" t="str">
        <x:v>Livre</x:v>
      </x:c>
      <x:c r="E2599" s="49" t="n">
        <x:v>129.996</x:v>
      </x:c>
      <x:c r="F2599" s="52" t="n">
        <x:v>10</x:v>
      </x:c>
      <x:c r="G2599" s="54" t="n">
        <x:v>46220</x:v>
      </x:c>
      <x:c r="H2599" s="14" t="str">
        <x:f>IF(E2599&lt;0,"Componente negativo — manter e investigar","OK")</x:f>
        <x:v>OK</x:v>
      </x:c>
    </x:row>
    <x:row r="2600">
      <x:c r="A2600" s="51" t="n">
        <x:v>45748</x:v>
      </x:c>
      <x:c r="B2600" s="14" t="str">
        <x:v>Nordeste</x:v>
      </x:c>
      <x:c r="C2600" s="14" t="str">
        <x:v>NORDESTE</x:v>
      </x:c>
      <x:c r="D2600" s="53" t="str">
        <x:v>Cativo</x:v>
      </x:c>
      <x:c r="E2600" s="49" t="n">
        <x:v>2675269.6780000003</x:v>
      </x:c>
      <x:c r="F2600" s="52" t="n">
        <x:v>20272115</x:v>
      </x:c>
      <x:c r="G2600" s="54" t="n">
        <x:v>46220</x:v>
      </x:c>
      <x:c r="H2600" s="14" t="str">
        <x:f>IF(E2600&lt;0,"Componente negativo — manter e investigar","OK")</x:f>
        <x:v>OK</x:v>
      </x:c>
    </x:row>
    <x:row r="2601">
      <x:c r="A2601" s="51" t="n">
        <x:v>45748</x:v>
      </x:c>
      <x:c r="B2601" s="14" t="str">
        <x:v>Nordeste</x:v>
      </x:c>
      <x:c r="C2601" s="14" t="str">
        <x:v>NORDESTE</x:v>
      </x:c>
      <x:c r="D2601" s="53" t="str">
        <x:v>Livre</x:v>
      </x:c>
      <x:c r="E2601" s="49" t="n">
        <x:v>67.497</x:v>
      </x:c>
      <x:c r="F2601" s="52" t="n">
        <x:v>3</x:v>
      </x:c>
      <x:c r="G2601" s="54" t="n">
        <x:v>46220</x:v>
      </x:c>
      <x:c r="H2601" s="14" t="str">
        <x:f>IF(E2601&lt;0,"Componente negativo — manter e investigar","OK")</x:f>
        <x:v>OK</x:v>
      </x:c>
    </x:row>
    <x:row r="2602">
      <x:c r="A2602" s="51" t="n">
        <x:v>45748</x:v>
      </x:c>
      <x:c r="B2602" s="14" t="str">
        <x:v>Nordeste</x:v>
      </x:c>
      <x:c r="C2602" s="14" t="str">
        <x:v>NORTE INTERLIGADO</x:v>
      </x:c>
      <x:c r="D2602" s="53" t="str">
        <x:v>Cativo</x:v>
      </x:c>
      <x:c r="E2602" s="49" t="n">
        <x:v>406666.421</x:v>
      </x:c>
      <x:c r="F2602" s="52" t="n">
        <x:v>2584620</x:v>
      </x:c>
      <x:c r="G2602" s="54" t="n">
        <x:v>46220</x:v>
      </x:c>
      <x:c r="H2602" s="14" t="str">
        <x:f>IF(E2602&lt;0,"Componente negativo — manter e investigar","OK")</x:f>
        <x:v>OK</x:v>
      </x:c>
    </x:row>
    <x:row r="2603">
      <x:c r="A2603" s="51" t="n">
        <x:v>45748</x:v>
      </x:c>
      <x:c r="B2603" s="14" t="str">
        <x:v>Nordeste</x:v>
      </x:c>
      <x:c r="C2603" s="14" t="str">
        <x:v>NORTE INTERLIGADO</x:v>
      </x:c>
      <x:c r="D2603" s="53" t="str">
        <x:v>Livre</x:v>
      </x:c>
      <x:c r="E2603" s="49" t="n">
        <x:v>96.608</x:v>
      </x:c>
      <x:c r="F2603" s="52" t="n">
        <x:v>4</x:v>
      </x:c>
      <x:c r="G2603" s="54" t="n">
        <x:v>46220</x:v>
      </x:c>
      <x:c r="H2603" s="14" t="str">
        <x:f>IF(E2603&lt;0,"Componente negativo — manter e investigar","OK")</x:f>
        <x:v>OK</x:v>
      </x:c>
    </x:row>
    <x:row r="2604">
      <x:c r="A2604" s="51" t="n">
        <x:v>45748</x:v>
      </x:c>
      <x:c r="B2604" s="14" t="str">
        <x:v>Nordeste</x:v>
      </x:c>
      <x:c r="C2604" s="14" t="str">
        <x:v>SISTEMAS ISOLADOS</x:v>
      </x:c>
      <x:c r="D2604" s="53" t="str">
        <x:v>Cativo</x:v>
      </x:c>
      <x:c r="E2604" s="49" t="n">
        <x:v>924.837</x:v>
      </x:c>
      <x:c r="F2604" s="52" t="n">
        <x:v>811</x:v>
      </x:c>
      <x:c r="G2604" s="54" t="n">
        <x:v>46220</x:v>
      </x:c>
      <x:c r="H2604" s="14" t="str">
        <x:f>IF(E2604&lt;0,"Componente negativo — manter e investigar","OK")</x:f>
        <x:v>OK</x:v>
      </x:c>
    </x:row>
    <x:row r="2605">
      <x:c r="A2605" s="51" t="n">
        <x:v>45748</x:v>
      </x:c>
      <x:c r="B2605" s="14" t="str">
        <x:v>Norte</x:v>
      </x:c>
      <x:c r="C2605" s="14" t="str">
        <x:v>NORTE INTERLIGADO</x:v>
      </x:c>
      <x:c r="D2605" s="53" t="str">
        <x:v>Cativo</x:v>
      </x:c>
      <x:c r="E2605" s="49" t="n">
        <x:v>783367.2720000001</x:v>
      </x:c>
      <x:c r="F2605" s="52" t="n">
        <x:v>4124841</x:v>
      </x:c>
      <x:c r="G2605" s="54" t="n">
        <x:v>46220</x:v>
      </x:c>
      <x:c r="H2605" s="14" t="str">
        <x:f>IF(E2605&lt;0,"Componente negativo — manter e investigar","OK")</x:f>
        <x:v>OK</x:v>
      </x:c>
    </x:row>
    <x:row r="2606">
      <x:c r="A2606" s="51" t="n">
        <x:v>45748</x:v>
      </x:c>
      <x:c r="B2606" s="14" t="str">
        <x:v>Norte</x:v>
      </x:c>
      <x:c r="C2606" s="14" t="str">
        <x:v>NORTE INTERLIGADO</x:v>
      </x:c>
      <x:c r="D2606" s="53" t="str">
        <x:v>Livre</x:v>
      </x:c>
      <x:c r="E2606" s="49" t="n">
        <x:v>2.068</x:v>
      </x:c>
      <x:c r="F2606" s="52" t="n">
        <x:v>1</x:v>
      </x:c>
      <x:c r="G2606" s="54" t="n">
        <x:v>46220</x:v>
      </x:c>
      <x:c r="H2606" s="14" t="str">
        <x:f>IF(E2606&lt;0,"Componente negativo — manter e investigar","OK")</x:f>
        <x:v>OK</x:v>
      </x:c>
    </x:row>
    <x:row r="2607">
      <x:c r="A2607" s="51" t="n">
        <x:v>45748</x:v>
      </x:c>
      <x:c r="B2607" s="14" t="str">
        <x:v>Norte</x:v>
      </x:c>
      <x:c r="C2607" s="14" t="str">
        <x:v>SISTEMAS ISOLADOS</x:v>
      </x:c>
      <x:c r="D2607" s="53" t="str">
        <x:v>Cativo</x:v>
      </x:c>
      <x:c r="E2607" s="49" t="n">
        <x:v>130348.388</x:v>
      </x:c>
      <x:c r="F2607" s="52" t="n">
        <x:v>596812</x:v>
      </x:c>
      <x:c r="G2607" s="54" t="n">
        <x:v>46220</x:v>
      </x:c>
      <x:c r="H2607" s="14" t="str">
        <x:f>IF(E2607&lt;0,"Componente negativo — manter e investigar","OK")</x:f>
        <x:v>OK</x:v>
      </x:c>
    </x:row>
    <x:row r="2608">
      <x:c r="A2608" s="51" t="n">
        <x:v>45748</x:v>
      </x:c>
      <x:c r="B2608" s="14" t="str">
        <x:v>Norte</x:v>
      </x:c>
      <x:c r="C2608" s="14" t="str">
        <x:v>SUDESTE / CENTRO - OESTE</x:v>
      </x:c>
      <x:c r="D2608" s="53" t="str">
        <x:v>Cativo</x:v>
      </x:c>
      <x:c r="E2608" s="49" t="n">
        <x:v>197672.471</x:v>
      </x:c>
      <x:c r="F2608" s="52" t="n">
        <x:v>807800</x:v>
      </x:c>
      <x:c r="G2608" s="54" t="n">
        <x:v>46220</x:v>
      </x:c>
      <x:c r="H2608" s="14" t="str">
        <x:f>IF(E2608&lt;0,"Componente negativo — manter e investigar","OK")</x:f>
        <x:v>OK</x:v>
      </x:c>
    </x:row>
    <x:row r="2609">
      <x:c r="A2609" s="51" t="n">
        <x:v>45748</x:v>
      </x:c>
      <x:c r="B2609" s="14" t="str">
        <x:v>Sudeste</x:v>
      </x:c>
      <x:c r="C2609" s="14" t="str">
        <x:v>SUDESTE / CENTRO - OESTE</x:v>
      </x:c>
      <x:c r="D2609" s="53" t="str">
        <x:v>Cativo</x:v>
      </x:c>
      <x:c r="E2609" s="49" t="n">
        <x:v>6773737.407</x:v>
      </x:c>
      <x:c r="F2609" s="52" t="n">
        <x:v>36526675</x:v>
      </x:c>
      <x:c r="G2609" s="54" t="n">
        <x:v>46220</x:v>
      </x:c>
      <x:c r="H2609" s="14" t="str">
        <x:f>IF(E2609&lt;0,"Componente negativo — manter e investigar","OK")</x:f>
        <x:v>OK</x:v>
      </x:c>
    </x:row>
    <x:row r="2610">
      <x:c r="A2610" s="51" t="n">
        <x:v>45748</x:v>
      </x:c>
      <x:c r="B2610" s="14" t="str">
        <x:v>Sudeste</x:v>
      </x:c>
      <x:c r="C2610" s="14" t="str">
        <x:v>SUDESTE / CENTRO - OESTE</x:v>
      </x:c>
      <x:c r="D2610" s="53" t="str">
        <x:v>Livre</x:v>
      </x:c>
      <x:c r="E2610" s="49" t="n">
        <x:v>1392.436</x:v>
      </x:c>
      <x:c r="F2610" s="52" t="n">
        <x:v>43</x:v>
      </x:c>
      <x:c r="G2610" s="54" t="n">
        <x:v>46220</x:v>
      </x:c>
      <x:c r="H2610" s="14" t="str">
        <x:f>IF(E2610&lt;0,"Componente negativo — manter e investigar","OK")</x:f>
        <x:v>OK</x:v>
      </x:c>
    </x:row>
    <x:row r="2611">
      <x:c r="A2611" s="51" t="n">
        <x:v>45748</x:v>
      </x:c>
      <x:c r="B2611" s="14" t="str">
        <x:v>Sul</x:v>
      </x:c>
      <x:c r="C2611" s="14" t="str">
        <x:v>SUL</x:v>
      </x:c>
      <x:c r="D2611" s="53" t="str">
        <x:v>Cativo</x:v>
      </x:c>
      <x:c r="E2611" s="49" t="n">
        <x:v>2485643.157</x:v>
      </x:c>
      <x:c r="F2611" s="52" t="n">
        <x:v>11735895</x:v>
      </x:c>
      <x:c r="G2611" s="54" t="n">
        <x:v>46220</x:v>
      </x:c>
      <x:c r="H2611" s="14" t="str">
        <x:f>IF(E2611&lt;0,"Componente negativo — manter e investigar","OK")</x:f>
        <x:v>OK</x:v>
      </x:c>
    </x:row>
    <x:row r="2612">
      <x:c r="A2612" s="51" t="n">
        <x:v>45748</x:v>
      </x:c>
      <x:c r="B2612" s="14" t="str">
        <x:v>Sul</x:v>
      </x:c>
      <x:c r="C2612" s="14" t="str">
        <x:v>SUL</x:v>
      </x:c>
      <x:c r="D2612" s="53" t="str">
        <x:v>Livre</x:v>
      </x:c>
      <x:c r="E2612" s="49" t="n">
        <x:v>131.103</x:v>
      </x:c>
      <x:c r="F2612" s="52" t="n">
        <x:v>7</x:v>
      </x:c>
      <x:c r="G2612" s="54" t="n">
        <x:v>46220</x:v>
      </x:c>
      <x:c r="H2612" s="14" t="str">
        <x:f>IF(E2612&lt;0,"Componente negativo — manter e investigar","OK")</x:f>
        <x:v>OK</x:v>
      </x:c>
    </x:row>
    <x:row r="2613">
      <x:c r="A2613" s="51" t="n">
        <x:v>45778</x:v>
      </x:c>
      <x:c r="B2613" s="14" t="str">
        <x:v>Centro-Oeste</x:v>
      </x:c>
      <x:c r="C2613" s="14" t="str">
        <x:v>SUDESTE / CENTRO - OESTE</x:v>
      </x:c>
      <x:c r="D2613" s="53" t="str">
        <x:v>Cativo</x:v>
      </x:c>
      <x:c r="E2613" s="49" t="n">
        <x:v>1400632.6800000002</x:v>
      </x:c>
      <x:c r="F2613" s="52" t="n">
        <x:v>6559311</x:v>
      </x:c>
      <x:c r="G2613" s="54" t="n">
        <x:v>46220</x:v>
      </x:c>
      <x:c r="H2613" s="14" t="str">
        <x:f>IF(E2613&lt;0,"Componente negativo — manter e investigar","OK")</x:f>
        <x:v>OK</x:v>
      </x:c>
    </x:row>
    <x:row r="2614">
      <x:c r="A2614" s="51" t="n">
        <x:v>45778</x:v>
      </x:c>
      <x:c r="B2614" s="14" t="str">
        <x:v>Centro-Oeste</x:v>
      </x:c>
      <x:c r="C2614" s="14" t="str">
        <x:v>SUDESTE / CENTRO - OESTE</x:v>
      </x:c>
      <x:c r="D2614" s="53" t="str">
        <x:v>Livre</x:v>
      </x:c>
      <x:c r="E2614" s="49" t="n">
        <x:v>138.557</x:v>
      </x:c>
      <x:c r="F2614" s="52" t="n">
        <x:v>12</x:v>
      </x:c>
      <x:c r="G2614" s="54" t="n">
        <x:v>46220</x:v>
      </x:c>
      <x:c r="H2614" s="14" t="str">
        <x:f>IF(E2614&lt;0,"Componente negativo — manter e investigar","OK")</x:f>
        <x:v>OK</x:v>
      </x:c>
    </x:row>
    <x:row r="2615">
      <x:c r="A2615" s="51" t="n">
        <x:v>45778</x:v>
      </x:c>
      <x:c r="B2615" s="14" t="str">
        <x:v>Nordeste</x:v>
      </x:c>
      <x:c r="C2615" s="14" t="str">
        <x:v>NORDESTE</x:v>
      </x:c>
      <x:c r="D2615" s="53" t="str">
        <x:v>Cativo</x:v>
      </x:c>
      <x:c r="E2615" s="49" t="n">
        <x:v>2809949.263</x:v>
      </x:c>
      <x:c r="F2615" s="52" t="n">
        <x:v>20348050</x:v>
      </x:c>
      <x:c r="G2615" s="54" t="n">
        <x:v>46220</x:v>
      </x:c>
      <x:c r="H2615" s="14" t="str">
        <x:f>IF(E2615&lt;0,"Componente negativo — manter e investigar","OK")</x:f>
        <x:v>OK</x:v>
      </x:c>
    </x:row>
    <x:row r="2616">
      <x:c r="A2616" s="51" t="n">
        <x:v>45778</x:v>
      </x:c>
      <x:c r="B2616" s="14" t="str">
        <x:v>Nordeste</x:v>
      </x:c>
      <x:c r="C2616" s="14" t="str">
        <x:v>NORDESTE</x:v>
      </x:c>
      <x:c r="D2616" s="53" t="str">
        <x:v>Livre</x:v>
      </x:c>
      <x:c r="E2616" s="49" t="n">
        <x:v>71.849</x:v>
      </x:c>
      <x:c r="F2616" s="52" t="n">
        <x:v>3</x:v>
      </x:c>
      <x:c r="G2616" s="54" t="n">
        <x:v>46220</x:v>
      </x:c>
      <x:c r="H2616" s="14" t="str">
        <x:f>IF(E2616&lt;0,"Componente negativo — manter e investigar","OK")</x:f>
        <x:v>OK</x:v>
      </x:c>
    </x:row>
    <x:row r="2617">
      <x:c r="A2617" s="51" t="n">
        <x:v>45778</x:v>
      </x:c>
      <x:c r="B2617" s="14" t="str">
        <x:v>Nordeste</x:v>
      </x:c>
      <x:c r="C2617" s="14" t="str">
        <x:v>NORTE INTERLIGADO</x:v>
      </x:c>
      <x:c r="D2617" s="53" t="str">
        <x:v>Cativo</x:v>
      </x:c>
      <x:c r="E2617" s="49" t="n">
        <x:v>430011.548</x:v>
      </x:c>
      <x:c r="F2617" s="52" t="n">
        <x:v>2588152</x:v>
      </x:c>
      <x:c r="G2617" s="54" t="n">
        <x:v>46220</x:v>
      </x:c>
      <x:c r="H2617" s="14" t="str">
        <x:f>IF(E2617&lt;0,"Componente negativo — manter e investigar","OK")</x:f>
        <x:v>OK</x:v>
      </x:c>
    </x:row>
    <x:row r="2618">
      <x:c r="A2618" s="51" t="n">
        <x:v>45778</x:v>
      </x:c>
      <x:c r="B2618" s="14" t="str">
        <x:v>Nordeste</x:v>
      </x:c>
      <x:c r="C2618" s="14" t="str">
        <x:v>NORTE INTERLIGADO</x:v>
      </x:c>
      <x:c r="D2618" s="53" t="str">
        <x:v>Livre</x:v>
      </x:c>
      <x:c r="E2618" s="49" t="n">
        <x:v>106.083</x:v>
      </x:c>
      <x:c r="F2618" s="52" t="n">
        <x:v>4</x:v>
      </x:c>
      <x:c r="G2618" s="54" t="n">
        <x:v>46220</x:v>
      </x:c>
      <x:c r="H2618" s="14" t="str">
        <x:f>IF(E2618&lt;0,"Componente negativo — manter e investigar","OK")</x:f>
        <x:v>OK</x:v>
      </x:c>
    </x:row>
    <x:row r="2619">
      <x:c r="A2619" s="51" t="n">
        <x:v>45778</x:v>
      </x:c>
      <x:c r="B2619" s="14" t="str">
        <x:v>Nordeste</x:v>
      </x:c>
      <x:c r="C2619" s="14" t="str">
        <x:v>SISTEMAS ISOLADOS</x:v>
      </x:c>
      <x:c r="D2619" s="53" t="str">
        <x:v>Cativo</x:v>
      </x:c>
      <x:c r="E2619" s="49" t="n">
        <x:v>1082.884</x:v>
      </x:c>
      <x:c r="F2619" s="52" t="n">
        <x:v>817</x:v>
      </x:c>
      <x:c r="G2619" s="54" t="n">
        <x:v>46220</x:v>
      </x:c>
      <x:c r="H2619" s="14" t="str">
        <x:f>IF(E2619&lt;0,"Componente negativo — manter e investigar","OK")</x:f>
        <x:v>OK</x:v>
      </x:c>
    </x:row>
    <x:row r="2620">
      <x:c r="A2620" s="51" t="n">
        <x:v>45778</x:v>
      </x:c>
      <x:c r="B2620" s="14" t="str">
        <x:v>Norte</x:v>
      </x:c>
      <x:c r="C2620" s="14" t="str">
        <x:v>NORTE INTERLIGADO</x:v>
      </x:c>
      <x:c r="D2620" s="53" t="str">
        <x:v>Cativo</x:v>
      </x:c>
      <x:c r="E2620" s="49" t="n">
        <x:v>820666.902</x:v>
      </x:c>
      <x:c r="F2620" s="52" t="n">
        <x:v>4076693</x:v>
      </x:c>
      <x:c r="G2620" s="54" t="n">
        <x:v>46220</x:v>
      </x:c>
      <x:c r="H2620" s="14" t="str">
        <x:f>IF(E2620&lt;0,"Componente negativo — manter e investigar","OK")</x:f>
        <x:v>OK</x:v>
      </x:c>
    </x:row>
    <x:row r="2621">
      <x:c r="A2621" s="51" t="n">
        <x:v>45778</x:v>
      </x:c>
      <x:c r="B2621" s="14" t="str">
        <x:v>Norte</x:v>
      </x:c>
      <x:c r="C2621" s="14" t="str">
        <x:v>NORTE INTERLIGADO</x:v>
      </x:c>
      <x:c r="D2621" s="53" t="str">
        <x:v>Livre</x:v>
      </x:c>
      <x:c r="E2621" s="49" t="n">
        <x:v>3.974</x:v>
      </x:c>
      <x:c r="F2621" s="52" t="n">
        <x:v>1</x:v>
      </x:c>
      <x:c r="G2621" s="54" t="n">
        <x:v>46220</x:v>
      </x:c>
      <x:c r="H2621" s="14" t="str">
        <x:f>IF(E2621&lt;0,"Componente negativo — manter e investigar","OK")</x:f>
        <x:v>OK</x:v>
      </x:c>
    </x:row>
    <x:row r="2622">
      <x:c r="A2622" s="51" t="n">
        <x:v>45778</x:v>
      </x:c>
      <x:c r="B2622" s="14" t="str">
        <x:v>Norte</x:v>
      </x:c>
      <x:c r="C2622" s="14" t="str">
        <x:v>SISTEMAS ISOLADOS</x:v>
      </x:c>
      <x:c r="D2622" s="53" t="str">
        <x:v>Cativo</x:v>
      </x:c>
      <x:c r="E2622" s="49" t="n">
        <x:v>129080.211</x:v>
      </x:c>
      <x:c r="F2622" s="52" t="n">
        <x:v>577199</x:v>
      </x:c>
      <x:c r="G2622" s="54" t="n">
        <x:v>46220</x:v>
      </x:c>
      <x:c r="H2622" s="14" t="str">
        <x:f>IF(E2622&lt;0,"Componente negativo — manter e investigar","OK")</x:f>
        <x:v>OK</x:v>
      </x:c>
    </x:row>
    <x:row r="2623">
      <x:c r="A2623" s="51" t="n">
        <x:v>45778</x:v>
      </x:c>
      <x:c r="B2623" s="14" t="str">
        <x:v>Norte</x:v>
      </x:c>
      <x:c r="C2623" s="14" t="str">
        <x:v>SUDESTE / CENTRO - OESTE</x:v>
      </x:c>
      <x:c r="D2623" s="53" t="str">
        <x:v>Cativo</x:v>
      </x:c>
      <x:c r="E2623" s="49" t="n">
        <x:v>220718.139</x:v>
      </x:c>
      <x:c r="F2623" s="52" t="n">
        <x:v>810165</x:v>
      </x:c>
      <x:c r="G2623" s="54" t="n">
        <x:v>46220</x:v>
      </x:c>
      <x:c r="H2623" s="14" t="str">
        <x:f>IF(E2623&lt;0,"Componente negativo — manter e investigar","OK")</x:f>
        <x:v>OK</x:v>
      </x:c>
    </x:row>
    <x:row r="2624">
      <x:c r="A2624" s="51" t="n">
        <x:v>45778</x:v>
      </x:c>
      <x:c r="B2624" s="14" t="str">
        <x:v>Sudeste</x:v>
      </x:c>
      <x:c r="C2624" s="14" t="str">
        <x:v>SUDESTE / CENTRO - OESTE</x:v>
      </x:c>
      <x:c r="D2624" s="53" t="str">
        <x:v>Cativo</x:v>
      </x:c>
      <x:c r="E2624" s="49" t="n">
        <x:v>6517801.529000001</x:v>
      </x:c>
      <x:c r="F2624" s="52" t="n">
        <x:v>36606283</x:v>
      </x:c>
      <x:c r="G2624" s="54" t="n">
        <x:v>46220</x:v>
      </x:c>
      <x:c r="H2624" s="14" t="str">
        <x:f>IF(E2624&lt;0,"Componente negativo — manter e investigar","OK")</x:f>
        <x:v>OK</x:v>
      </x:c>
    </x:row>
    <x:row r="2625">
      <x:c r="A2625" s="51" t="n">
        <x:v>45778</x:v>
      </x:c>
      <x:c r="B2625" s="14" t="str">
        <x:v>Sudeste</x:v>
      </x:c>
      <x:c r="C2625" s="14" t="str">
        <x:v>SUDESTE / CENTRO - OESTE</x:v>
      </x:c>
      <x:c r="D2625" s="53" t="str">
        <x:v>Livre</x:v>
      </x:c>
      <x:c r="E2625" s="49" t="n">
        <x:v>1307.586</x:v>
      </x:c>
      <x:c r="F2625" s="52" t="n">
        <x:v>44</x:v>
      </x:c>
      <x:c r="G2625" s="54" t="n">
        <x:v>46220</x:v>
      </x:c>
      <x:c r="H2625" s="14" t="str">
        <x:f>IF(E2625&lt;0,"Componente negativo — manter e investigar","OK")</x:f>
        <x:v>OK</x:v>
      </x:c>
    </x:row>
    <x:row r="2626">
      <x:c r="A2626" s="51" t="n">
        <x:v>45778</x:v>
      </x:c>
      <x:c r="B2626" s="14" t="str">
        <x:v>Sul</x:v>
      </x:c>
      <x:c r="C2626" s="14" t="str">
        <x:v>SUL</x:v>
      </x:c>
      <x:c r="D2626" s="53" t="str">
        <x:v>Cativo</x:v>
      </x:c>
      <x:c r="E2626" s="49" t="n">
        <x:v>2281592.801</x:v>
      </x:c>
      <x:c r="F2626" s="52" t="n">
        <x:v>11760089</x:v>
      </x:c>
      <x:c r="G2626" s="54" t="n">
        <x:v>46220</x:v>
      </x:c>
      <x:c r="H2626" s="14" t="str">
        <x:f>IF(E2626&lt;0,"Componente negativo — manter e investigar","OK")</x:f>
        <x:v>OK</x:v>
      </x:c>
    </x:row>
    <x:row r="2627">
      <x:c r="A2627" s="51" t="n">
        <x:v>45778</x:v>
      </x:c>
      <x:c r="B2627" s="14" t="str">
        <x:v>Sul</x:v>
      </x:c>
      <x:c r="C2627" s="14" t="str">
        <x:v>SUL</x:v>
      </x:c>
      <x:c r="D2627" s="53" t="str">
        <x:v>Livre</x:v>
      </x:c>
      <x:c r="E2627" s="49" t="n">
        <x:v>379.199</x:v>
      </x:c>
      <x:c r="F2627" s="52" t="n">
        <x:v>7</x:v>
      </x:c>
      <x:c r="G2627" s="54" t="n">
        <x:v>46220</x:v>
      </x:c>
      <x:c r="H2627" s="14" t="str">
        <x:f>IF(E2627&lt;0,"Componente negativo — manter e investigar","OK")</x:f>
        <x:v>OK</x:v>
      </x:c>
    </x:row>
    <x:row r="2628">
      <x:c r="A2628" s="51" t="n">
        <x:v>45809</x:v>
      </x:c>
      <x:c r="B2628" s="14" t="str">
        <x:v>Centro-Oeste</x:v>
      </x:c>
      <x:c r="C2628" s="14" t="str">
        <x:v>SUDESTE / CENTRO - OESTE</x:v>
      </x:c>
      <x:c r="D2628" s="53" t="str">
        <x:v>Cativo</x:v>
      </x:c>
      <x:c r="E2628" s="49" t="n">
        <x:v>1270837.443</x:v>
      </x:c>
      <x:c r="F2628" s="52" t="n">
        <x:v>6571902</x:v>
      </x:c>
      <x:c r="G2628" s="54" t="n">
        <x:v>46220</x:v>
      </x:c>
      <x:c r="H2628" s="14" t="str">
        <x:f>IF(E2628&lt;0,"Componente negativo — manter e investigar","OK")</x:f>
        <x:v>OK</x:v>
      </x:c>
    </x:row>
    <x:row r="2629">
      <x:c r="A2629" s="51" t="n">
        <x:v>45809</x:v>
      </x:c>
      <x:c r="B2629" s="14" t="str">
        <x:v>Centro-Oeste</x:v>
      </x:c>
      <x:c r="C2629" s="14" t="str">
        <x:v>SUDESTE / CENTRO - OESTE</x:v>
      </x:c>
      <x:c r="D2629" s="53" t="str">
        <x:v>Livre</x:v>
      </x:c>
      <x:c r="E2629" s="49" t="n">
        <x:v>165.386</x:v>
      </x:c>
      <x:c r="F2629" s="52" t="n">
        <x:v>15</x:v>
      </x:c>
      <x:c r="G2629" s="54" t="n">
        <x:v>46220</x:v>
      </x:c>
      <x:c r="H2629" s="14" t="str">
        <x:f>IF(E2629&lt;0,"Componente negativo — manter e investigar","OK")</x:f>
        <x:v>OK</x:v>
      </x:c>
    </x:row>
    <x:row r="2630">
      <x:c r="A2630" s="51" t="n">
        <x:v>45809</x:v>
      </x:c>
      <x:c r="B2630" s="14" t="str">
        <x:v>Nordeste</x:v>
      </x:c>
      <x:c r="C2630" s="14" t="str">
        <x:v>NORDESTE</x:v>
      </x:c>
      <x:c r="D2630" s="53" t="str">
        <x:v>Cativo</x:v>
      </x:c>
      <x:c r="E2630" s="49" t="n">
        <x:v>2504084.448</x:v>
      </x:c>
      <x:c r="F2630" s="52" t="n">
        <x:v>20277849</x:v>
      </x:c>
      <x:c r="G2630" s="54" t="n">
        <x:v>46220</x:v>
      </x:c>
      <x:c r="H2630" s="14" t="str">
        <x:f>IF(E2630&lt;0,"Componente negativo — manter e investigar","OK")</x:f>
        <x:v>OK</x:v>
      </x:c>
    </x:row>
    <x:row r="2631">
      <x:c r="A2631" s="51" t="n">
        <x:v>45809</x:v>
      </x:c>
      <x:c r="B2631" s="14" t="str">
        <x:v>Nordeste</x:v>
      </x:c>
      <x:c r="C2631" s="14" t="str">
        <x:v>NORDESTE</x:v>
      </x:c>
      <x:c r="D2631" s="53" t="str">
        <x:v>Livre</x:v>
      </x:c>
      <x:c r="E2631" s="49" t="n">
        <x:v>100.823</x:v>
      </x:c>
      <x:c r="F2631" s="52" t="n">
        <x:v>5</x:v>
      </x:c>
      <x:c r="G2631" s="54" t="n">
        <x:v>46220</x:v>
      </x:c>
      <x:c r="H2631" s="14" t="str">
        <x:f>IF(E2631&lt;0,"Componente negativo — manter e investigar","OK")</x:f>
        <x:v>OK</x:v>
      </x:c>
    </x:row>
    <x:row r="2632">
      <x:c r="A2632" s="51" t="n">
        <x:v>45809</x:v>
      </x:c>
      <x:c r="B2632" s="14" t="str">
        <x:v>Nordeste</x:v>
      </x:c>
      <x:c r="C2632" s="14" t="str">
        <x:v>NORTE INTERLIGADO</x:v>
      </x:c>
      <x:c r="D2632" s="53" t="str">
        <x:v>Cativo</x:v>
      </x:c>
      <x:c r="E2632" s="49" t="n">
        <x:v>438165.524</x:v>
      </x:c>
      <x:c r="F2632" s="52" t="n">
        <x:v>2593810</x:v>
      </x:c>
      <x:c r="G2632" s="54" t="n">
        <x:v>46220</x:v>
      </x:c>
      <x:c r="H2632" s="14" t="str">
        <x:f>IF(E2632&lt;0,"Componente negativo — manter e investigar","OK")</x:f>
        <x:v>OK</x:v>
      </x:c>
    </x:row>
    <x:row r="2633">
      <x:c r="A2633" s="51" t="n">
        <x:v>45809</x:v>
      </x:c>
      <x:c r="B2633" s="14" t="str">
        <x:v>Nordeste</x:v>
      </x:c>
      <x:c r="C2633" s="14" t="str">
        <x:v>NORTE INTERLIGADO</x:v>
      </x:c>
      <x:c r="D2633" s="53" t="str">
        <x:v>Livre</x:v>
      </x:c>
      <x:c r="E2633" s="49" t="n">
        <x:v>106.487</x:v>
      </x:c>
      <x:c r="F2633" s="52" t="n">
        <x:v>4</x:v>
      </x:c>
      <x:c r="G2633" s="54" t="n">
        <x:v>46220</x:v>
      </x:c>
      <x:c r="H2633" s="14" t="str">
        <x:f>IF(E2633&lt;0,"Componente negativo — manter e investigar","OK")</x:f>
        <x:v>OK</x:v>
      </x:c>
    </x:row>
    <x:row r="2634">
      <x:c r="A2634" s="51" t="n">
        <x:v>45809</x:v>
      </x:c>
      <x:c r="B2634" s="14" t="str">
        <x:v>Nordeste</x:v>
      </x:c>
      <x:c r="C2634" s="14" t="str">
        <x:v>SISTEMAS ISOLADOS</x:v>
      </x:c>
      <x:c r="D2634" s="53" t="str">
        <x:v>Cativo</x:v>
      </x:c>
      <x:c r="E2634" s="49" t="n">
        <x:v>919.342</x:v>
      </x:c>
      <x:c r="F2634" s="52" t="n">
        <x:v>793</x:v>
      </x:c>
      <x:c r="G2634" s="54" t="n">
        <x:v>46220</x:v>
      </x:c>
      <x:c r="H2634" s="14" t="str">
        <x:f>IF(E2634&lt;0,"Componente negativo — manter e investigar","OK")</x:f>
        <x:v>OK</x:v>
      </x:c>
    </x:row>
    <x:row r="2635">
      <x:c r="A2635" s="51" t="n">
        <x:v>45809</x:v>
      </x:c>
      <x:c r="B2635" s="14" t="str">
        <x:v>Norte</x:v>
      </x:c>
      <x:c r="C2635" s="14" t="str">
        <x:v>NORTE INTERLIGADO</x:v>
      </x:c>
      <x:c r="D2635" s="53" t="str">
        <x:v>Cativo</x:v>
      </x:c>
      <x:c r="E2635" s="49" t="n">
        <x:v>836996.231</x:v>
      </x:c>
      <x:c r="F2635" s="52" t="n">
        <x:v>4084432</x:v>
      </x:c>
      <x:c r="G2635" s="54" t="n">
        <x:v>46220</x:v>
      </x:c>
      <x:c r="H2635" s="14" t="str">
        <x:f>IF(E2635&lt;0,"Componente negativo — manter e investigar","OK")</x:f>
        <x:v>OK</x:v>
      </x:c>
    </x:row>
    <x:row r="2636">
      <x:c r="A2636" s="51" t="n">
        <x:v>45809</x:v>
      </x:c>
      <x:c r="B2636" s="14" t="str">
        <x:v>Norte</x:v>
      </x:c>
      <x:c r="C2636" s="14" t="str">
        <x:v>NORTE INTERLIGADO</x:v>
      </x:c>
      <x:c r="D2636" s="53" t="str">
        <x:v>Livre</x:v>
      </x:c>
      <x:c r="E2636" s="49" t="n">
        <x:v>3.865</x:v>
      </x:c>
      <x:c r="F2636" s="52" t="n">
        <x:v>1</x:v>
      </x:c>
      <x:c r="G2636" s="54" t="n">
        <x:v>46220</x:v>
      </x:c>
      <x:c r="H2636" s="14" t="str">
        <x:f>IF(E2636&lt;0,"Componente negativo — manter e investigar","OK")</x:f>
        <x:v>OK</x:v>
      </x:c>
    </x:row>
    <x:row r="2637">
      <x:c r="A2637" s="51" t="n">
        <x:v>45809</x:v>
      </x:c>
      <x:c r="B2637" s="14" t="str">
        <x:v>Norte</x:v>
      </x:c>
      <x:c r="C2637" s="14" t="str">
        <x:v>SISTEMAS ISOLADOS</x:v>
      </x:c>
      <x:c r="D2637" s="53" t="str">
        <x:v>Cativo</x:v>
      </x:c>
      <x:c r="E2637" s="49" t="n">
        <x:v>126396.087</x:v>
      </x:c>
      <x:c r="F2637" s="52" t="n">
        <x:v>578967</x:v>
      </x:c>
      <x:c r="G2637" s="54" t="n">
        <x:v>46220</x:v>
      </x:c>
      <x:c r="H2637" s="14" t="str">
        <x:f>IF(E2637&lt;0,"Componente negativo — manter e investigar","OK")</x:f>
        <x:v>OK</x:v>
      </x:c>
    </x:row>
    <x:row r="2638">
      <x:c r="A2638" s="51" t="n">
        <x:v>45809</x:v>
      </x:c>
      <x:c r="B2638" s="14" t="str">
        <x:v>Norte</x:v>
      </x:c>
      <x:c r="C2638" s="14" t="str">
        <x:v>SUDESTE / CENTRO - OESTE</x:v>
      </x:c>
      <x:c r="D2638" s="53" t="str">
        <x:v>Cativo</x:v>
      </x:c>
      <x:c r="E2638" s="49" t="n">
        <x:v>205032.042</x:v>
      </x:c>
      <x:c r="F2638" s="52" t="n">
        <x:v>813167</x:v>
      </x:c>
      <x:c r="G2638" s="54" t="n">
        <x:v>46220</x:v>
      </x:c>
      <x:c r="H2638" s="14" t="str">
        <x:f>IF(E2638&lt;0,"Componente negativo — manter e investigar","OK")</x:f>
        <x:v>OK</x:v>
      </x:c>
    </x:row>
    <x:row r="2639">
      <x:c r="A2639" s="51" t="n">
        <x:v>45809</x:v>
      </x:c>
      <x:c r="B2639" s="14" t="str">
        <x:v>Sudeste</x:v>
      </x:c>
      <x:c r="C2639" s="14" t="str">
        <x:v>SUDESTE / CENTRO - OESTE</x:v>
      </x:c>
      <x:c r="D2639" s="53" t="str">
        <x:v>Cativo</x:v>
      </x:c>
      <x:c r="E2639" s="49" t="n">
        <x:v>6104476.026</x:v>
      </x:c>
      <x:c r="F2639" s="52" t="n">
        <x:v>36567077</x:v>
      </x:c>
      <x:c r="G2639" s="54" t="n">
        <x:v>46220</x:v>
      </x:c>
      <x:c r="H2639" s="14" t="str">
        <x:f>IF(E2639&lt;0,"Componente negativo — manter e investigar","OK")</x:f>
        <x:v>OK</x:v>
      </x:c>
    </x:row>
    <x:row r="2640">
      <x:c r="A2640" s="51" t="n">
        <x:v>45809</x:v>
      </x:c>
      <x:c r="B2640" s="14" t="str">
        <x:v>Sudeste</x:v>
      </x:c>
      <x:c r="C2640" s="14" t="str">
        <x:v>SUDESTE / CENTRO - OESTE</x:v>
      </x:c>
      <x:c r="D2640" s="53" t="str">
        <x:v>Livre</x:v>
      </x:c>
      <x:c r="E2640" s="49" t="n">
        <x:v>1328.475</x:v>
      </x:c>
      <x:c r="F2640" s="52" t="n">
        <x:v>45</x:v>
      </x:c>
      <x:c r="G2640" s="54" t="n">
        <x:v>46220</x:v>
      </x:c>
      <x:c r="H2640" s="14" t="str">
        <x:f>IF(E2640&lt;0,"Componente negativo — manter e investigar","OK")</x:f>
        <x:v>OK</x:v>
      </x:c>
    </x:row>
    <x:row r="2641">
      <x:c r="A2641" s="51" t="n">
        <x:v>45809</x:v>
      </x:c>
      <x:c r="B2641" s="14" t="str">
        <x:v>Sul</x:v>
      </x:c>
      <x:c r="C2641" s="14" t="str">
        <x:v>SUL</x:v>
      </x:c>
      <x:c r="D2641" s="53" t="str">
        <x:v>Cativo</x:v>
      </x:c>
      <x:c r="E2641" s="49" t="n">
        <x:v>2300073.944</x:v>
      </x:c>
      <x:c r="F2641" s="52" t="n">
        <x:v>11771539</x:v>
      </x:c>
      <x:c r="G2641" s="54" t="n">
        <x:v>46220</x:v>
      </x:c>
      <x:c r="H2641" s="14" t="str">
        <x:f>IF(E2641&lt;0,"Componente negativo — manter e investigar","OK")</x:f>
        <x:v>OK</x:v>
      </x:c>
    </x:row>
    <x:row r="2642">
      <x:c r="A2642" s="51" t="n">
        <x:v>45809</x:v>
      </x:c>
      <x:c r="B2642" s="14" t="str">
        <x:v>Sul</x:v>
      </x:c>
      <x:c r="C2642" s="14" t="str">
        <x:v>SUL</x:v>
      </x:c>
      <x:c r="D2642" s="53" t="str">
        <x:v>Livre</x:v>
      </x:c>
      <x:c r="E2642" s="49" t="n">
        <x:v>374.56</x:v>
      </x:c>
      <x:c r="F2642" s="52" t="n">
        <x:v>8</x:v>
      </x:c>
      <x:c r="G2642" s="54" t="n">
        <x:v>46220</x:v>
      </x:c>
      <x:c r="H2642" s="14" t="str">
        <x:f>IF(E2642&lt;0,"Componente negativo — manter e investigar","OK")</x:f>
        <x:v>OK</x:v>
      </x:c>
    </x:row>
    <x:row r="2643">
      <x:c r="A2643" s="51" t="n">
        <x:v>45839</x:v>
      </x:c>
      <x:c r="B2643" s="14" t="str">
        <x:v>Centro-Oeste</x:v>
      </x:c>
      <x:c r="C2643" s="14" t="str">
        <x:v>SUDESTE / CENTRO - OESTE</x:v>
      </x:c>
      <x:c r="D2643" s="53" t="str">
        <x:v>Cativo</x:v>
      </x:c>
      <x:c r="E2643" s="49" t="n">
        <x:v>1221793.878</x:v>
      </x:c>
      <x:c r="F2643" s="52" t="n">
        <x:v>6592296</x:v>
      </x:c>
      <x:c r="G2643" s="54" t="n">
        <x:v>46220</x:v>
      </x:c>
      <x:c r="H2643" s="14" t="str">
        <x:f>IF(E2643&lt;0,"Componente negativo — manter e investigar","OK")</x:f>
        <x:v>OK</x:v>
      </x:c>
    </x:row>
    <x:row r="2644">
      <x:c r="A2644" s="51" t="n">
        <x:v>45839</x:v>
      </x:c>
      <x:c r="B2644" s="14" t="str">
        <x:v>Centro-Oeste</x:v>
      </x:c>
      <x:c r="C2644" s="14" t="str">
        <x:v>SUDESTE / CENTRO - OESTE</x:v>
      </x:c>
      <x:c r="D2644" s="53" t="str">
        <x:v>Livre</x:v>
      </x:c>
      <x:c r="E2644" s="49" t="n">
        <x:v>167.631</x:v>
      </x:c>
      <x:c r="F2644" s="52" t="n">
        <x:v>16</x:v>
      </x:c>
      <x:c r="G2644" s="54" t="n">
        <x:v>46220</x:v>
      </x:c>
      <x:c r="H2644" s="14" t="str">
        <x:f>IF(E2644&lt;0,"Componente negativo — manter e investigar","OK")</x:f>
        <x:v>OK</x:v>
      </x:c>
    </x:row>
    <x:row r="2645">
      <x:c r="A2645" s="51" t="n">
        <x:v>45839</x:v>
      </x:c>
      <x:c r="B2645" s="14" t="str">
        <x:v>Nordeste</x:v>
      </x:c>
      <x:c r="C2645" s="14" t="str">
        <x:v>NORDESTE</x:v>
      </x:c>
      <x:c r="D2645" s="53" t="str">
        <x:v>Cativo</x:v>
      </x:c>
      <x:c r="E2645" s="49" t="n">
        <x:v>2469699.736</x:v>
      </x:c>
      <x:c r="F2645" s="52" t="n">
        <x:v>20390450</x:v>
      </x:c>
      <x:c r="G2645" s="54" t="n">
        <x:v>46220</x:v>
      </x:c>
      <x:c r="H2645" s="14" t="str">
        <x:f>IF(E2645&lt;0,"Componente negativo — manter e investigar","OK")</x:f>
        <x:v>OK</x:v>
      </x:c>
    </x:row>
    <x:row r="2646">
      <x:c r="A2646" s="51" t="n">
        <x:v>45839</x:v>
      </x:c>
      <x:c r="B2646" s="14" t="str">
        <x:v>Nordeste</x:v>
      </x:c>
      <x:c r="C2646" s="14" t="str">
        <x:v>NORDESTE</x:v>
      </x:c>
      <x:c r="D2646" s="53" t="str">
        <x:v>Livre</x:v>
      </x:c>
      <x:c r="E2646" s="49" t="n">
        <x:v>78.39</x:v>
      </x:c>
      <x:c r="F2646" s="52" t="n">
        <x:v>3</x:v>
      </x:c>
      <x:c r="G2646" s="54" t="n">
        <x:v>46220</x:v>
      </x:c>
      <x:c r="H2646" s="14" t="str">
        <x:f>IF(E2646&lt;0,"Componente negativo — manter e investigar","OK")</x:f>
        <x:v>OK</x:v>
      </x:c>
    </x:row>
    <x:row r="2647">
      <x:c r="A2647" s="51" t="n">
        <x:v>45839</x:v>
      </x:c>
      <x:c r="B2647" s="14" t="str">
        <x:v>Nordeste</x:v>
      </x:c>
      <x:c r="C2647" s="14" t="str">
        <x:v>NORTE INTERLIGADO</x:v>
      </x:c>
      <x:c r="D2647" s="53" t="str">
        <x:v>Cativo</x:v>
      </x:c>
      <x:c r="E2647" s="49" t="n">
        <x:v>452141.313</x:v>
      </x:c>
      <x:c r="F2647" s="52" t="n">
        <x:v>2605426</x:v>
      </x:c>
      <x:c r="G2647" s="54" t="n">
        <x:v>46220</x:v>
      </x:c>
      <x:c r="H2647" s="14" t="str">
        <x:f>IF(E2647&lt;0,"Componente negativo — manter e investigar","OK")</x:f>
        <x:v>OK</x:v>
      </x:c>
    </x:row>
    <x:row r="2648">
      <x:c r="A2648" s="51" t="n">
        <x:v>45839</x:v>
      </x:c>
      <x:c r="B2648" s="14" t="str">
        <x:v>Nordeste</x:v>
      </x:c>
      <x:c r="C2648" s="14" t="str">
        <x:v>NORTE INTERLIGADO</x:v>
      </x:c>
      <x:c r="D2648" s="53" t="str">
        <x:v>Livre</x:v>
      </x:c>
      <x:c r="E2648" s="49" t="n">
        <x:v>115.952</x:v>
      </x:c>
      <x:c r="F2648" s="52" t="n">
        <x:v>4</x:v>
      </x:c>
      <x:c r="G2648" s="54" t="n">
        <x:v>46220</x:v>
      </x:c>
      <x:c r="H2648" s="14" t="str">
        <x:f>IF(E2648&lt;0,"Componente negativo — manter e investigar","OK")</x:f>
        <x:v>OK</x:v>
      </x:c>
    </x:row>
    <x:row r="2649">
      <x:c r="A2649" s="51" t="n">
        <x:v>45839</x:v>
      </x:c>
      <x:c r="B2649" s="14" t="str">
        <x:v>Nordeste</x:v>
      </x:c>
      <x:c r="C2649" s="14" t="str">
        <x:v>SISTEMAS ISOLADOS</x:v>
      </x:c>
      <x:c r="D2649" s="53" t="str">
        <x:v>Cativo</x:v>
      </x:c>
      <x:c r="E2649" s="49" t="n">
        <x:v>1003.543</x:v>
      </x:c>
      <x:c r="F2649" s="52" t="n">
        <x:v>816</x:v>
      </x:c>
      <x:c r="G2649" s="54" t="n">
        <x:v>46220</x:v>
      </x:c>
      <x:c r="H2649" s="14" t="str">
        <x:f>IF(E2649&lt;0,"Componente negativo — manter e investigar","OK")</x:f>
        <x:v>OK</x:v>
      </x:c>
    </x:row>
    <x:row r="2650">
      <x:c r="A2650" s="51" t="n">
        <x:v>45839</x:v>
      </x:c>
      <x:c r="B2650" s="14" t="str">
        <x:v>Norte</x:v>
      </x:c>
      <x:c r="C2650" s="14" t="str">
        <x:v>NORTE INTERLIGADO</x:v>
      </x:c>
      <x:c r="D2650" s="53" t="str">
        <x:v>Cativo</x:v>
      </x:c>
      <x:c r="E2650" s="49" t="n">
        <x:v>852215.3080000001</x:v>
      </x:c>
      <x:c r="F2650" s="52" t="n">
        <x:v>4166132</x:v>
      </x:c>
      <x:c r="G2650" s="54" t="n">
        <x:v>46220</x:v>
      </x:c>
      <x:c r="H2650" s="14" t="str">
        <x:f>IF(E2650&lt;0,"Componente negativo — manter e investigar","OK")</x:f>
        <x:v>OK</x:v>
      </x:c>
    </x:row>
    <x:row r="2651">
      <x:c r="A2651" s="51" t="n">
        <x:v>45839</x:v>
      </x:c>
      <x:c r="B2651" s="14" t="str">
        <x:v>Norte</x:v>
      </x:c>
      <x:c r="C2651" s="14" t="str">
        <x:v>NORTE INTERLIGADO</x:v>
      </x:c>
      <x:c r="D2651" s="53" t="str">
        <x:v>Livre</x:v>
      </x:c>
      <x:c r="E2651" s="49" t="n">
        <x:v>4.053</x:v>
      </x:c>
      <x:c r="F2651" s="52" t="n">
        <x:v>1</x:v>
      </x:c>
      <x:c r="G2651" s="54" t="n">
        <x:v>46220</x:v>
      </x:c>
      <x:c r="H2651" s="14" t="str">
        <x:f>IF(E2651&lt;0,"Componente negativo — manter e investigar","OK")</x:f>
        <x:v>OK</x:v>
      </x:c>
    </x:row>
    <x:row r="2652">
      <x:c r="A2652" s="51" t="n">
        <x:v>45839</x:v>
      </x:c>
      <x:c r="B2652" s="14" t="str">
        <x:v>Norte</x:v>
      </x:c>
      <x:c r="C2652" s="14" t="str">
        <x:v>SISTEMAS ISOLADOS</x:v>
      </x:c>
      <x:c r="D2652" s="53" t="str">
        <x:v>Cativo</x:v>
      </x:c>
      <x:c r="E2652" s="49" t="n">
        <x:v>131616.041</x:v>
      </x:c>
      <x:c r="F2652" s="52" t="n">
        <x:v>601664</x:v>
      </x:c>
      <x:c r="G2652" s="54" t="n">
        <x:v>46220</x:v>
      </x:c>
      <x:c r="H2652" s="14" t="str">
        <x:f>IF(E2652&lt;0,"Componente negativo — manter e investigar","OK")</x:f>
        <x:v>OK</x:v>
      </x:c>
    </x:row>
    <x:row r="2653">
      <x:c r="A2653" s="51" t="n">
        <x:v>45839</x:v>
      </x:c>
      <x:c r="B2653" s="14" t="str">
        <x:v>Norte</x:v>
      </x:c>
      <x:c r="C2653" s="14" t="str">
        <x:v>SUDESTE / CENTRO - OESTE</x:v>
      </x:c>
      <x:c r="D2653" s="53" t="str">
        <x:v>Cativo</x:v>
      </x:c>
      <x:c r="E2653" s="49" t="n">
        <x:v>194887.295</x:v>
      </x:c>
      <x:c r="F2653" s="52" t="n">
        <x:v>815446</x:v>
      </x:c>
      <x:c r="G2653" s="54" t="n">
        <x:v>46220</x:v>
      </x:c>
      <x:c r="H2653" s="14" t="str">
        <x:f>IF(E2653&lt;0,"Componente negativo — manter e investigar","OK")</x:f>
        <x:v>OK</x:v>
      </x:c>
    </x:row>
    <x:row r="2654">
      <x:c r="A2654" s="51" t="n">
        <x:v>45839</x:v>
      </x:c>
      <x:c r="B2654" s="14" t="str">
        <x:v>Sudeste</x:v>
      </x:c>
      <x:c r="C2654" s="14" t="str">
        <x:v>SUDESTE / CENTRO - OESTE</x:v>
      </x:c>
      <x:c r="D2654" s="53" t="str">
        <x:v>Cativo</x:v>
      </x:c>
      <x:c r="E2654" s="49" t="n">
        <x:v>6031221.441</x:v>
      </x:c>
      <x:c r="F2654" s="52" t="n">
        <x:v>36654680</x:v>
      </x:c>
      <x:c r="G2654" s="54" t="n">
        <x:v>46220</x:v>
      </x:c>
      <x:c r="H2654" s="14" t="str">
        <x:f>IF(E2654&lt;0,"Componente negativo — manter e investigar","OK")</x:f>
        <x:v>OK</x:v>
      </x:c>
    </x:row>
    <x:row r="2655">
      <x:c r="A2655" s="51" t="n">
        <x:v>45839</x:v>
      </x:c>
      <x:c r="B2655" s="14" t="str">
        <x:v>Sudeste</x:v>
      </x:c>
      <x:c r="C2655" s="14" t="str">
        <x:v>SUDESTE / CENTRO - OESTE</x:v>
      </x:c>
      <x:c r="D2655" s="53" t="str">
        <x:v>Livre</x:v>
      </x:c>
      <x:c r="E2655" s="49" t="n">
        <x:v>1723.823</x:v>
      </x:c>
      <x:c r="F2655" s="52" t="n">
        <x:v>61</x:v>
      </x:c>
      <x:c r="G2655" s="54" t="n">
        <x:v>46220</x:v>
      </x:c>
      <x:c r="H2655" s="14" t="str">
        <x:f>IF(E2655&lt;0,"Componente negativo — manter e investigar","OK")</x:f>
        <x:v>OK</x:v>
      </x:c>
    </x:row>
    <x:row r="2656">
      <x:c r="A2656" s="51" t="n">
        <x:v>45839</x:v>
      </x:c>
      <x:c r="B2656" s="14" t="str">
        <x:v>Sul</x:v>
      </x:c>
      <x:c r="C2656" s="14" t="str">
        <x:v>SUL</x:v>
      </x:c>
      <x:c r="D2656" s="53" t="str">
        <x:v>Cativo</x:v>
      </x:c>
      <x:c r="E2656" s="49" t="n">
        <x:v>2535519.4910000004</x:v>
      </x:c>
      <x:c r="F2656" s="52" t="n">
        <x:v>11792892</x:v>
      </x:c>
      <x:c r="G2656" s="54" t="n">
        <x:v>46220</x:v>
      </x:c>
      <x:c r="H2656" s="14" t="str">
        <x:f>IF(E2656&lt;0,"Componente negativo — manter e investigar","OK")</x:f>
        <x:v>OK</x:v>
      </x:c>
    </x:row>
    <x:row r="2657">
      <x:c r="A2657" s="51" t="n">
        <x:v>45839</x:v>
      </x:c>
      <x:c r="B2657" s="14" t="str">
        <x:v>Sul</x:v>
      </x:c>
      <x:c r="C2657" s="14" t="str">
        <x:v>SUL</x:v>
      </x:c>
      <x:c r="D2657" s="53" t="str">
        <x:v>Livre</x:v>
      </x:c>
      <x:c r="E2657" s="49" t="n">
        <x:v>365.416</x:v>
      </x:c>
      <x:c r="F2657" s="52" t="n">
        <x:v>9</x:v>
      </x:c>
      <x:c r="G2657" s="54" t="n">
        <x:v>46220</x:v>
      </x:c>
      <x:c r="H2657" s="14" t="str">
        <x:f>IF(E2657&lt;0,"Componente negativo — manter e investigar","OK")</x:f>
        <x:v>OK</x:v>
      </x:c>
    </x:row>
    <x:row r="2658">
      <x:c r="A2658" s="51" t="n">
        <x:v>45870</x:v>
      </x:c>
      <x:c r="B2658" s="14" t="str">
        <x:v>Centro-Oeste</x:v>
      </x:c>
      <x:c r="C2658" s="14" t="str">
        <x:v>SUDESTE / CENTRO - OESTE</x:v>
      </x:c>
      <x:c r="D2658" s="53" t="str">
        <x:v>Cativo</x:v>
      </x:c>
      <x:c r="E2658" s="49" t="n">
        <x:v>1268509.995</x:v>
      </x:c>
      <x:c r="F2658" s="52" t="n">
        <x:v>6598571</x:v>
      </x:c>
      <x:c r="G2658" s="54" t="n">
        <x:v>46220</x:v>
      </x:c>
      <x:c r="H2658" s="14" t="str">
        <x:f>IF(E2658&lt;0,"Componente negativo — manter e investigar","OK")</x:f>
        <x:v>OK</x:v>
      </x:c>
    </x:row>
    <x:row r="2659">
      <x:c r="A2659" s="51" t="n">
        <x:v>45870</x:v>
      </x:c>
      <x:c r="B2659" s="14" t="str">
        <x:v>Centro-Oeste</x:v>
      </x:c>
      <x:c r="C2659" s="14" t="str">
        <x:v>SUDESTE / CENTRO - OESTE</x:v>
      </x:c>
      <x:c r="D2659" s="53" t="str">
        <x:v>Livre</x:v>
      </x:c>
      <x:c r="E2659" s="49" t="n">
        <x:v>164.473</x:v>
      </x:c>
      <x:c r="F2659" s="52" t="n">
        <x:v>16</x:v>
      </x:c>
      <x:c r="G2659" s="54" t="n">
        <x:v>46220</x:v>
      </x:c>
      <x:c r="H2659" s="14" t="str">
        <x:f>IF(E2659&lt;0,"Componente negativo — manter e investigar","OK")</x:f>
        <x:v>OK</x:v>
      </x:c>
    </x:row>
    <x:row r="2660">
      <x:c r="A2660" s="51" t="n">
        <x:v>45870</x:v>
      </x:c>
      <x:c r="B2660" s="14" t="str">
        <x:v>Nordeste</x:v>
      </x:c>
      <x:c r="C2660" s="14" t="str">
        <x:v>NORDESTE</x:v>
      </x:c>
      <x:c r="D2660" s="53" t="str">
        <x:v>Cativo</x:v>
      </x:c>
      <x:c r="E2660" s="49" t="n">
        <x:v>2488212.0370000005</x:v>
      </x:c>
      <x:c r="F2660" s="52" t="n">
        <x:v>20400654</x:v>
      </x:c>
      <x:c r="G2660" s="54" t="n">
        <x:v>46220</x:v>
      </x:c>
      <x:c r="H2660" s="14" t="str">
        <x:f>IF(E2660&lt;0,"Componente negativo — manter e investigar","OK")</x:f>
        <x:v>OK</x:v>
      </x:c>
    </x:row>
    <x:row r="2661">
      <x:c r="A2661" s="51" t="n">
        <x:v>45870</x:v>
      </x:c>
      <x:c r="B2661" s="14" t="str">
        <x:v>Nordeste</x:v>
      </x:c>
      <x:c r="C2661" s="14" t="str">
        <x:v>NORDESTE</x:v>
      </x:c>
      <x:c r="D2661" s="53" t="str">
        <x:v>Livre</x:v>
      </x:c>
      <x:c r="E2661" s="49" t="n">
        <x:v>79.802</x:v>
      </x:c>
      <x:c r="F2661" s="52" t="n">
        <x:v>4</x:v>
      </x:c>
      <x:c r="G2661" s="54" t="n">
        <x:v>46220</x:v>
      </x:c>
      <x:c r="H2661" s="14" t="str">
        <x:f>IF(E2661&lt;0,"Componente negativo — manter e investigar","OK")</x:f>
        <x:v>OK</x:v>
      </x:c>
    </x:row>
    <x:row r="2662">
      <x:c r="A2662" s="51" t="n">
        <x:v>45870</x:v>
      </x:c>
      <x:c r="B2662" s="14" t="str">
        <x:v>Nordeste</x:v>
      </x:c>
      <x:c r="C2662" s="14" t="str">
        <x:v>NORTE INTERLIGADO</x:v>
      </x:c>
      <x:c r="D2662" s="53" t="str">
        <x:v>Cativo</x:v>
      </x:c>
      <x:c r="E2662" s="49" t="n">
        <x:v>448359.661</x:v>
      </x:c>
      <x:c r="F2662" s="52" t="n">
        <x:v>2606393</x:v>
      </x:c>
      <x:c r="G2662" s="54" t="n">
        <x:v>46220</x:v>
      </x:c>
      <x:c r="H2662" s="14" t="str">
        <x:f>IF(E2662&lt;0,"Componente negativo — manter e investigar","OK")</x:f>
        <x:v>OK</x:v>
      </x:c>
    </x:row>
    <x:row r="2663">
      <x:c r="A2663" s="51" t="n">
        <x:v>45870</x:v>
      </x:c>
      <x:c r="B2663" s="14" t="str">
        <x:v>Nordeste</x:v>
      </x:c>
      <x:c r="C2663" s="14" t="str">
        <x:v>NORTE INTERLIGADO</x:v>
      </x:c>
      <x:c r="D2663" s="53" t="str">
        <x:v>Livre</x:v>
      </x:c>
      <x:c r="E2663" s="49" t="n">
        <x:v>107.47</x:v>
      </x:c>
      <x:c r="F2663" s="52" t="n">
        <x:v>4</x:v>
      </x:c>
      <x:c r="G2663" s="54" t="n">
        <x:v>46220</x:v>
      </x:c>
      <x:c r="H2663" s="14" t="str">
        <x:f>IF(E2663&lt;0,"Componente negativo — manter e investigar","OK")</x:f>
        <x:v>OK</x:v>
      </x:c>
    </x:row>
    <x:row r="2664">
      <x:c r="A2664" s="51" t="n">
        <x:v>45870</x:v>
      </x:c>
      <x:c r="B2664" s="14" t="str">
        <x:v>Nordeste</x:v>
      </x:c>
      <x:c r="C2664" s="14" t="str">
        <x:v>SISTEMAS ISOLADOS</x:v>
      </x:c>
      <x:c r="D2664" s="53" t="str">
        <x:v>Cativo</x:v>
      </x:c>
      <x:c r="E2664" s="49" t="n">
        <x:v>1051.158</x:v>
      </x:c>
      <x:c r="F2664" s="52" t="n">
        <x:v>825</x:v>
      </x:c>
      <x:c r="G2664" s="54" t="n">
        <x:v>46220</x:v>
      </x:c>
      <x:c r="H2664" s="14" t="str">
        <x:f>IF(E2664&lt;0,"Componente negativo — manter e investigar","OK")</x:f>
        <x:v>OK</x:v>
      </x:c>
    </x:row>
    <x:row r="2665">
      <x:c r="A2665" s="51" t="n">
        <x:v>45870</x:v>
      </x:c>
      <x:c r="B2665" s="14" t="str">
        <x:v>Norte</x:v>
      </x:c>
      <x:c r="C2665" s="14" t="str">
        <x:v>NORTE INTERLIGADO</x:v>
      </x:c>
      <x:c r="D2665" s="53" t="str">
        <x:v>Cativo</x:v>
      </x:c>
      <x:c r="E2665" s="49" t="n">
        <x:v>859285.369</x:v>
      </x:c>
      <x:c r="F2665" s="52" t="n">
        <x:v>4107607</x:v>
      </x:c>
      <x:c r="G2665" s="54" t="n">
        <x:v>46220</x:v>
      </x:c>
      <x:c r="H2665" s="14" t="str">
        <x:f>IF(E2665&lt;0,"Componente negativo — manter e investigar","OK")</x:f>
        <x:v>OK</x:v>
      </x:c>
    </x:row>
    <x:row r="2666">
      <x:c r="A2666" s="51" t="n">
        <x:v>45870</x:v>
      </x:c>
      <x:c r="B2666" s="14" t="str">
        <x:v>Norte</x:v>
      </x:c>
      <x:c r="C2666" s="14" t="str">
        <x:v>NORTE INTERLIGADO</x:v>
      </x:c>
      <x:c r="D2666" s="53" t="str">
        <x:v>Livre</x:v>
      </x:c>
      <x:c r="E2666" s="49" t="n">
        <x:v>3.959</x:v>
      </x:c>
      <x:c r="F2666" s="52" t="n">
        <x:v>1</x:v>
      </x:c>
      <x:c r="G2666" s="54" t="n">
        <x:v>46220</x:v>
      </x:c>
      <x:c r="H2666" s="14" t="str">
        <x:f>IF(E2666&lt;0,"Componente negativo — manter e investigar","OK")</x:f>
        <x:v>OK</x:v>
      </x:c>
    </x:row>
    <x:row r="2667">
      <x:c r="A2667" s="51" t="n">
        <x:v>45870</x:v>
      </x:c>
      <x:c r="B2667" s="14" t="str">
        <x:v>Norte</x:v>
      </x:c>
      <x:c r="C2667" s="14" t="str">
        <x:v>SISTEMAS ISOLADOS</x:v>
      </x:c>
      <x:c r="D2667" s="53" t="str">
        <x:v>Cativo</x:v>
      </x:c>
      <x:c r="E2667" s="49" t="n">
        <x:v>128021.573</x:v>
      </x:c>
      <x:c r="F2667" s="52" t="n">
        <x:v>578947</x:v>
      </x:c>
      <x:c r="G2667" s="54" t="n">
        <x:v>46220</x:v>
      </x:c>
      <x:c r="H2667" s="14" t="str">
        <x:f>IF(E2667&lt;0,"Componente negativo — manter e investigar","OK")</x:f>
        <x:v>OK</x:v>
      </x:c>
    </x:row>
    <x:row r="2668">
      <x:c r="A2668" s="51" t="n">
        <x:v>45870</x:v>
      </x:c>
      <x:c r="B2668" s="14" t="str">
        <x:v>Norte</x:v>
      </x:c>
      <x:c r="C2668" s="14" t="str">
        <x:v>SUDESTE / CENTRO - OESTE</x:v>
      </x:c>
      <x:c r="D2668" s="53" t="str">
        <x:v>Cativo</x:v>
      </x:c>
      <x:c r="E2668" s="49" t="n">
        <x:v>216086.124</x:v>
      </x:c>
      <x:c r="F2668" s="52" t="n">
        <x:v>816071</x:v>
      </x:c>
      <x:c r="G2668" s="54" t="n">
        <x:v>46220</x:v>
      </x:c>
      <x:c r="H2668" s="14" t="str">
        <x:f>IF(E2668&lt;0,"Componente negativo — manter e investigar","OK")</x:f>
        <x:v>OK</x:v>
      </x:c>
    </x:row>
    <x:row r="2669">
      <x:c r="A2669" s="51" t="n">
        <x:v>45870</x:v>
      </x:c>
      <x:c r="B2669" s="14" t="str">
        <x:v>Sudeste</x:v>
      </x:c>
      <x:c r="C2669" s="14" t="str">
        <x:v>SUDESTE / CENTRO - OESTE</x:v>
      </x:c>
      <x:c r="D2669" s="53" t="str">
        <x:v>Cativo</x:v>
      </x:c>
      <x:c r="E2669" s="49" t="n">
        <x:v>6201286.922</x:v>
      </x:c>
      <x:c r="F2669" s="52" t="n">
        <x:v>36737872</x:v>
      </x:c>
      <x:c r="G2669" s="54" t="n">
        <x:v>46220</x:v>
      </x:c>
      <x:c r="H2669" s="14" t="str">
        <x:f>IF(E2669&lt;0,"Componente negativo — manter e investigar","OK")</x:f>
        <x:v>OK</x:v>
      </x:c>
    </x:row>
    <x:row r="2670">
      <x:c r="A2670" s="51" t="n">
        <x:v>45870</x:v>
      </x:c>
      <x:c r="B2670" s="14" t="str">
        <x:v>Sudeste</x:v>
      </x:c>
      <x:c r="C2670" s="14" t="str">
        <x:v>SUDESTE / CENTRO - OESTE</x:v>
      </x:c>
      <x:c r="D2670" s="53" t="str">
        <x:v>Livre</x:v>
      </x:c>
      <x:c r="E2670" s="49" t="n">
        <x:v>1887.337</x:v>
      </x:c>
      <x:c r="F2670" s="52" t="n">
        <x:v>70</x:v>
      </x:c>
      <x:c r="G2670" s="54" t="n">
        <x:v>46220</x:v>
      </x:c>
      <x:c r="H2670" s="14" t="str">
        <x:f>IF(E2670&lt;0,"Componente negativo — manter e investigar","OK")</x:f>
        <x:v>OK</x:v>
      </x:c>
    </x:row>
    <x:row r="2671">
      <x:c r="A2671" s="51" t="n">
        <x:v>45870</x:v>
      </x:c>
      <x:c r="B2671" s="14" t="str">
        <x:v>Sul</x:v>
      </x:c>
      <x:c r="C2671" s="14" t="str">
        <x:v>SUL</x:v>
      </x:c>
      <x:c r="D2671" s="53" t="str">
        <x:v>Cativo</x:v>
      </x:c>
      <x:c r="E2671" s="49" t="n">
        <x:v>2370323.358</x:v>
      </x:c>
      <x:c r="F2671" s="52" t="n">
        <x:v>11819623</x:v>
      </x:c>
      <x:c r="G2671" s="54" t="n">
        <x:v>46220</x:v>
      </x:c>
      <x:c r="H2671" s="14" t="str">
        <x:f>IF(E2671&lt;0,"Componente negativo — manter e investigar","OK")</x:f>
        <x:v>OK</x:v>
      </x:c>
    </x:row>
    <x:row r="2672">
      <x:c r="A2672" s="51" t="n">
        <x:v>45870</x:v>
      </x:c>
      <x:c r="B2672" s="14" t="str">
        <x:v>Sul</x:v>
      </x:c>
      <x:c r="C2672" s="14" t="str">
        <x:v>SUL</x:v>
      </x:c>
      <x:c r="D2672" s="53" t="str">
        <x:v>Livre</x:v>
      </x:c>
      <x:c r="E2672" s="49" t="n">
        <x:v>84.455</x:v>
      </x:c>
      <x:c r="F2672" s="52" t="n">
        <x:v>12</x:v>
      </x:c>
      <x:c r="G2672" s="54" t="n">
        <x:v>46220</x:v>
      </x:c>
      <x:c r="H2672" s="14" t="str">
        <x:f>IF(E2672&lt;0,"Componente negativo — manter e investigar","OK")</x:f>
        <x:v>OK</x:v>
      </x:c>
    </x:row>
    <x:row r="2673">
      <x:c r="A2673" s="51" t="n">
        <x:v>45901</x:v>
      </x:c>
      <x:c r="B2673" s="14" t="str">
        <x:v>Centro-Oeste</x:v>
      </x:c>
      <x:c r="C2673" s="14" t="str">
        <x:v>SUDESTE / CENTRO - OESTE</x:v>
      </x:c>
      <x:c r="D2673" s="53" t="str">
        <x:v>Cativo</x:v>
      </x:c>
      <x:c r="E2673" s="49" t="n">
        <x:v>1434916.695</x:v>
      </x:c>
      <x:c r="F2673" s="52" t="n">
        <x:v>6621907</x:v>
      </x:c>
      <x:c r="G2673" s="54" t="n">
        <x:v>46220</x:v>
      </x:c>
      <x:c r="H2673" s="14" t="str">
        <x:f>IF(E2673&lt;0,"Componente negativo — manter e investigar","OK")</x:f>
        <x:v>OK</x:v>
      </x:c>
    </x:row>
    <x:row r="2674">
      <x:c r="A2674" s="51" t="n">
        <x:v>45901</x:v>
      </x:c>
      <x:c r="B2674" s="14" t="str">
        <x:v>Centro-Oeste</x:v>
      </x:c>
      <x:c r="C2674" s="14" t="str">
        <x:v>SUDESTE / CENTRO - OESTE</x:v>
      </x:c>
      <x:c r="D2674" s="53" t="str">
        <x:v>Livre</x:v>
      </x:c>
      <x:c r="E2674" s="49" t="n">
        <x:v>193.907</x:v>
      </x:c>
      <x:c r="F2674" s="52" t="n">
        <x:v>18</x:v>
      </x:c>
      <x:c r="G2674" s="54" t="n">
        <x:v>46220</x:v>
      </x:c>
      <x:c r="H2674" s="14" t="str">
        <x:f>IF(E2674&lt;0,"Componente negativo — manter e investigar","OK")</x:f>
        <x:v>OK</x:v>
      </x:c>
    </x:row>
    <x:row r="2675">
      <x:c r="A2675" s="51" t="n">
        <x:v>45901</x:v>
      </x:c>
      <x:c r="B2675" s="14" t="str">
        <x:v>Nordeste</x:v>
      </x:c>
      <x:c r="C2675" s="14" t="str">
        <x:v>NORDESTE</x:v>
      </x:c>
      <x:c r="D2675" s="53" t="str">
        <x:v>Cativo</x:v>
      </x:c>
      <x:c r="E2675" s="49" t="n">
        <x:v>2484361.662</x:v>
      </x:c>
      <x:c r="F2675" s="52" t="n">
        <x:v>20462424</x:v>
      </x:c>
      <x:c r="G2675" s="54" t="n">
        <x:v>46220</x:v>
      </x:c>
      <x:c r="H2675" s="14" t="str">
        <x:f>IF(E2675&lt;0,"Componente negativo — manter e investigar","OK")</x:f>
        <x:v>OK</x:v>
      </x:c>
    </x:row>
    <x:row r="2676">
      <x:c r="A2676" s="51" t="n">
        <x:v>45901</x:v>
      </x:c>
      <x:c r="B2676" s="14" t="str">
        <x:v>Nordeste</x:v>
      </x:c>
      <x:c r="C2676" s="14" t="str">
        <x:v>NORDESTE</x:v>
      </x:c>
      <x:c r="D2676" s="53" t="str">
        <x:v>Livre</x:v>
      </x:c>
      <x:c r="E2676" s="49" t="n">
        <x:v>75.036</x:v>
      </x:c>
      <x:c r="F2676" s="52" t="n">
        <x:v>4</x:v>
      </x:c>
      <x:c r="G2676" s="54" t="n">
        <x:v>46220</x:v>
      </x:c>
      <x:c r="H2676" s="14" t="str">
        <x:f>IF(E2676&lt;0,"Componente negativo — manter e investigar","OK")</x:f>
        <x:v>OK</x:v>
      </x:c>
    </x:row>
    <x:row r="2677">
      <x:c r="A2677" s="51" t="n">
        <x:v>45901</x:v>
      </x:c>
      <x:c r="B2677" s="14" t="str">
        <x:v>Nordeste</x:v>
      </x:c>
      <x:c r="C2677" s="14" t="str">
        <x:v>NORTE INTERLIGADO</x:v>
      </x:c>
      <x:c r="D2677" s="53" t="str">
        <x:v>Cativo</x:v>
      </x:c>
      <x:c r="E2677" s="49" t="n">
        <x:v>475327.001</x:v>
      </x:c>
      <x:c r="F2677" s="52" t="n">
        <x:v>2612650</x:v>
      </x:c>
      <x:c r="G2677" s="54" t="n">
        <x:v>46220</x:v>
      </x:c>
      <x:c r="H2677" s="14" t="str">
        <x:f>IF(E2677&lt;0,"Componente negativo — manter e investigar","OK")</x:f>
        <x:v>OK</x:v>
      </x:c>
    </x:row>
    <x:row r="2678">
      <x:c r="A2678" s="51" t="n">
        <x:v>45901</x:v>
      </x:c>
      <x:c r="B2678" s="14" t="str">
        <x:v>Nordeste</x:v>
      </x:c>
      <x:c r="C2678" s="14" t="str">
        <x:v>NORTE INTERLIGADO</x:v>
      </x:c>
      <x:c r="D2678" s="53" t="str">
        <x:v>Livre</x:v>
      </x:c>
      <x:c r="E2678" s="49" t="n">
        <x:v>100</x:v>
      </x:c>
      <x:c r="F2678" s="52" t="n">
        <x:v>4</x:v>
      </x:c>
      <x:c r="G2678" s="54" t="n">
        <x:v>46220</x:v>
      </x:c>
      <x:c r="H2678" s="14" t="str">
        <x:f>IF(E2678&lt;0,"Componente negativo — manter e investigar","OK")</x:f>
        <x:v>OK</x:v>
      </x:c>
    </x:row>
    <x:row r="2679">
      <x:c r="A2679" s="51" t="n">
        <x:v>45901</x:v>
      </x:c>
      <x:c r="B2679" s="14" t="str">
        <x:v>Nordeste</x:v>
      </x:c>
      <x:c r="C2679" s="14" t="str">
        <x:v>SISTEMAS ISOLADOS</x:v>
      </x:c>
      <x:c r="D2679" s="53" t="str">
        <x:v>Cativo</x:v>
      </x:c>
      <x:c r="E2679" s="49" t="n">
        <x:v>973.996</x:v>
      </x:c>
      <x:c r="F2679" s="52" t="n">
        <x:v>825</x:v>
      </x:c>
      <x:c r="G2679" s="54" t="n">
        <x:v>46220</x:v>
      </x:c>
      <x:c r="H2679" s="14" t="str">
        <x:f>IF(E2679&lt;0,"Componente negativo — manter e investigar","OK")</x:f>
        <x:v>OK</x:v>
      </x:c>
    </x:row>
    <x:row r="2680">
      <x:c r="A2680" s="51" t="n">
        <x:v>45901</x:v>
      </x:c>
      <x:c r="B2680" s="14" t="str">
        <x:v>Norte</x:v>
      </x:c>
      <x:c r="C2680" s="14" t="str">
        <x:v>NORTE INTERLIGADO</x:v>
      </x:c>
      <x:c r="D2680" s="53" t="str">
        <x:v>Cativo</x:v>
      </x:c>
      <x:c r="E2680" s="49" t="n">
        <x:v>901549.99</x:v>
      </x:c>
      <x:c r="F2680" s="52" t="n">
        <x:v>4134751</x:v>
      </x:c>
      <x:c r="G2680" s="54" t="n">
        <x:v>46220</x:v>
      </x:c>
      <x:c r="H2680" s="14" t="str">
        <x:f>IF(E2680&lt;0,"Componente negativo — manter e investigar","OK")</x:f>
        <x:v>OK</x:v>
      </x:c>
    </x:row>
    <x:row r="2681">
      <x:c r="A2681" s="51" t="n">
        <x:v>45901</x:v>
      </x:c>
      <x:c r="B2681" s="14" t="str">
        <x:v>Norte</x:v>
      </x:c>
      <x:c r="C2681" s="14" t="str">
        <x:v>NORTE INTERLIGADO</x:v>
      </x:c>
      <x:c r="D2681" s="53" t="str">
        <x:v>Livre</x:v>
      </x:c>
      <x:c r="E2681" s="49" t="n">
        <x:v>4.13</x:v>
      </x:c>
      <x:c r="F2681" s="52" t="n">
        <x:v>1</x:v>
      </x:c>
      <x:c r="G2681" s="54" t="n">
        <x:v>46220</x:v>
      </x:c>
      <x:c r="H2681" s="14" t="str">
        <x:f>IF(E2681&lt;0,"Componente negativo — manter e investigar","OK")</x:f>
        <x:v>OK</x:v>
      </x:c>
    </x:row>
    <x:row r="2682">
      <x:c r="A2682" s="51" t="n">
        <x:v>45901</x:v>
      </x:c>
      <x:c r="B2682" s="14" t="str">
        <x:v>Norte</x:v>
      </x:c>
      <x:c r="C2682" s="14" t="str">
        <x:v>SISTEMAS ISOLADOS</x:v>
      </x:c>
      <x:c r="D2682" s="53" t="str">
        <x:v>Cativo</x:v>
      </x:c>
      <x:c r="E2682" s="49" t="n">
        <x:v>143331.555</x:v>
      </x:c>
      <x:c r="F2682" s="52" t="n">
        <x:v>570459</x:v>
      </x:c>
      <x:c r="G2682" s="54" t="n">
        <x:v>46220</x:v>
      </x:c>
      <x:c r="H2682" s="14" t="str">
        <x:f>IF(E2682&lt;0,"Componente negativo — manter e investigar","OK")</x:f>
        <x:v>OK</x:v>
      </x:c>
    </x:row>
    <x:row r="2683">
      <x:c r="A2683" s="51" t="n">
        <x:v>45901</x:v>
      </x:c>
      <x:c r="B2683" s="14" t="str">
        <x:v>Norte</x:v>
      </x:c>
      <x:c r="C2683" s="14" t="str">
        <x:v>SUDESTE / CENTRO - OESTE</x:v>
      </x:c>
      <x:c r="D2683" s="53" t="str">
        <x:v>Cativo</x:v>
      </x:c>
      <x:c r="E2683" s="49" t="n">
        <x:v>232270.649</x:v>
      </x:c>
      <x:c r="F2683" s="52" t="n">
        <x:v>816547</x:v>
      </x:c>
      <x:c r="G2683" s="54" t="n">
        <x:v>46220</x:v>
      </x:c>
      <x:c r="H2683" s="14" t="str">
        <x:f>IF(E2683&lt;0,"Componente negativo — manter e investigar","OK")</x:f>
        <x:v>OK</x:v>
      </x:c>
    </x:row>
    <x:row r="2684">
      <x:c r="A2684" s="51" t="n">
        <x:v>45901</x:v>
      </x:c>
      <x:c r="B2684" s="14" t="str">
        <x:v>Sudeste</x:v>
      </x:c>
      <x:c r="C2684" s="14" t="str">
        <x:v>SUDESTE / CENTRO - OESTE</x:v>
      </x:c>
      <x:c r="D2684" s="53" t="str">
        <x:v>Cativo</x:v>
      </x:c>
      <x:c r="E2684" s="49" t="n">
        <x:v>6345173.862999999</x:v>
      </x:c>
      <x:c r="F2684" s="52" t="n">
        <x:v>36794399</x:v>
      </x:c>
      <x:c r="G2684" s="54" t="n">
        <x:v>46220</x:v>
      </x:c>
      <x:c r="H2684" s="14" t="str">
        <x:f>IF(E2684&lt;0,"Componente negativo — manter e investigar","OK")</x:f>
        <x:v>OK</x:v>
      </x:c>
    </x:row>
    <x:row r="2685">
      <x:c r="A2685" s="51" t="n">
        <x:v>45901</x:v>
      </x:c>
      <x:c r="B2685" s="14" t="str">
        <x:v>Sudeste</x:v>
      </x:c>
      <x:c r="C2685" s="14" t="str">
        <x:v>SUDESTE / CENTRO - OESTE</x:v>
      </x:c>
      <x:c r="D2685" s="53" t="str">
        <x:v>Livre</x:v>
      </x:c>
      <x:c r="E2685" s="49" t="n">
        <x:v>1908.678</x:v>
      </x:c>
      <x:c r="F2685" s="52" t="n">
        <x:v>72</x:v>
      </x:c>
      <x:c r="G2685" s="54" t="n">
        <x:v>46220</x:v>
      </x:c>
      <x:c r="H2685" s="14" t="str">
        <x:f>IF(E2685&lt;0,"Componente negativo — manter e investigar","OK")</x:f>
        <x:v>OK</x:v>
      </x:c>
    </x:row>
    <x:row r="2686">
      <x:c r="A2686" s="51" t="n">
        <x:v>45901</x:v>
      </x:c>
      <x:c r="B2686" s="14" t="str">
        <x:v>Sul</x:v>
      </x:c>
      <x:c r="C2686" s="14" t="str">
        <x:v>SUL</x:v>
      </x:c>
      <x:c r="D2686" s="53" t="str">
        <x:v>Cativo</x:v>
      </x:c>
      <x:c r="E2686" s="49" t="n">
        <x:v>2363037.1659999993</x:v>
      </x:c>
      <x:c r="F2686" s="52" t="n">
        <x:v>11851412</x:v>
      </x:c>
      <x:c r="G2686" s="54" t="n">
        <x:v>46220</x:v>
      </x:c>
      <x:c r="H2686" s="14" t="str">
        <x:f>IF(E2686&lt;0,"Componente negativo — manter e investigar","OK")</x:f>
        <x:v>OK</x:v>
      </x:c>
    </x:row>
    <x:row r="2687">
      <x:c r="A2687" s="51" t="n">
        <x:v>45901</x:v>
      </x:c>
      <x:c r="B2687" s="14" t="str">
        <x:v>Sul</x:v>
      </x:c>
      <x:c r="C2687" s="14" t="str">
        <x:v>SUL</x:v>
      </x:c>
      <x:c r="D2687" s="53" t="str">
        <x:v>Livre</x:v>
      </x:c>
      <x:c r="E2687" s="49" t="n">
        <x:v>988.594</x:v>
      </x:c>
      <x:c r="F2687" s="52" t="n">
        <x:v>11</x:v>
      </x:c>
      <x:c r="G2687" s="54" t="n">
        <x:v>46220</x:v>
      </x:c>
      <x:c r="H2687" s="14" t="str">
        <x:f>IF(E2687&lt;0,"Componente negativo — manter e investigar","OK")</x:f>
        <x:v>OK</x:v>
      </x:c>
    </x:row>
    <x:row r="2688">
      <x:c r="A2688" s="51" t="n">
        <x:v>45931</x:v>
      </x:c>
      <x:c r="B2688" s="14" t="str">
        <x:v>Centro-Oeste</x:v>
      </x:c>
      <x:c r="C2688" s="14" t="str">
        <x:v>SUDESTE / CENTRO - OESTE</x:v>
      </x:c>
      <x:c r="D2688" s="53" t="str">
        <x:v>Cativo</x:v>
      </x:c>
      <x:c r="E2688" s="49" t="n">
        <x:v>1604358.3250000002</x:v>
      </x:c>
      <x:c r="F2688" s="52" t="n">
        <x:v>6645148</x:v>
      </x:c>
      <x:c r="G2688" s="54" t="n">
        <x:v>46220</x:v>
      </x:c>
      <x:c r="H2688" s="14" t="str">
        <x:f>IF(E2688&lt;0,"Componente negativo — manter e investigar","OK")</x:f>
        <x:v>OK</x:v>
      </x:c>
    </x:row>
    <x:row r="2689">
      <x:c r="A2689" s="51" t="n">
        <x:v>45931</x:v>
      </x:c>
      <x:c r="B2689" s="14" t="str">
        <x:v>Centro-Oeste</x:v>
      </x:c>
      <x:c r="C2689" s="14" t="str">
        <x:v>SUDESTE / CENTRO - OESTE</x:v>
      </x:c>
      <x:c r="D2689" s="53" t="str">
        <x:v>Livre</x:v>
      </x:c>
      <x:c r="E2689" s="49" t="n">
        <x:v>184.36</x:v>
      </x:c>
      <x:c r="F2689" s="52" t="n">
        <x:v>19</x:v>
      </x:c>
      <x:c r="G2689" s="54" t="n">
        <x:v>46220</x:v>
      </x:c>
      <x:c r="H2689" s="14" t="str">
        <x:f>IF(E2689&lt;0,"Componente negativo — manter e investigar","OK")</x:f>
        <x:v>OK</x:v>
      </x:c>
    </x:row>
    <x:row r="2690">
      <x:c r="A2690" s="51" t="n">
        <x:v>45931</x:v>
      </x:c>
      <x:c r="B2690" s="14" t="str">
        <x:v>Nordeste</x:v>
      </x:c>
      <x:c r="C2690" s="14" t="str">
        <x:v>NORDESTE</x:v>
      </x:c>
      <x:c r="D2690" s="53" t="str">
        <x:v>Cativo</x:v>
      </x:c>
      <x:c r="E2690" s="49" t="n">
        <x:v>2550877.1770000006</x:v>
      </x:c>
      <x:c r="F2690" s="52" t="n">
        <x:v>20496131</x:v>
      </x:c>
      <x:c r="G2690" s="54" t="n">
        <x:v>46220</x:v>
      </x:c>
      <x:c r="H2690" s="14" t="str">
        <x:f>IF(E2690&lt;0,"Componente negativo — manter e investigar","OK")</x:f>
        <x:v>OK</x:v>
      </x:c>
    </x:row>
    <x:row r="2691">
      <x:c r="A2691" s="51" t="n">
        <x:v>45931</x:v>
      </x:c>
      <x:c r="B2691" s="14" t="str">
        <x:v>Nordeste</x:v>
      </x:c>
      <x:c r="C2691" s="14" t="str">
        <x:v>NORDESTE</x:v>
      </x:c>
      <x:c r="D2691" s="53" t="str">
        <x:v>Livre</x:v>
      </x:c>
      <x:c r="E2691" s="49" t="n">
        <x:v>79.2</x:v>
      </x:c>
      <x:c r="F2691" s="52" t="n">
        <x:v>4</x:v>
      </x:c>
      <x:c r="G2691" s="54" t="n">
        <x:v>46220</x:v>
      </x:c>
      <x:c r="H2691" s="14" t="str">
        <x:f>IF(E2691&lt;0,"Componente negativo — manter e investigar","OK")</x:f>
        <x:v>OK</x:v>
      </x:c>
    </x:row>
    <x:row r="2692">
      <x:c r="A2692" s="51" t="n">
        <x:v>45931</x:v>
      </x:c>
      <x:c r="B2692" s="14" t="str">
        <x:v>Nordeste</x:v>
      </x:c>
      <x:c r="C2692" s="14" t="str">
        <x:v>NORTE INTERLIGADO</x:v>
      </x:c>
      <x:c r="D2692" s="53" t="str">
        <x:v>Cativo</x:v>
      </x:c>
      <x:c r="E2692" s="49" t="n">
        <x:v>491716.89</x:v>
      </x:c>
      <x:c r="F2692" s="52" t="n">
        <x:v>2624690</x:v>
      </x:c>
      <x:c r="G2692" s="54" t="n">
        <x:v>46220</x:v>
      </x:c>
      <x:c r="H2692" s="14" t="str">
        <x:f>IF(E2692&lt;0,"Componente negativo — manter e investigar","OK")</x:f>
        <x:v>OK</x:v>
      </x:c>
    </x:row>
    <x:row r="2693">
      <x:c r="A2693" s="51" t="n">
        <x:v>45931</x:v>
      </x:c>
      <x:c r="B2693" s="14" t="str">
        <x:v>Nordeste</x:v>
      </x:c>
      <x:c r="C2693" s="14" t="str">
        <x:v>NORTE INTERLIGADO</x:v>
      </x:c>
      <x:c r="D2693" s="53" t="str">
        <x:v>Livre</x:v>
      </x:c>
      <x:c r="E2693" s="49" t="n">
        <x:v>100.747</x:v>
      </x:c>
      <x:c r="F2693" s="52" t="n">
        <x:v>4</x:v>
      </x:c>
      <x:c r="G2693" s="54" t="n">
        <x:v>46220</x:v>
      </x:c>
      <x:c r="H2693" s="14" t="str">
        <x:f>IF(E2693&lt;0,"Componente negativo — manter e investigar","OK")</x:f>
        <x:v>OK</x:v>
      </x:c>
    </x:row>
    <x:row r="2694">
      <x:c r="A2694" s="51" t="n">
        <x:v>45931</x:v>
      </x:c>
      <x:c r="B2694" s="14" t="str">
        <x:v>Nordeste</x:v>
      </x:c>
      <x:c r="C2694" s="14" t="str">
        <x:v>SISTEMAS ISOLADOS</x:v>
      </x:c>
      <x:c r="D2694" s="53" t="str">
        <x:v>Cativo</x:v>
      </x:c>
      <x:c r="E2694" s="49" t="n">
        <x:v>1075.001</x:v>
      </x:c>
      <x:c r="F2694" s="52" t="n">
        <x:v>833</x:v>
      </x:c>
      <x:c r="G2694" s="54" t="n">
        <x:v>46220</x:v>
      </x:c>
      <x:c r="H2694" s="14" t="str">
        <x:f>IF(E2694&lt;0,"Componente negativo — manter e investigar","OK")</x:f>
        <x:v>OK</x:v>
      </x:c>
    </x:row>
    <x:row r="2695">
      <x:c r="A2695" s="51" t="n">
        <x:v>45931</x:v>
      </x:c>
      <x:c r="B2695" s="14" t="str">
        <x:v>Norte</x:v>
      </x:c>
      <x:c r="C2695" s="14" t="str">
        <x:v>NORTE INTERLIGADO</x:v>
      </x:c>
      <x:c r="D2695" s="53" t="str">
        <x:v>Cativo</x:v>
      </x:c>
      <x:c r="E2695" s="49" t="n">
        <x:v>995640.8740000001</x:v>
      </x:c>
      <x:c r="F2695" s="52" t="n">
        <x:v>4432193</x:v>
      </x:c>
      <x:c r="G2695" s="54" t="n">
        <x:v>46220</x:v>
      </x:c>
      <x:c r="H2695" s="14" t="str">
        <x:f>IF(E2695&lt;0,"Componente negativo — manter e investigar","OK")</x:f>
        <x:v>OK</x:v>
      </x:c>
    </x:row>
    <x:row r="2696">
      <x:c r="A2696" s="51" t="n">
        <x:v>45931</x:v>
      </x:c>
      <x:c r="B2696" s="14" t="str">
        <x:v>Norte</x:v>
      </x:c>
      <x:c r="C2696" s="14" t="str">
        <x:v>NORTE INTERLIGADO</x:v>
      </x:c>
      <x:c r="D2696" s="53" t="str">
        <x:v>Livre</x:v>
      </x:c>
      <x:c r="E2696" s="49" t="n">
        <x:v>4.21</x:v>
      </x:c>
      <x:c r="F2696" s="52" t="n">
        <x:v>1</x:v>
      </x:c>
      <x:c r="G2696" s="54" t="n">
        <x:v>46220</x:v>
      </x:c>
      <x:c r="H2696" s="14" t="str">
        <x:f>IF(E2696&lt;0,"Componente negativo — manter e investigar","OK")</x:f>
        <x:v>OK</x:v>
      </x:c>
    </x:row>
    <x:row r="2697">
      <x:c r="A2697" s="51" t="n">
        <x:v>45931</x:v>
      </x:c>
      <x:c r="B2697" s="14" t="str">
        <x:v>Norte</x:v>
      </x:c>
      <x:c r="C2697" s="14" t="str">
        <x:v>SISTEMAS ISOLADOS</x:v>
      </x:c>
      <x:c r="D2697" s="53" t="str">
        <x:v>Cativo</x:v>
      </x:c>
      <x:c r="E2697" s="49" t="n">
        <x:v>72513.172</x:v>
      </x:c>
      <x:c r="F2697" s="52" t="n">
        <x:v>406065</x:v>
      </x:c>
      <x:c r="G2697" s="54" t="n">
        <x:v>46220</x:v>
      </x:c>
      <x:c r="H2697" s="14" t="str">
        <x:f>IF(E2697&lt;0,"Componente negativo — manter e investigar","OK")</x:f>
        <x:v>OK</x:v>
      </x:c>
    </x:row>
    <x:row r="2698">
      <x:c r="A2698" s="51" t="n">
        <x:v>45931</x:v>
      </x:c>
      <x:c r="B2698" s="14" t="str">
        <x:v>Norte</x:v>
      </x:c>
      <x:c r="C2698" s="14" t="str">
        <x:v>SUDESTE / CENTRO - OESTE</x:v>
      </x:c>
      <x:c r="D2698" s="53" t="str">
        <x:v>Cativo</x:v>
      </x:c>
      <x:c r="E2698" s="49" t="n">
        <x:v>229679.654</x:v>
      </x:c>
      <x:c r="F2698" s="52" t="n">
        <x:v>818952</x:v>
      </x:c>
      <x:c r="G2698" s="54" t="n">
        <x:v>46220</x:v>
      </x:c>
      <x:c r="H2698" s="14" t="str">
        <x:f>IF(E2698&lt;0,"Componente negativo — manter e investigar","OK")</x:f>
        <x:v>OK</x:v>
      </x:c>
    </x:row>
    <x:row r="2699">
      <x:c r="A2699" s="51" t="n">
        <x:v>45931</x:v>
      </x:c>
      <x:c r="B2699" s="14" t="str">
        <x:v>Sudeste</x:v>
      </x:c>
      <x:c r="C2699" s="14" t="str">
        <x:v>SUDESTE / CENTRO - OESTE</x:v>
      </x:c>
      <x:c r="D2699" s="53" t="str">
        <x:v>Cativo</x:v>
      </x:c>
      <x:c r="E2699" s="49" t="n">
        <x:v>6673816.939</x:v>
      </x:c>
      <x:c r="F2699" s="52" t="n">
        <x:v>36846559</x:v>
      </x:c>
      <x:c r="G2699" s="54" t="n">
        <x:v>46220</x:v>
      </x:c>
      <x:c r="H2699" s="14" t="str">
        <x:f>IF(E2699&lt;0,"Componente negativo — manter e investigar","OK")</x:f>
        <x:v>OK</x:v>
      </x:c>
    </x:row>
    <x:row r="2700">
      <x:c r="A2700" s="51" t="n">
        <x:v>45931</x:v>
      </x:c>
      <x:c r="B2700" s="14" t="str">
        <x:v>Sudeste</x:v>
      </x:c>
      <x:c r="C2700" s="14" t="str">
        <x:v>SUDESTE / CENTRO - OESTE</x:v>
      </x:c>
      <x:c r="D2700" s="53" t="str">
        <x:v>Livre</x:v>
      </x:c>
      <x:c r="E2700" s="49" t="n">
        <x:v>2116.154</x:v>
      </x:c>
      <x:c r="F2700" s="52" t="n">
        <x:v>72</x:v>
      </x:c>
      <x:c r="G2700" s="54" t="n">
        <x:v>46220</x:v>
      </x:c>
      <x:c r="H2700" s="14" t="str">
        <x:f>IF(E2700&lt;0,"Componente negativo — manter e investigar","OK")</x:f>
        <x:v>OK</x:v>
      </x:c>
    </x:row>
    <x:row r="2701">
      <x:c r="A2701" s="51" t="n">
        <x:v>45931</x:v>
      </x:c>
      <x:c r="B2701" s="14" t="str">
        <x:v>Sul</x:v>
      </x:c>
      <x:c r="C2701" s="14" t="str">
        <x:v>SUL</x:v>
      </x:c>
      <x:c r="D2701" s="53" t="str">
        <x:v>Cativo</x:v>
      </x:c>
      <x:c r="E2701" s="49" t="n">
        <x:v>2372990.673</x:v>
      </x:c>
      <x:c r="F2701" s="52" t="n">
        <x:v>11893118</x:v>
      </x:c>
      <x:c r="G2701" s="54" t="n">
        <x:v>46220</x:v>
      </x:c>
      <x:c r="H2701" s="14" t="str">
        <x:f>IF(E2701&lt;0,"Componente negativo — manter e investigar","OK")</x:f>
        <x:v>OK</x:v>
      </x:c>
    </x:row>
    <x:row r="2702">
      <x:c r="A2702" s="51" t="n">
        <x:v>45931</x:v>
      </x:c>
      <x:c r="B2702" s="14" t="str">
        <x:v>Sul</x:v>
      </x:c>
      <x:c r="C2702" s="14" t="str">
        <x:v>SUL</x:v>
      </x:c>
      <x:c r="D2702" s="53" t="str">
        <x:v>Livre</x:v>
      </x:c>
      <x:c r="E2702" s="49" t="n">
        <x:v>384.12</x:v>
      </x:c>
      <x:c r="F2702" s="52" t="n">
        <x:v>11</x:v>
      </x:c>
      <x:c r="G2702" s="54" t="n">
        <x:v>46220</x:v>
      </x:c>
      <x:c r="H2702" s="14" t="str">
        <x:f>IF(E2702&lt;0,"Componente negativo — manter e investigar","OK")</x:f>
        <x:v>OK</x:v>
      </x:c>
    </x:row>
    <x:row r="2703">
      <x:c r="A2703" s="51" t="n">
        <x:v>45962</x:v>
      </x:c>
      <x:c r="B2703" s="14" t="str">
        <x:v>Centro-Oeste</x:v>
      </x:c>
      <x:c r="C2703" s="14" t="str">
        <x:v>SUDESTE / CENTRO - OESTE</x:v>
      </x:c>
      <x:c r="D2703" s="53" t="str">
        <x:v>Cativo</x:v>
      </x:c>
      <x:c r="E2703" s="49" t="n">
        <x:v>1572570.2810000002</x:v>
      </x:c>
      <x:c r="F2703" s="52" t="n">
        <x:v>6652212</x:v>
      </x:c>
      <x:c r="G2703" s="54" t="n">
        <x:v>46220</x:v>
      </x:c>
      <x:c r="H2703" s="14" t="str">
        <x:f>IF(E2703&lt;0,"Componente negativo — manter e investigar","OK")</x:f>
        <x:v>OK</x:v>
      </x:c>
    </x:row>
    <x:row r="2704">
      <x:c r="A2704" s="51" t="n">
        <x:v>45962</x:v>
      </x:c>
      <x:c r="B2704" s="14" t="str">
        <x:v>Centro-Oeste</x:v>
      </x:c>
      <x:c r="C2704" s="14" t="str">
        <x:v>SUDESTE / CENTRO - OESTE</x:v>
      </x:c>
      <x:c r="D2704" s="53" t="str">
        <x:v>Livre</x:v>
      </x:c>
      <x:c r="E2704" s="49" t="n">
        <x:v>215.991</x:v>
      </x:c>
      <x:c r="F2704" s="52" t="n">
        <x:v>19</x:v>
      </x:c>
      <x:c r="G2704" s="54" t="n">
        <x:v>46220</x:v>
      </x:c>
      <x:c r="H2704" s="14" t="str">
        <x:f>IF(E2704&lt;0,"Componente negativo — manter e investigar","OK")</x:f>
        <x:v>OK</x:v>
      </x:c>
    </x:row>
    <x:row r="2705">
      <x:c r="A2705" s="51" t="n">
        <x:v>45962</x:v>
      </x:c>
      <x:c r="B2705" s="14" t="str">
        <x:v>Nordeste</x:v>
      </x:c>
      <x:c r="C2705" s="14" t="str">
        <x:v>NORDESTE</x:v>
      </x:c>
      <x:c r="D2705" s="53" t="str">
        <x:v>Cativo</x:v>
      </x:c>
      <x:c r="E2705" s="49" t="n">
        <x:v>2726928.6220000004</x:v>
      </x:c>
      <x:c r="F2705" s="52" t="n">
        <x:v>20586767</x:v>
      </x:c>
      <x:c r="G2705" s="54" t="n">
        <x:v>46220</x:v>
      </x:c>
      <x:c r="H2705" s="14" t="str">
        <x:f>IF(E2705&lt;0,"Componente negativo — manter e investigar","OK")</x:f>
        <x:v>OK</x:v>
      </x:c>
    </x:row>
    <x:row r="2706">
      <x:c r="A2706" s="51" t="n">
        <x:v>45962</x:v>
      </x:c>
      <x:c r="B2706" s="14" t="str">
        <x:v>Nordeste</x:v>
      </x:c>
      <x:c r="C2706" s="14" t="str">
        <x:v>NORDESTE</x:v>
      </x:c>
      <x:c r="D2706" s="53" t="str">
        <x:v>Livre</x:v>
      </x:c>
      <x:c r="E2706" s="49" t="n">
        <x:v>82.453</x:v>
      </x:c>
      <x:c r="F2706" s="52" t="n">
        <x:v>4</x:v>
      </x:c>
      <x:c r="G2706" s="54" t="n">
        <x:v>46220</x:v>
      </x:c>
      <x:c r="H2706" s="14" t="str">
        <x:f>IF(E2706&lt;0,"Componente negativo — manter e investigar","OK")</x:f>
        <x:v>OK</x:v>
      </x:c>
    </x:row>
    <x:row r="2707">
      <x:c r="A2707" s="51" t="n">
        <x:v>45962</x:v>
      </x:c>
      <x:c r="B2707" s="14" t="str">
        <x:v>Nordeste</x:v>
      </x:c>
      <x:c r="C2707" s="14" t="str">
        <x:v>NORTE INTERLIGADO</x:v>
      </x:c>
      <x:c r="D2707" s="53" t="str">
        <x:v>Cativo</x:v>
      </x:c>
      <x:c r="E2707" s="49" t="n">
        <x:v>491067.264</x:v>
      </x:c>
      <x:c r="F2707" s="52" t="n">
        <x:v>2627963</x:v>
      </x:c>
      <x:c r="G2707" s="54" t="n">
        <x:v>46220</x:v>
      </x:c>
      <x:c r="H2707" s="14" t="str">
        <x:f>IF(E2707&lt;0,"Componente negativo — manter e investigar","OK")</x:f>
        <x:v>OK</x:v>
      </x:c>
    </x:row>
    <x:row r="2708">
      <x:c r="A2708" s="51" t="n">
        <x:v>45962</x:v>
      </x:c>
      <x:c r="B2708" s="14" t="str">
        <x:v>Nordeste</x:v>
      </x:c>
      <x:c r="C2708" s="14" t="str">
        <x:v>NORTE INTERLIGADO</x:v>
      </x:c>
      <x:c r="D2708" s="53" t="str">
        <x:v>Livre</x:v>
      </x:c>
      <x:c r="E2708" s="49" t="n">
        <x:v>100.834</x:v>
      </x:c>
      <x:c r="F2708" s="52" t="n">
        <x:v>4</x:v>
      </x:c>
      <x:c r="G2708" s="54" t="n">
        <x:v>46220</x:v>
      </x:c>
      <x:c r="H2708" s="14" t="str">
        <x:f>IF(E2708&lt;0,"Componente negativo — manter e investigar","OK")</x:f>
        <x:v>OK</x:v>
      </x:c>
    </x:row>
    <x:row r="2709">
      <x:c r="A2709" s="51" t="n">
        <x:v>45962</x:v>
      </x:c>
      <x:c r="B2709" s="14" t="str">
        <x:v>Nordeste</x:v>
      </x:c>
      <x:c r="C2709" s="14" t="str">
        <x:v>SISTEMAS ISOLADOS</x:v>
      </x:c>
      <x:c r="D2709" s="53" t="str">
        <x:v>Cativo</x:v>
      </x:c>
      <x:c r="E2709" s="49" t="n">
        <x:v>1056.966</x:v>
      </x:c>
      <x:c r="F2709" s="52" t="n">
        <x:v>835</x:v>
      </x:c>
      <x:c r="G2709" s="54" t="n">
        <x:v>46220</x:v>
      </x:c>
      <x:c r="H2709" s="14" t="str">
        <x:f>IF(E2709&lt;0,"Componente negativo — manter e investigar","OK")</x:f>
        <x:v>OK</x:v>
      </x:c>
    </x:row>
    <x:row r="2710">
      <x:c r="A2710" s="51" t="n">
        <x:v>45962</x:v>
      </x:c>
      <x:c r="B2710" s="14" t="str">
        <x:v>Norte</x:v>
      </x:c>
      <x:c r="C2710" s="14" t="str">
        <x:v>NORTE INTERLIGADO</x:v>
      </x:c>
      <x:c r="D2710" s="53" t="str">
        <x:v>Cativo</x:v>
      </x:c>
      <x:c r="E2710" s="49" t="n">
        <x:v>1008012.467</x:v>
      </x:c>
      <x:c r="F2710" s="52" t="n">
        <x:v>4321789</x:v>
      </x:c>
      <x:c r="G2710" s="54" t="n">
        <x:v>46220</x:v>
      </x:c>
      <x:c r="H2710" s="14" t="str">
        <x:f>IF(E2710&lt;0,"Componente negativo — manter e investigar","OK")</x:f>
        <x:v>OK</x:v>
      </x:c>
    </x:row>
    <x:row r="2711">
      <x:c r="A2711" s="51" t="n">
        <x:v>45962</x:v>
      </x:c>
      <x:c r="B2711" s="14" t="str">
        <x:v>Norte</x:v>
      </x:c>
      <x:c r="C2711" s="14" t="str">
        <x:v>NORTE INTERLIGADO</x:v>
      </x:c>
      <x:c r="D2711" s="53" t="str">
        <x:v>Livre</x:v>
      </x:c>
      <x:c r="E2711" s="49" t="n">
        <x:v>5.749</x:v>
      </x:c>
      <x:c r="F2711" s="52" t="n">
        <x:v>1</x:v>
      </x:c>
      <x:c r="G2711" s="54" t="n">
        <x:v>46220</x:v>
      </x:c>
      <x:c r="H2711" s="14" t="str">
        <x:f>IF(E2711&lt;0,"Componente negativo — manter e investigar","OK")</x:f>
        <x:v>OK</x:v>
      </x:c>
    </x:row>
    <x:row r="2712">
      <x:c r="A2712" s="51" t="n">
        <x:v>45962</x:v>
      </x:c>
      <x:c r="B2712" s="14" t="str">
        <x:v>Norte</x:v>
      </x:c>
      <x:c r="C2712" s="14" t="str">
        <x:v>SISTEMAS ISOLADOS</x:v>
      </x:c>
      <x:c r="D2712" s="53" t="str">
        <x:v>Cativo</x:v>
      </x:c>
      <x:c r="E2712" s="49" t="n">
        <x:v>74718.734</x:v>
      </x:c>
      <x:c r="F2712" s="52" t="n">
        <x:v>393627</x:v>
      </x:c>
      <x:c r="G2712" s="54" t="n">
        <x:v>46220</x:v>
      </x:c>
      <x:c r="H2712" s="14" t="str">
        <x:f>IF(E2712&lt;0,"Componente negativo — manter e investigar","OK")</x:f>
        <x:v>OK</x:v>
      </x:c>
    </x:row>
    <x:row r="2713">
      <x:c r="A2713" s="51" t="n">
        <x:v>45962</x:v>
      </x:c>
      <x:c r="B2713" s="14" t="str">
        <x:v>Norte</x:v>
      </x:c>
      <x:c r="C2713" s="14" t="str">
        <x:v>SUDESTE / CENTRO - OESTE</x:v>
      </x:c>
      <x:c r="D2713" s="53" t="str">
        <x:v>Cativo</x:v>
      </x:c>
      <x:c r="E2713" s="49" t="n">
        <x:v>227457.522</x:v>
      </x:c>
      <x:c r="F2713" s="52" t="n">
        <x:v>819800</x:v>
      </x:c>
      <x:c r="G2713" s="54" t="n">
        <x:v>46220</x:v>
      </x:c>
      <x:c r="H2713" s="14" t="str">
        <x:f>IF(E2713&lt;0,"Componente negativo — manter e investigar","OK")</x:f>
        <x:v>OK</x:v>
      </x:c>
    </x:row>
    <x:row r="2714">
      <x:c r="A2714" s="51" t="n">
        <x:v>45962</x:v>
      </x:c>
      <x:c r="B2714" s="14" t="str">
        <x:v>Sudeste</x:v>
      </x:c>
      <x:c r="C2714" s="14" t="str">
        <x:v>SUDESTE / CENTRO - OESTE</x:v>
      </x:c>
      <x:c r="D2714" s="53" t="str">
        <x:v>Cativo</x:v>
      </x:c>
      <x:c r="E2714" s="49" t="n">
        <x:v>6528625.942</x:v>
      </x:c>
      <x:c r="F2714" s="52" t="n">
        <x:v>36892689</x:v>
      </x:c>
      <x:c r="G2714" s="54" t="n">
        <x:v>46220</x:v>
      </x:c>
      <x:c r="H2714" s="14" t="str">
        <x:f>IF(E2714&lt;0,"Componente negativo — manter e investigar","OK")</x:f>
        <x:v>OK</x:v>
      </x:c>
    </x:row>
    <x:row r="2715">
      <x:c r="A2715" s="51" t="n">
        <x:v>45962</x:v>
      </x:c>
      <x:c r="B2715" s="14" t="str">
        <x:v>Sudeste</x:v>
      </x:c>
      <x:c r="C2715" s="14" t="str">
        <x:v>SUDESTE / CENTRO - OESTE</x:v>
      </x:c>
      <x:c r="D2715" s="53" t="str">
        <x:v>Livre</x:v>
      </x:c>
      <x:c r="E2715" s="49" t="n">
        <x:v>2586.749</x:v>
      </x:c>
      <x:c r="F2715" s="52" t="n">
        <x:v>77</x:v>
      </x:c>
      <x:c r="G2715" s="54" t="n">
        <x:v>46220</x:v>
      </x:c>
      <x:c r="H2715" s="14" t="str">
        <x:f>IF(E2715&lt;0,"Componente negativo — manter e investigar","OK")</x:f>
        <x:v>OK</x:v>
      </x:c>
    </x:row>
    <x:row r="2716">
      <x:c r="A2716" s="51" t="n">
        <x:v>45962</x:v>
      </x:c>
      <x:c r="B2716" s="14" t="str">
        <x:v>Sul</x:v>
      </x:c>
      <x:c r="C2716" s="14" t="str">
        <x:v>SUL</x:v>
      </x:c>
      <x:c r="D2716" s="53" t="str">
        <x:v>Cativo</x:v>
      </x:c>
      <x:c r="E2716" s="49" t="n">
        <x:v>2349004.491</x:v>
      </x:c>
      <x:c r="F2716" s="52" t="n">
        <x:v>11913049</x:v>
      </x:c>
      <x:c r="G2716" s="54" t="n">
        <x:v>46220</x:v>
      </x:c>
      <x:c r="H2716" s="14" t="str">
        <x:f>IF(E2716&lt;0,"Componente negativo — manter e investigar","OK")</x:f>
        <x:v>OK</x:v>
      </x:c>
    </x:row>
    <x:row r="2717">
      <x:c r="A2717" s="51" t="n">
        <x:v>45962</x:v>
      </x:c>
      <x:c r="B2717" s="14" t="str">
        <x:v>Sul</x:v>
      </x:c>
      <x:c r="C2717" s="14" t="str">
        <x:v>SUL</x:v>
      </x:c>
      <x:c r="D2717" s="53" t="str">
        <x:v>Livre</x:v>
      </x:c>
      <x:c r="E2717" s="49" t="n">
        <x:v>343.118</x:v>
      </x:c>
      <x:c r="F2717" s="52" t="n">
        <x:v>12</x:v>
      </x:c>
      <x:c r="G2717" s="54" t="n">
        <x:v>46220</x:v>
      </x:c>
      <x:c r="H2717" s="14" t="str">
        <x:f>IF(E2717&lt;0,"Componente negativo — manter e investigar","OK")</x:f>
        <x:v>OK</x:v>
      </x:c>
    </x:row>
    <x:row r="2718">
      <x:c r="A2718" s="51" t="n">
        <x:v>45992</x:v>
      </x:c>
      <x:c r="B2718" s="14" t="str">
        <x:v>Centro-Oeste</x:v>
      </x:c>
      <x:c r="C2718" s="14" t="str">
        <x:v>SUDESTE / CENTRO - OESTE</x:v>
      </x:c>
      <x:c r="D2718" s="53" t="str">
        <x:v>Cativo</x:v>
      </x:c>
      <x:c r="E2718" s="49" t="n">
        <x:v>1553348.977</x:v>
      </x:c>
      <x:c r="F2718" s="52" t="n">
        <x:v>6676814</x:v>
      </x:c>
      <x:c r="G2718" s="54" t="n">
        <x:v>46220</x:v>
      </x:c>
      <x:c r="H2718" s="14" t="str">
        <x:f>IF(E2718&lt;0,"Componente negativo — manter e investigar","OK")</x:f>
        <x:v>OK</x:v>
      </x:c>
    </x:row>
    <x:row r="2719">
      <x:c r="A2719" s="51" t="n">
        <x:v>45992</x:v>
      </x:c>
      <x:c r="B2719" s="14" t="str">
        <x:v>Centro-Oeste</x:v>
      </x:c>
      <x:c r="C2719" s="14" t="str">
        <x:v>SUDESTE / CENTRO - OESTE</x:v>
      </x:c>
      <x:c r="D2719" s="53" t="str">
        <x:v>Livre</x:v>
      </x:c>
      <x:c r="E2719" s="49" t="n">
        <x:v>207.142</x:v>
      </x:c>
      <x:c r="F2719" s="52" t="n">
        <x:v>19</x:v>
      </x:c>
      <x:c r="G2719" s="54" t="n">
        <x:v>46220</x:v>
      </x:c>
      <x:c r="H2719" s="14" t="str">
        <x:f>IF(E2719&lt;0,"Componente negativo — manter e investigar","OK")</x:f>
        <x:v>OK</x:v>
      </x:c>
    </x:row>
    <x:row r="2720">
      <x:c r="A2720" s="51" t="n">
        <x:v>45992</x:v>
      </x:c>
      <x:c r="B2720" s="14" t="str">
        <x:v>Nordeste</x:v>
      </x:c>
      <x:c r="C2720" s="14" t="str">
        <x:v>NORDESTE</x:v>
      </x:c>
      <x:c r="D2720" s="53" t="str">
        <x:v>Cativo</x:v>
      </x:c>
      <x:c r="E2720" s="49" t="n">
        <x:v>2856942.72</x:v>
      </x:c>
      <x:c r="F2720" s="52" t="n">
        <x:v>20689139</x:v>
      </x:c>
      <x:c r="G2720" s="54" t="n">
        <x:v>46220</x:v>
      </x:c>
      <x:c r="H2720" s="14" t="str">
        <x:f>IF(E2720&lt;0,"Componente negativo — manter e investigar","OK")</x:f>
        <x:v>OK</x:v>
      </x:c>
    </x:row>
    <x:row r="2721">
      <x:c r="A2721" s="51" t="n">
        <x:v>45992</x:v>
      </x:c>
      <x:c r="B2721" s="14" t="str">
        <x:v>Nordeste</x:v>
      </x:c>
      <x:c r="C2721" s="14" t="str">
        <x:v>NORDESTE</x:v>
      </x:c>
      <x:c r="D2721" s="53" t="str">
        <x:v>Livre</x:v>
      </x:c>
      <x:c r="E2721" s="49" t="n">
        <x:v>89.686</x:v>
      </x:c>
      <x:c r="F2721" s="52" t="n">
        <x:v>4</x:v>
      </x:c>
      <x:c r="G2721" s="54" t="n">
        <x:v>46220</x:v>
      </x:c>
      <x:c r="H2721" s="14" t="str">
        <x:f>IF(E2721&lt;0,"Componente negativo — manter e investigar","OK")</x:f>
        <x:v>OK</x:v>
      </x:c>
    </x:row>
    <x:row r="2722">
      <x:c r="A2722" s="51" t="n">
        <x:v>45992</x:v>
      </x:c>
      <x:c r="B2722" s="14" t="str">
        <x:v>Nordeste</x:v>
      </x:c>
      <x:c r="C2722" s="14" t="str">
        <x:v>NORTE INTERLIGADO</x:v>
      </x:c>
      <x:c r="D2722" s="53" t="str">
        <x:v>Cativo</x:v>
      </x:c>
      <x:c r="E2722" s="49" t="n">
        <x:v>482366.341</x:v>
      </x:c>
      <x:c r="F2722" s="52" t="n">
        <x:v>2629359</x:v>
      </x:c>
      <x:c r="G2722" s="54" t="n">
        <x:v>46220</x:v>
      </x:c>
      <x:c r="H2722" s="14" t="str">
        <x:f>IF(E2722&lt;0,"Componente negativo — manter e investigar","OK")</x:f>
        <x:v>OK</x:v>
      </x:c>
    </x:row>
    <x:row r="2723">
      <x:c r="A2723" s="51" t="n">
        <x:v>45992</x:v>
      </x:c>
      <x:c r="B2723" s="14" t="str">
        <x:v>Nordeste</x:v>
      </x:c>
      <x:c r="C2723" s="14" t="str">
        <x:v>NORTE INTERLIGADO</x:v>
      </x:c>
      <x:c r="D2723" s="53" t="str">
        <x:v>Livre</x:v>
      </x:c>
      <x:c r="E2723" s="49" t="n">
        <x:v>107.48</x:v>
      </x:c>
      <x:c r="F2723" s="52" t="n">
        <x:v>4</x:v>
      </x:c>
      <x:c r="G2723" s="54" t="n">
        <x:v>46220</x:v>
      </x:c>
      <x:c r="H2723" s="14" t="str">
        <x:f>IF(E2723&lt;0,"Componente negativo — manter e investigar","OK")</x:f>
        <x:v>OK</x:v>
      </x:c>
    </x:row>
    <x:row r="2724">
      <x:c r="A2724" s="51" t="n">
        <x:v>45992</x:v>
      </x:c>
      <x:c r="B2724" s="14" t="str">
        <x:v>Nordeste</x:v>
      </x:c>
      <x:c r="C2724" s="14" t="str">
        <x:v>SISTEMAS ISOLADOS</x:v>
      </x:c>
      <x:c r="D2724" s="53" t="str">
        <x:v>Cativo</x:v>
      </x:c>
      <x:c r="E2724" s="49" t="n">
        <x:v>1200.408</x:v>
      </x:c>
      <x:c r="F2724" s="52" t="n">
        <x:v>843</x:v>
      </x:c>
      <x:c r="G2724" s="54" t="n">
        <x:v>46220</x:v>
      </x:c>
      <x:c r="H2724" s="14" t="str">
        <x:f>IF(E2724&lt;0,"Componente negativo — manter e investigar","OK")</x:f>
        <x:v>OK</x:v>
      </x:c>
    </x:row>
    <x:row r="2725">
      <x:c r="A2725" s="51" t="n">
        <x:v>45992</x:v>
      </x:c>
      <x:c r="B2725" s="14" t="str">
        <x:v>Norte</x:v>
      </x:c>
      <x:c r="C2725" s="14" t="str">
        <x:v>NORTE INTERLIGADO</x:v>
      </x:c>
      <x:c r="D2725" s="53" t="str">
        <x:v>Cativo</x:v>
      </x:c>
      <x:c r="E2725" s="49" t="n">
        <x:v>964902.468</x:v>
      </x:c>
      <x:c r="F2725" s="52" t="n">
        <x:v>4341688</x:v>
      </x:c>
      <x:c r="G2725" s="54" t="n">
        <x:v>46220</x:v>
      </x:c>
      <x:c r="H2725" s="14" t="str">
        <x:f>IF(E2725&lt;0,"Componente negativo — manter e investigar","OK")</x:f>
        <x:v>OK</x:v>
      </x:c>
    </x:row>
    <x:row r="2726">
      <x:c r="A2726" s="51" t="n">
        <x:v>45992</x:v>
      </x:c>
      <x:c r="B2726" s="14" t="str">
        <x:v>Norte</x:v>
      </x:c>
      <x:c r="C2726" s="14" t="str">
        <x:v>NORTE INTERLIGADO</x:v>
      </x:c>
      <x:c r="D2726" s="53" t="str">
        <x:v>Livre</x:v>
      </x:c>
      <x:c r="E2726" s="49" t="n">
        <x:v>6.698</x:v>
      </x:c>
      <x:c r="F2726" s="52" t="n">
        <x:v>1</x:v>
      </x:c>
      <x:c r="G2726" s="54" t="n">
        <x:v>46220</x:v>
      </x:c>
      <x:c r="H2726" s="14" t="str">
        <x:f>IF(E2726&lt;0,"Componente negativo — manter e investigar","OK")</x:f>
        <x:v>OK</x:v>
      </x:c>
    </x:row>
    <x:row r="2727">
      <x:c r="A2727" s="51" t="n">
        <x:v>45992</x:v>
      </x:c>
      <x:c r="B2727" s="14" t="str">
        <x:v>Norte</x:v>
      </x:c>
      <x:c r="C2727" s="14" t="str">
        <x:v>SISTEMAS ISOLADOS</x:v>
      </x:c>
      <x:c r="D2727" s="53" t="str">
        <x:v>Cativo</x:v>
      </x:c>
      <x:c r="E2727" s="49" t="n">
        <x:v>70174.279</x:v>
      </x:c>
      <x:c r="F2727" s="52" t="n">
        <x:v>380660</x:v>
      </x:c>
      <x:c r="G2727" s="54" t="n">
        <x:v>46220</x:v>
      </x:c>
      <x:c r="H2727" s="14" t="str">
        <x:f>IF(E2727&lt;0,"Componente negativo — manter e investigar","OK")</x:f>
        <x:v>OK</x:v>
      </x:c>
    </x:row>
    <x:row r="2728">
      <x:c r="A2728" s="51" t="n">
        <x:v>45992</x:v>
      </x:c>
      <x:c r="B2728" s="14" t="str">
        <x:v>Norte</x:v>
      </x:c>
      <x:c r="C2728" s="14" t="str">
        <x:v>SUDESTE / CENTRO - OESTE</x:v>
      </x:c>
      <x:c r="D2728" s="53" t="str">
        <x:v>Cativo</x:v>
      </x:c>
      <x:c r="E2728" s="49" t="n">
        <x:v>218127.417</x:v>
      </x:c>
      <x:c r="F2728" s="52" t="n">
        <x:v>826745</x:v>
      </x:c>
      <x:c r="G2728" s="54" t="n">
        <x:v>46220</x:v>
      </x:c>
      <x:c r="H2728" s="14" t="str">
        <x:f>IF(E2728&lt;0,"Componente negativo — manter e investigar","OK")</x:f>
        <x:v>OK</x:v>
      </x:c>
    </x:row>
    <x:row r="2729">
      <x:c r="A2729" s="51" t="n">
        <x:v>45992</x:v>
      </x:c>
      <x:c r="B2729" s="14" t="str">
        <x:v>Sudeste</x:v>
      </x:c>
      <x:c r="C2729" s="14" t="str">
        <x:v>SUDESTE / CENTRO - OESTE</x:v>
      </x:c>
      <x:c r="D2729" s="53" t="str">
        <x:v>Cativo</x:v>
      </x:c>
      <x:c r="E2729" s="49" t="n">
        <x:v>7128529.285999999</x:v>
      </x:c>
      <x:c r="F2729" s="52" t="n">
        <x:v>37032548</x:v>
      </x:c>
      <x:c r="G2729" s="54" t="n">
        <x:v>46220</x:v>
      </x:c>
      <x:c r="H2729" s="14" t="str">
        <x:f>IF(E2729&lt;0,"Componente negativo — manter e investigar","OK")</x:f>
        <x:v>OK</x:v>
      </x:c>
    </x:row>
    <x:row r="2730">
      <x:c r="A2730" s="51" t="n">
        <x:v>45992</x:v>
      </x:c>
      <x:c r="B2730" s="14" t="str">
        <x:v>Sudeste</x:v>
      </x:c>
      <x:c r="C2730" s="14" t="str">
        <x:v>SUDESTE / CENTRO - OESTE</x:v>
      </x:c>
      <x:c r="D2730" s="53" t="str">
        <x:v>Livre</x:v>
      </x:c>
      <x:c r="E2730" s="49" t="n">
        <x:v>2327.911</x:v>
      </x:c>
      <x:c r="F2730" s="52" t="n">
        <x:v>80</x:v>
      </x:c>
      <x:c r="G2730" s="54" t="n">
        <x:v>46220</x:v>
      </x:c>
      <x:c r="H2730" s="14" t="str">
        <x:f>IF(E2730&lt;0,"Componente negativo — manter e investigar","OK")</x:f>
        <x:v>OK</x:v>
      </x:c>
    </x:row>
    <x:row r="2731">
      <x:c r="A2731" s="51" t="n">
        <x:v>45992</x:v>
      </x:c>
      <x:c r="B2731" s="14" t="str">
        <x:v>Sul</x:v>
      </x:c>
      <x:c r="C2731" s="14" t="str">
        <x:v>SUL</x:v>
      </x:c>
      <x:c r="D2731" s="53" t="str">
        <x:v>Cativo</x:v>
      </x:c>
      <x:c r="E2731" s="49" t="n">
        <x:v>2638629.1869999995</x:v>
      </x:c>
      <x:c r="F2731" s="52" t="n">
        <x:v>11940698</x:v>
      </x:c>
      <x:c r="G2731" s="54" t="n">
        <x:v>46220</x:v>
      </x:c>
      <x:c r="H2731" s="14" t="str">
        <x:f>IF(E2731&lt;0,"Componente negativo — manter e investigar","OK")</x:f>
        <x:v>OK</x:v>
      </x:c>
    </x:row>
    <x:row r="2732">
      <x:c r="A2732" s="51" t="n">
        <x:v>45992</x:v>
      </x:c>
      <x:c r="B2732" s="14" t="str">
        <x:v>Sul</x:v>
      </x:c>
      <x:c r="C2732" s="14" t="str">
        <x:v>SUL</x:v>
      </x:c>
      <x:c r="D2732" s="53" t="str">
        <x:v>Livre</x:v>
      </x:c>
      <x:c r="E2732" s="49" t="n">
        <x:v>307.535</x:v>
      </x:c>
      <x:c r="F2732" s="52" t="n">
        <x:v>11</x:v>
      </x:c>
      <x:c r="G2732" s="54" t="n">
        <x:v>46220</x:v>
      </x:c>
      <x:c r="H2732" s="14" t="str">
        <x:f>IF(E2732&lt;0,"Componente negativo — manter e investigar","OK")</x:f>
        <x:v>OK</x:v>
      </x:c>
    </x:row>
    <x:row r="2733">
      <x:c r="A2733" s="51" t="n">
        <x:v>46023</x:v>
      </x:c>
      <x:c r="B2733" s="14" t="str">
        <x:v>Centro-Oeste</x:v>
      </x:c>
      <x:c r="C2733" s="14" t="str">
        <x:v>SUDESTE / CENTRO - OESTE</x:v>
      </x:c>
      <x:c r="D2733" s="53" t="str">
        <x:v>Cativo</x:v>
      </x:c>
      <x:c r="E2733" s="49" t="n">
        <x:v>1524157.851</x:v>
      </x:c>
      <x:c r="F2733" s="52" t="n">
        <x:v>6670124</x:v>
      </x:c>
      <x:c r="G2733" s="54" t="n">
        <x:v>46220</x:v>
      </x:c>
      <x:c r="H2733" s="14" t="str">
        <x:f>IF(E2733&lt;0,"Componente negativo — manter e investigar","OK")</x:f>
        <x:v>OK</x:v>
      </x:c>
    </x:row>
    <x:row r="2734">
      <x:c r="A2734" s="51" t="n">
        <x:v>46023</x:v>
      </x:c>
      <x:c r="B2734" s="14" t="str">
        <x:v>Centro-Oeste</x:v>
      </x:c>
      <x:c r="C2734" s="14" t="str">
        <x:v>SUDESTE / CENTRO - OESTE</x:v>
      </x:c>
      <x:c r="D2734" s="53" t="str">
        <x:v>Livre</x:v>
      </x:c>
      <x:c r="E2734" s="49" t="n">
        <x:v>212</x:v>
      </x:c>
      <x:c r="F2734" s="52" t="n">
        <x:v>19</x:v>
      </x:c>
      <x:c r="G2734" s="54" t="n">
        <x:v>46220</x:v>
      </x:c>
      <x:c r="H2734" s="14" t="str">
        <x:f>IF(E2734&lt;0,"Componente negativo — manter e investigar","OK")</x:f>
        <x:v>OK</x:v>
      </x:c>
    </x:row>
    <x:row r="2735">
      <x:c r="A2735" s="51" t="n">
        <x:v>46023</x:v>
      </x:c>
      <x:c r="B2735" s="14" t="str">
        <x:v>Nordeste</x:v>
      </x:c>
      <x:c r="C2735" s="14" t="str">
        <x:v>NORDESTE</x:v>
      </x:c>
      <x:c r="D2735" s="53" t="str">
        <x:v>Cativo</x:v>
      </x:c>
      <x:c r="E2735" s="49" t="n">
        <x:v>2913132.46</x:v>
      </x:c>
      <x:c r="F2735" s="52" t="n">
        <x:v>20605545</x:v>
      </x:c>
      <x:c r="G2735" s="54" t="n">
        <x:v>46220</x:v>
      </x:c>
      <x:c r="H2735" s="14" t="str">
        <x:f>IF(E2735&lt;0,"Componente negativo — manter e investigar","OK")</x:f>
        <x:v>OK</x:v>
      </x:c>
    </x:row>
    <x:row r="2736">
      <x:c r="A2736" s="51" t="n">
        <x:v>46023</x:v>
      </x:c>
      <x:c r="B2736" s="14" t="str">
        <x:v>Nordeste</x:v>
      </x:c>
      <x:c r="C2736" s="14" t="str">
        <x:v>NORDESTE</x:v>
      </x:c>
      <x:c r="D2736" s="53" t="str">
        <x:v>Livre</x:v>
      </x:c>
      <x:c r="E2736" s="49" t="n">
        <x:v>85.554</x:v>
      </x:c>
      <x:c r="F2736" s="52" t="n">
        <x:v>5</x:v>
      </x:c>
      <x:c r="G2736" s="54" t="n">
        <x:v>46220</x:v>
      </x:c>
      <x:c r="H2736" s="14" t="str">
        <x:f>IF(E2736&lt;0,"Componente negativo — manter e investigar","OK")</x:f>
        <x:v>OK</x:v>
      </x:c>
    </x:row>
    <x:row r="2737">
      <x:c r="A2737" s="51" t="n">
        <x:v>46023</x:v>
      </x:c>
      <x:c r="B2737" s="14" t="str">
        <x:v>Nordeste</x:v>
      </x:c>
      <x:c r="C2737" s="14" t="str">
        <x:v>NORTE INTERLIGADO</x:v>
      </x:c>
      <x:c r="D2737" s="53" t="str">
        <x:v>Cativo</x:v>
      </x:c>
      <x:c r="E2737" s="49" t="n">
        <x:v>459614.112</x:v>
      </x:c>
      <x:c r="F2737" s="52" t="n">
        <x:v>2640855</x:v>
      </x:c>
      <x:c r="G2737" s="54" t="n">
        <x:v>46220</x:v>
      </x:c>
      <x:c r="H2737" s="14" t="str">
        <x:f>IF(E2737&lt;0,"Componente negativo — manter e investigar","OK")</x:f>
        <x:v>OK</x:v>
      </x:c>
    </x:row>
    <x:row r="2738">
      <x:c r="A2738" s="51" t="n">
        <x:v>46023</x:v>
      </x:c>
      <x:c r="B2738" s="14" t="str">
        <x:v>Nordeste</x:v>
      </x:c>
      <x:c r="C2738" s="14" t="str">
        <x:v>NORTE INTERLIGADO</x:v>
      </x:c>
      <x:c r="D2738" s="53" t="str">
        <x:v>Livre</x:v>
      </x:c>
      <x:c r="E2738" s="49" t="n">
        <x:v>109.541</x:v>
      </x:c>
      <x:c r="F2738" s="52" t="n">
        <x:v>4</x:v>
      </x:c>
      <x:c r="G2738" s="54" t="n">
        <x:v>46220</x:v>
      </x:c>
      <x:c r="H2738" s="14" t="str">
        <x:f>IF(E2738&lt;0,"Componente negativo — manter e investigar","OK")</x:f>
        <x:v>OK</x:v>
      </x:c>
    </x:row>
    <x:row r="2739">
      <x:c r="A2739" s="51" t="n">
        <x:v>46023</x:v>
      </x:c>
      <x:c r="B2739" s="14" t="str">
        <x:v>Nordeste</x:v>
      </x:c>
      <x:c r="C2739" s="14" t="str">
        <x:v>SISTEMAS ISOLADOS</x:v>
      </x:c>
      <x:c r="D2739" s="53" t="str">
        <x:v>Cativo</x:v>
      </x:c>
      <x:c r="E2739" s="49" t="n">
        <x:v>1160.123</x:v>
      </x:c>
      <x:c r="F2739" s="52" t="n">
        <x:v>846</x:v>
      </x:c>
      <x:c r="G2739" s="54" t="n">
        <x:v>46220</x:v>
      </x:c>
      <x:c r="H2739" s="14" t="str">
        <x:f>IF(E2739&lt;0,"Componente negativo — manter e investigar","OK")</x:f>
        <x:v>OK</x:v>
      </x:c>
    </x:row>
    <x:row r="2740">
      <x:c r="A2740" s="51" t="n">
        <x:v>46023</x:v>
      </x:c>
      <x:c r="B2740" s="14" t="str">
        <x:v>Norte</x:v>
      </x:c>
      <x:c r="C2740" s="14" t="str">
        <x:v>NORTE INTERLIGADO</x:v>
      </x:c>
      <x:c r="D2740" s="53" t="str">
        <x:v>Cativo</x:v>
      </x:c>
      <x:c r="E2740" s="49" t="n">
        <x:v>912427.748</x:v>
      </x:c>
      <x:c r="F2740" s="52" t="n">
        <x:v>4449362</x:v>
      </x:c>
      <x:c r="G2740" s="54" t="n">
        <x:v>46220</x:v>
      </x:c>
      <x:c r="H2740" s="14" t="str">
        <x:f>IF(E2740&lt;0,"Componente negativo — manter e investigar","OK")</x:f>
        <x:v>OK</x:v>
      </x:c>
    </x:row>
    <x:row r="2741">
      <x:c r="A2741" s="51" t="n">
        <x:v>46023</x:v>
      </x:c>
      <x:c r="B2741" s="14" t="str">
        <x:v>Norte</x:v>
      </x:c>
      <x:c r="C2741" s="14" t="str">
        <x:v>NORTE INTERLIGADO</x:v>
      </x:c>
      <x:c r="D2741" s="53" t="str">
        <x:v>Livre</x:v>
      </x:c>
      <x:c r="E2741" s="49" t="n">
        <x:v>7</x:v>
      </x:c>
      <x:c r="F2741" s="52" t="n">
        <x:v>2</x:v>
      </x:c>
      <x:c r="G2741" s="54" t="n">
        <x:v>46220</x:v>
      </x:c>
      <x:c r="H2741" s="14" t="str">
        <x:f>IF(E2741&lt;0,"Componente negativo — manter e investigar","OK")</x:f>
        <x:v>OK</x:v>
      </x:c>
    </x:row>
    <x:row r="2742">
      <x:c r="A2742" s="51" t="n">
        <x:v>46023</x:v>
      </x:c>
      <x:c r="B2742" s="14" t="str">
        <x:v>Norte</x:v>
      </x:c>
      <x:c r="C2742" s="14" t="str">
        <x:v>SISTEMAS ISOLADOS</x:v>
      </x:c>
      <x:c r="D2742" s="53" t="str">
        <x:v>Cativo</x:v>
      </x:c>
      <x:c r="E2742" s="49" t="n">
        <x:v>72659.362</x:v>
      </x:c>
      <x:c r="F2742" s="52" t="n">
        <x:v>423466</x:v>
      </x:c>
      <x:c r="G2742" s="54" t="n">
        <x:v>46220</x:v>
      </x:c>
      <x:c r="H2742" s="14" t="str">
        <x:f>IF(E2742&lt;0,"Componente negativo — manter e investigar","OK")</x:f>
        <x:v>OK</x:v>
      </x:c>
    </x:row>
    <x:row r="2743">
      <x:c r="A2743" s="51" t="n">
        <x:v>46023</x:v>
      </x:c>
      <x:c r="B2743" s="14" t="str">
        <x:v>Norte</x:v>
      </x:c>
      <x:c r="C2743" s="14" t="str">
        <x:v>SUDESTE / CENTRO - OESTE</x:v>
      </x:c>
      <x:c r="D2743" s="53" t="str">
        <x:v>Cativo</x:v>
      </x:c>
      <x:c r="E2743" s="49" t="n">
        <x:v>208887.537</x:v>
      </x:c>
      <x:c r="F2743" s="52" t="n">
        <x:v>824365</x:v>
      </x:c>
      <x:c r="G2743" s="54" t="n">
        <x:v>46220</x:v>
      </x:c>
      <x:c r="H2743" s="14" t="str">
        <x:f>IF(E2743&lt;0,"Componente negativo — manter e investigar","OK")</x:f>
        <x:v>OK</x:v>
      </x:c>
    </x:row>
    <x:row r="2744">
      <x:c r="A2744" s="51" t="n">
        <x:v>46023</x:v>
      </x:c>
      <x:c r="B2744" s="14" t="str">
        <x:v>Sudeste</x:v>
      </x:c>
      <x:c r="C2744" s="14" t="str">
        <x:v>SUDESTE / CENTRO - OESTE</x:v>
      </x:c>
      <x:c r="D2744" s="53" t="str">
        <x:v>Cativo</x:v>
      </x:c>
      <x:c r="E2744" s="49" t="n">
        <x:v>7811553.3149999995</x:v>
      </x:c>
      <x:c r="F2744" s="52" t="n">
        <x:v>36989143</x:v>
      </x:c>
      <x:c r="G2744" s="54" t="n">
        <x:v>46220</x:v>
      </x:c>
      <x:c r="H2744" s="14" t="str">
        <x:f>IF(E2744&lt;0,"Componente negativo — manter e investigar","OK")</x:f>
        <x:v>OK</x:v>
      </x:c>
    </x:row>
    <x:row r="2745">
      <x:c r="A2745" s="51" t="n">
        <x:v>46023</x:v>
      </x:c>
      <x:c r="B2745" s="14" t="str">
        <x:v>Sudeste</x:v>
      </x:c>
      <x:c r="C2745" s="14" t="str">
        <x:v>SUDESTE / CENTRO - OESTE</x:v>
      </x:c>
      <x:c r="D2745" s="53" t="str">
        <x:v>Livre</x:v>
      </x:c>
      <x:c r="E2745" s="49" t="n">
        <x:v>2621.873</x:v>
      </x:c>
      <x:c r="F2745" s="52" t="n">
        <x:v>91</x:v>
      </x:c>
      <x:c r="G2745" s="54" t="n">
        <x:v>46220</x:v>
      </x:c>
      <x:c r="H2745" s="14" t="str">
        <x:f>IF(E2745&lt;0,"Componente negativo — manter e investigar","OK")</x:f>
        <x:v>OK</x:v>
      </x:c>
    </x:row>
    <x:row r="2746">
      <x:c r="A2746" s="51" t="n">
        <x:v>46023</x:v>
      </x:c>
      <x:c r="B2746" s="14" t="str">
        <x:v>Sul</x:v>
      </x:c>
      <x:c r="C2746" s="14" t="str">
        <x:v>SUL</x:v>
      </x:c>
      <x:c r="D2746" s="53" t="str">
        <x:v>Cativo</x:v>
      </x:c>
      <x:c r="E2746" s="49" t="n">
        <x:v>3082704.6510000005</x:v>
      </x:c>
      <x:c r="F2746" s="52" t="n">
        <x:v>11968707</x:v>
      </x:c>
      <x:c r="G2746" s="54" t="n">
        <x:v>46220</x:v>
      </x:c>
      <x:c r="H2746" s="14" t="str">
        <x:f>IF(E2746&lt;0,"Componente negativo — manter e investigar","OK")</x:f>
        <x:v>OK</x:v>
      </x:c>
    </x:row>
    <x:row r="2747">
      <x:c r="A2747" s="51" t="n">
        <x:v>46023</x:v>
      </x:c>
      <x:c r="B2747" s="14" t="str">
        <x:v>Sul</x:v>
      </x:c>
      <x:c r="C2747" s="14" t="str">
        <x:v>SUL</x:v>
      </x:c>
      <x:c r="D2747" s="53" t="str">
        <x:v>Livre</x:v>
      </x:c>
      <x:c r="E2747" s="49" t="n">
        <x:v>378.655</x:v>
      </x:c>
      <x:c r="F2747" s="52" t="n">
        <x:v>11</x:v>
      </x:c>
      <x:c r="G2747" s="54" t="n">
        <x:v>46220</x:v>
      </x:c>
      <x:c r="H2747" s="14" t="str">
        <x:f>IF(E2747&lt;0,"Componente negativo — manter e investigar","OK")</x:f>
        <x:v>OK</x:v>
      </x:c>
    </x:row>
    <x:row r="2748">
      <x:c r="A2748" s="51" t="n">
        <x:v>46054</x:v>
      </x:c>
      <x:c r="B2748" s="14" t="str">
        <x:v>Centro-Oeste</x:v>
      </x:c>
      <x:c r="C2748" s="14" t="str">
        <x:v>SUDESTE / CENTRO - OESTE</x:v>
      </x:c>
      <x:c r="D2748" s="53" t="str">
        <x:v>Cativo</x:v>
      </x:c>
      <x:c r="E2748" s="49" t="n">
        <x:v>1420239.296</x:v>
      </x:c>
      <x:c r="F2748" s="52" t="n">
        <x:v>6676252</x:v>
      </x:c>
      <x:c r="G2748" s="54" t="n">
        <x:v>46220</x:v>
      </x:c>
      <x:c r="H2748" s="14" t="str">
        <x:f>IF(E2748&lt;0,"Componente negativo — manter e investigar","OK")</x:f>
        <x:v>OK</x:v>
      </x:c>
    </x:row>
    <x:row r="2749">
      <x:c r="A2749" s="51" t="n">
        <x:v>46054</x:v>
      </x:c>
      <x:c r="B2749" s="14" t="str">
        <x:v>Centro-Oeste</x:v>
      </x:c>
      <x:c r="C2749" s="14" t="str">
        <x:v>SUDESTE / CENTRO - OESTE</x:v>
      </x:c>
      <x:c r="D2749" s="53" t="str">
        <x:v>Livre</x:v>
      </x:c>
      <x:c r="E2749" s="49" t="n">
        <x:v>229</x:v>
      </x:c>
      <x:c r="F2749" s="52" t="n">
        <x:v>20</x:v>
      </x:c>
      <x:c r="G2749" s="54" t="n">
        <x:v>46220</x:v>
      </x:c>
      <x:c r="H2749" s="14" t="str">
        <x:f>IF(E2749&lt;0,"Componente negativo — manter e investigar","OK")</x:f>
        <x:v>OK</x:v>
      </x:c>
    </x:row>
    <x:row r="2750">
      <x:c r="A2750" s="51" t="n">
        <x:v>46054</x:v>
      </x:c>
      <x:c r="B2750" s="14" t="str">
        <x:v>Nordeste</x:v>
      </x:c>
      <x:c r="C2750" s="14" t="str">
        <x:v>NORDESTE</x:v>
      </x:c>
      <x:c r="D2750" s="53" t="str">
        <x:v>Cativo</x:v>
      </x:c>
      <x:c r="E2750" s="49" t="n">
        <x:v>2699512.8699999996</x:v>
      </x:c>
      <x:c r="F2750" s="52" t="n">
        <x:v>20488028</x:v>
      </x:c>
      <x:c r="G2750" s="54" t="n">
        <x:v>46220</x:v>
      </x:c>
      <x:c r="H2750" s="14" t="str">
        <x:f>IF(E2750&lt;0,"Componente negativo — manter e investigar","OK")</x:f>
        <x:v>OK</x:v>
      </x:c>
    </x:row>
    <x:row r="2751">
      <x:c r="A2751" s="51" t="n">
        <x:v>46054</x:v>
      </x:c>
      <x:c r="B2751" s="14" t="str">
        <x:v>Nordeste</x:v>
      </x:c>
      <x:c r="C2751" s="14" t="str">
        <x:v>NORDESTE</x:v>
      </x:c>
      <x:c r="D2751" s="53" t="str">
        <x:v>Livre</x:v>
      </x:c>
      <x:c r="E2751" s="49" t="n">
        <x:v>79.847</x:v>
      </x:c>
      <x:c r="F2751" s="52" t="n">
        <x:v>5</x:v>
      </x:c>
      <x:c r="G2751" s="54" t="n">
        <x:v>46220</x:v>
      </x:c>
      <x:c r="H2751" s="14" t="str">
        <x:f>IF(E2751&lt;0,"Componente negativo — manter e investigar","OK")</x:f>
        <x:v>OK</x:v>
      </x:c>
    </x:row>
    <x:row r="2752">
      <x:c r="A2752" s="51" t="n">
        <x:v>46054</x:v>
      </x:c>
      <x:c r="B2752" s="14" t="str">
        <x:v>Nordeste</x:v>
      </x:c>
      <x:c r="C2752" s="14" t="str">
        <x:v>NORTE INTERLIGADO</x:v>
      </x:c>
      <x:c r="D2752" s="53" t="str">
        <x:v>Cativo</x:v>
      </x:c>
      <x:c r="E2752" s="49" t="n">
        <x:v>431198.861</x:v>
      </x:c>
      <x:c r="F2752" s="52" t="n">
        <x:v>2634540</x:v>
      </x:c>
      <x:c r="G2752" s="54" t="n">
        <x:v>46220</x:v>
      </x:c>
      <x:c r="H2752" s="14" t="str">
        <x:f>IF(E2752&lt;0,"Componente negativo — manter e investigar","OK")</x:f>
        <x:v>OK</x:v>
      </x:c>
    </x:row>
    <x:row r="2753">
      <x:c r="A2753" s="51" t="n">
        <x:v>46054</x:v>
      </x:c>
      <x:c r="B2753" s="14" t="str">
        <x:v>Nordeste</x:v>
      </x:c>
      <x:c r="C2753" s="14" t="str">
        <x:v>NORTE INTERLIGADO</x:v>
      </x:c>
      <x:c r="D2753" s="53" t="str">
        <x:v>Livre</x:v>
      </x:c>
      <x:c r="E2753" s="49" t="n">
        <x:v>93.869</x:v>
      </x:c>
      <x:c r="F2753" s="52" t="n">
        <x:v>4</x:v>
      </x:c>
      <x:c r="G2753" s="54" t="n">
        <x:v>46220</x:v>
      </x:c>
      <x:c r="H2753" s="14" t="str">
        <x:f>IF(E2753&lt;0,"Componente negativo — manter e investigar","OK")</x:f>
        <x:v>OK</x:v>
      </x:c>
    </x:row>
    <x:row r="2754">
      <x:c r="A2754" s="51" t="n">
        <x:v>46054</x:v>
      </x:c>
      <x:c r="B2754" s="14" t="str">
        <x:v>Nordeste</x:v>
      </x:c>
      <x:c r="C2754" s="14" t="str">
        <x:v>SISTEMAS ISOLADOS</x:v>
      </x:c>
      <x:c r="D2754" s="53" t="str">
        <x:v>Cativo</x:v>
      </x:c>
      <x:c r="E2754" s="49" t="n">
        <x:v>1109.46</x:v>
      </x:c>
      <x:c r="F2754" s="52" t="n">
        <x:v>851</x:v>
      </x:c>
      <x:c r="G2754" s="54" t="n">
        <x:v>46220</x:v>
      </x:c>
      <x:c r="H2754" s="14" t="str">
        <x:f>IF(E2754&lt;0,"Componente negativo — manter e investigar","OK")</x:f>
        <x:v>OK</x:v>
      </x:c>
    </x:row>
    <x:row r="2755">
      <x:c r="A2755" s="51" t="n">
        <x:v>46054</x:v>
      </x:c>
      <x:c r="B2755" s="14" t="str">
        <x:v>Norte</x:v>
      </x:c>
      <x:c r="C2755" s="14" t="str">
        <x:v>NORTE INTERLIGADO</x:v>
      </x:c>
      <x:c r="D2755" s="53" t="str">
        <x:v>Cativo</x:v>
      </x:c>
      <x:c r="E2755" s="49" t="n">
        <x:v>852602.159</x:v>
      </x:c>
      <x:c r="F2755" s="52" t="n">
        <x:v>4339933</x:v>
      </x:c>
      <x:c r="G2755" s="54" t="n">
        <x:v>46220</x:v>
      </x:c>
      <x:c r="H2755" s="14" t="str">
        <x:f>IF(E2755&lt;0,"Componente negativo — manter e investigar","OK")</x:f>
        <x:v>OK</x:v>
      </x:c>
    </x:row>
    <x:row r="2756">
      <x:c r="A2756" s="51" t="n">
        <x:v>46054</x:v>
      </x:c>
      <x:c r="B2756" s="14" t="str">
        <x:v>Norte</x:v>
      </x:c>
      <x:c r="C2756" s="14" t="str">
        <x:v>NORTE INTERLIGADO</x:v>
      </x:c>
      <x:c r="D2756" s="53" t="str">
        <x:v>Livre</x:v>
      </x:c>
      <x:c r="E2756" s="49" t="n">
        <x:v>5</x:v>
      </x:c>
      <x:c r="F2756" s="52" t="n">
        <x:v>2</x:v>
      </x:c>
      <x:c r="G2756" s="54" t="n">
        <x:v>46220</x:v>
      </x:c>
      <x:c r="H2756" s="14" t="str">
        <x:f>IF(E2756&lt;0,"Componente negativo — manter e investigar","OK")</x:f>
        <x:v>OK</x:v>
      </x:c>
    </x:row>
    <x:row r="2757">
      <x:c r="A2757" s="51" t="n">
        <x:v>46054</x:v>
      </x:c>
      <x:c r="B2757" s="14" t="str">
        <x:v>Norte</x:v>
      </x:c>
      <x:c r="C2757" s="14" t="str">
        <x:v>SISTEMAS ISOLADOS</x:v>
      </x:c>
      <x:c r="D2757" s="53" t="str">
        <x:v>Cativo</x:v>
      </x:c>
      <x:c r="E2757" s="49" t="n">
        <x:v>66831.337</x:v>
      </x:c>
      <x:c r="F2757" s="52" t="n">
        <x:v>383943</x:v>
      </x:c>
      <x:c r="G2757" s="54" t="n">
        <x:v>46220</x:v>
      </x:c>
      <x:c r="H2757" s="14" t="str">
        <x:f>IF(E2757&lt;0,"Componente negativo — manter e investigar","OK")</x:f>
        <x:v>OK</x:v>
      </x:c>
    </x:row>
    <x:row r="2758">
      <x:c r="A2758" s="51" t="n">
        <x:v>46054</x:v>
      </x:c>
      <x:c r="B2758" s="14" t="str">
        <x:v>Norte</x:v>
      </x:c>
      <x:c r="C2758" s="14" t="str">
        <x:v>SUDESTE / CENTRO - OESTE</x:v>
      </x:c>
      <x:c r="D2758" s="53" t="str">
        <x:v>Cativo</x:v>
      </x:c>
      <x:c r="E2758" s="49" t="n">
        <x:v>200704.786</x:v>
      </x:c>
      <x:c r="F2758" s="52" t="n">
        <x:v>824380</x:v>
      </x:c>
      <x:c r="G2758" s="54" t="n">
        <x:v>46220</x:v>
      </x:c>
      <x:c r="H2758" s="14" t="str">
        <x:f>IF(E2758&lt;0,"Componente negativo — manter e investigar","OK")</x:f>
        <x:v>OK</x:v>
      </x:c>
    </x:row>
    <x:row r="2759">
      <x:c r="A2759" s="51" t="n">
        <x:v>46054</x:v>
      </x:c>
      <x:c r="B2759" s="14" t="str">
        <x:v>Sudeste</x:v>
      </x:c>
      <x:c r="C2759" s="14" t="str">
        <x:v>SUDESTE / CENTRO - OESTE</x:v>
      </x:c>
      <x:c r="D2759" s="53" t="str">
        <x:v>Cativo</x:v>
      </x:c>
      <x:c r="E2759" s="49" t="n">
        <x:v>7097383.798</x:v>
      </x:c>
      <x:c r="F2759" s="52" t="n">
        <x:v>36961155</x:v>
      </x:c>
      <x:c r="G2759" s="54" t="n">
        <x:v>46220</x:v>
      </x:c>
      <x:c r="H2759" s="14" t="str">
        <x:f>IF(E2759&lt;0,"Componente negativo — manter e investigar","OK")</x:f>
        <x:v>OK</x:v>
      </x:c>
    </x:row>
    <x:row r="2760">
      <x:c r="A2760" s="51" t="n">
        <x:v>46054</x:v>
      </x:c>
      <x:c r="B2760" s="14" t="str">
        <x:v>Sudeste</x:v>
      </x:c>
      <x:c r="C2760" s="14" t="str">
        <x:v>SUDESTE / CENTRO - OESTE</x:v>
      </x:c>
      <x:c r="D2760" s="53" t="str">
        <x:v>Livre</x:v>
      </x:c>
      <x:c r="E2760" s="49" t="n">
        <x:v>2700.781</x:v>
      </x:c>
      <x:c r="F2760" s="52" t="n">
        <x:v>94</x:v>
      </x:c>
      <x:c r="G2760" s="54" t="n">
        <x:v>46220</x:v>
      </x:c>
      <x:c r="H2760" s="14" t="str">
        <x:f>IF(E2760&lt;0,"Componente negativo — manter e investigar","OK")</x:f>
        <x:v>OK</x:v>
      </x:c>
    </x:row>
    <x:row r="2761">
      <x:c r="A2761" s="51" t="n">
        <x:v>46054</x:v>
      </x:c>
      <x:c r="B2761" s="14" t="str">
        <x:v>Sul</x:v>
      </x:c>
      <x:c r="C2761" s="14" t="str">
        <x:v>SUL</x:v>
      </x:c>
      <x:c r="D2761" s="53" t="str">
        <x:v>Cativo</x:v>
      </x:c>
      <x:c r="E2761" s="49" t="n">
        <x:v>3023509.927</x:v>
      </x:c>
      <x:c r="F2761" s="52" t="n">
        <x:v>11959382</x:v>
      </x:c>
      <x:c r="G2761" s="54" t="n">
        <x:v>46220</x:v>
      </x:c>
      <x:c r="H2761" s="14" t="str">
        <x:f>IF(E2761&lt;0,"Componente negativo — manter e investigar","OK")</x:f>
        <x:v>OK</x:v>
      </x:c>
    </x:row>
    <x:row r="2762">
      <x:c r="A2762" s="51" t="n">
        <x:v>46054</x:v>
      </x:c>
      <x:c r="B2762" s="14" t="str">
        <x:v>Sul</x:v>
      </x:c>
      <x:c r="C2762" s="14" t="str">
        <x:v>SUL</x:v>
      </x:c>
      <x:c r="D2762" s="53" t="str">
        <x:v>Livre</x:v>
      </x:c>
      <x:c r="E2762" s="49" t="n">
        <x:v>288.8</x:v>
      </x:c>
      <x:c r="F2762" s="52" t="n">
        <x:v>11</x:v>
      </x:c>
      <x:c r="G2762" s="54" t="n">
        <x:v>46220</x:v>
      </x:c>
      <x:c r="H2762" s="14" t="str">
        <x:f>IF(E2762&lt;0,"Componente negativo — manter e investigar","OK")</x:f>
        <x:v>OK</x:v>
      </x:c>
    </x:row>
    <x:row r="2763">
      <x:c r="A2763" s="51" t="n">
        <x:v>46082</x:v>
      </x:c>
      <x:c r="B2763" s="14" t="str">
        <x:v>Centro-Oeste</x:v>
      </x:c>
      <x:c r="C2763" s="14" t="str">
        <x:v>SUDESTE / CENTRO - OESTE</x:v>
      </x:c>
      <x:c r="D2763" s="53" t="str">
        <x:v>Cativo</x:v>
      </x:c>
      <x:c r="E2763" s="49" t="n">
        <x:v>1508165.701</x:v>
      </x:c>
      <x:c r="F2763" s="52" t="n">
        <x:v>6697269</x:v>
      </x:c>
      <x:c r="G2763" s="54" t="n">
        <x:v>46220</x:v>
      </x:c>
      <x:c r="H2763" s="14" t="str">
        <x:f>IF(E2763&lt;0,"Componente negativo — manter e investigar","OK")</x:f>
        <x:v>OK</x:v>
      </x:c>
    </x:row>
    <x:row r="2764">
      <x:c r="A2764" s="51" t="n">
        <x:v>46082</x:v>
      </x:c>
      <x:c r="B2764" s="14" t="str">
        <x:v>Centro-Oeste</x:v>
      </x:c>
      <x:c r="C2764" s="14" t="str">
        <x:v>SUDESTE / CENTRO - OESTE</x:v>
      </x:c>
      <x:c r="D2764" s="53" t="str">
        <x:v>Livre</x:v>
      </x:c>
      <x:c r="E2764" s="49" t="n">
        <x:v>213.413</x:v>
      </x:c>
      <x:c r="F2764" s="52" t="n">
        <x:v>20</x:v>
      </x:c>
      <x:c r="G2764" s="54" t="n">
        <x:v>46220</x:v>
      </x:c>
      <x:c r="H2764" s="14" t="str">
        <x:f>IF(E2764&lt;0,"Componente negativo — manter e investigar","OK")</x:f>
        <x:v>OK</x:v>
      </x:c>
    </x:row>
    <x:row r="2765">
      <x:c r="A2765" s="51" t="n">
        <x:v>46082</x:v>
      </x:c>
      <x:c r="B2765" s="14" t="str">
        <x:v>Nordeste</x:v>
      </x:c>
      <x:c r="C2765" s="14" t="str">
        <x:v>NORDESTE</x:v>
      </x:c>
      <x:c r="D2765" s="53" t="str">
        <x:v>Cativo</x:v>
      </x:c>
      <x:c r="E2765" s="49" t="n">
        <x:v>2790584.512</x:v>
      </x:c>
      <x:c r="F2765" s="52" t="n">
        <x:v>20623203</x:v>
      </x:c>
      <x:c r="G2765" s="54" t="n">
        <x:v>46220</x:v>
      </x:c>
      <x:c r="H2765" s="14" t="str">
        <x:f>IF(E2765&lt;0,"Componente negativo — manter e investigar","OK")</x:f>
        <x:v>OK</x:v>
      </x:c>
    </x:row>
    <x:row r="2766">
      <x:c r="A2766" s="51" t="n">
        <x:v>46082</x:v>
      </x:c>
      <x:c r="B2766" s="14" t="str">
        <x:v>Nordeste</x:v>
      </x:c>
      <x:c r="C2766" s="14" t="str">
        <x:v>NORDESTE</x:v>
      </x:c>
      <x:c r="D2766" s="53" t="str">
        <x:v>Livre</x:v>
      </x:c>
      <x:c r="E2766" s="49" t="n">
        <x:v>81.743</x:v>
      </x:c>
      <x:c r="F2766" s="52" t="n">
        <x:v>5</x:v>
      </x:c>
      <x:c r="G2766" s="54" t="n">
        <x:v>46220</x:v>
      </x:c>
      <x:c r="H2766" s="14" t="str">
        <x:f>IF(E2766&lt;0,"Componente negativo — manter e investigar","OK")</x:f>
        <x:v>OK</x:v>
      </x:c>
    </x:row>
    <x:row r="2767">
      <x:c r="A2767" s="51" t="n">
        <x:v>46082</x:v>
      </x:c>
      <x:c r="B2767" s="14" t="str">
        <x:v>Nordeste</x:v>
      </x:c>
      <x:c r="C2767" s="14" t="str">
        <x:v>NORTE INTERLIGADO</x:v>
      </x:c>
      <x:c r="D2767" s="53" t="str">
        <x:v>Cativo</x:v>
      </x:c>
      <x:c r="E2767" s="49" t="n">
        <x:v>427560.007</x:v>
      </x:c>
      <x:c r="F2767" s="52" t="n">
        <x:v>2644239</x:v>
      </x:c>
      <x:c r="G2767" s="54" t="n">
        <x:v>46220</x:v>
      </x:c>
      <x:c r="H2767" s="14" t="str">
        <x:f>IF(E2767&lt;0,"Componente negativo — manter e investigar","OK")</x:f>
        <x:v>OK</x:v>
      </x:c>
    </x:row>
    <x:row r="2768">
      <x:c r="A2768" s="51" t="n">
        <x:v>46082</x:v>
      </x:c>
      <x:c r="B2768" s="14" t="str">
        <x:v>Nordeste</x:v>
      </x:c>
      <x:c r="C2768" s="14" t="str">
        <x:v>NORTE INTERLIGADO</x:v>
      </x:c>
      <x:c r="D2768" s="53" t="str">
        <x:v>Livre</x:v>
      </x:c>
      <x:c r="E2768" s="49" t="n">
        <x:v>102.842</x:v>
      </x:c>
      <x:c r="F2768" s="52" t="n">
        <x:v>4</x:v>
      </x:c>
      <x:c r="G2768" s="54" t="n">
        <x:v>46220</x:v>
      </x:c>
      <x:c r="H2768" s="14" t="str">
        <x:f>IF(E2768&lt;0,"Componente negativo — manter e investigar","OK")</x:f>
        <x:v>OK</x:v>
      </x:c>
    </x:row>
    <x:row r="2769">
      <x:c r="A2769" s="51" t="n">
        <x:v>46082</x:v>
      </x:c>
      <x:c r="B2769" s="14" t="str">
        <x:v>Nordeste</x:v>
      </x:c>
      <x:c r="C2769" s="14" t="str">
        <x:v>SISTEMAS ISOLADOS</x:v>
      </x:c>
      <x:c r="D2769" s="53" t="str">
        <x:v>Cativo</x:v>
      </x:c>
      <x:c r="E2769" s="49" t="n">
        <x:v>1183.913</x:v>
      </x:c>
      <x:c r="F2769" s="52" t="n">
        <x:v>843</x:v>
      </x:c>
      <x:c r="G2769" s="54" t="n">
        <x:v>46220</x:v>
      </x:c>
      <x:c r="H2769" s="14" t="str">
        <x:f>IF(E2769&lt;0,"Componente negativo — manter e investigar","OK")</x:f>
        <x:v>OK</x:v>
      </x:c>
    </x:row>
    <x:row r="2770">
      <x:c r="A2770" s="51" t="n">
        <x:v>46082</x:v>
      </x:c>
      <x:c r="B2770" s="14" t="str">
        <x:v>Norte</x:v>
      </x:c>
      <x:c r="C2770" s="14" t="str">
        <x:v>NORTE INTERLIGADO</x:v>
      </x:c>
      <x:c r="D2770" s="53" t="str">
        <x:v>Cativo</x:v>
      </x:c>
      <x:c r="E2770" s="49" t="n">
        <x:v>865953.064</x:v>
      </x:c>
      <x:c r="F2770" s="52" t="n">
        <x:v>4361115</x:v>
      </x:c>
      <x:c r="G2770" s="54" t="n">
        <x:v>46220</x:v>
      </x:c>
      <x:c r="H2770" s="14" t="str">
        <x:f>IF(E2770&lt;0,"Componente negativo — manter e investigar","OK")</x:f>
        <x:v>OK</x:v>
      </x:c>
    </x:row>
    <x:row r="2771">
      <x:c r="A2771" s="51" t="n">
        <x:v>46082</x:v>
      </x:c>
      <x:c r="B2771" s="14" t="str">
        <x:v>Norte</x:v>
      </x:c>
      <x:c r="C2771" s="14" t="str">
        <x:v>NORTE INTERLIGADO</x:v>
      </x:c>
      <x:c r="D2771" s="53" t="str">
        <x:v>Livre</x:v>
      </x:c>
      <x:c r="E2771" s="49" t="n">
        <x:v>4</x:v>
      </x:c>
      <x:c r="F2771" s="52" t="n">
        <x:v>2</x:v>
      </x:c>
      <x:c r="G2771" s="54" t="n">
        <x:v>46220</x:v>
      </x:c>
      <x:c r="H2771" s="14" t="str">
        <x:f>IF(E2771&lt;0,"Componente negativo — manter e investigar","OK")</x:f>
        <x:v>OK</x:v>
      </x:c>
    </x:row>
    <x:row r="2772">
      <x:c r="A2772" s="51" t="n">
        <x:v>46082</x:v>
      </x:c>
      <x:c r="B2772" s="14" t="str">
        <x:v>Norte</x:v>
      </x:c>
      <x:c r="C2772" s="14" t="str">
        <x:v>SISTEMAS ISOLADOS</x:v>
      </x:c>
      <x:c r="D2772" s="53" t="str">
        <x:v>Cativo</x:v>
      </x:c>
      <x:c r="E2772" s="49" t="n">
        <x:v>66389.303</x:v>
      </x:c>
      <x:c r="F2772" s="52" t="n">
        <x:v>383848</x:v>
      </x:c>
      <x:c r="G2772" s="54" t="n">
        <x:v>46220</x:v>
      </x:c>
      <x:c r="H2772" s="14" t="str">
        <x:f>IF(E2772&lt;0,"Componente negativo — manter e investigar","OK")</x:f>
        <x:v>OK</x:v>
      </x:c>
    </x:row>
    <x:row r="2773">
      <x:c r="A2773" s="51" t="n">
        <x:v>46082</x:v>
      </x:c>
      <x:c r="B2773" s="14" t="str">
        <x:v>Norte</x:v>
      </x:c>
      <x:c r="C2773" s="14" t="str">
        <x:v>SUDESTE / CENTRO - OESTE</x:v>
      </x:c>
      <x:c r="D2773" s="53" t="str">
        <x:v>Cativo</x:v>
      </x:c>
      <x:c r="E2773" s="49" t="n">
        <x:v>219531.517</x:v>
      </x:c>
      <x:c r="F2773" s="52" t="n">
        <x:v>828300</x:v>
      </x:c>
      <x:c r="G2773" s="54" t="n">
        <x:v>46220</x:v>
      </x:c>
      <x:c r="H2773" s="14" t="str">
        <x:f>IF(E2773&lt;0,"Componente negativo — manter e investigar","OK")</x:f>
        <x:v>OK</x:v>
      </x:c>
    </x:row>
    <x:row r="2774">
      <x:c r="A2774" s="51" t="n">
        <x:v>46082</x:v>
      </x:c>
      <x:c r="B2774" s="14" t="str">
        <x:v>Sudeste</x:v>
      </x:c>
      <x:c r="C2774" s="14" t="str">
        <x:v>SUDESTE / CENTRO - OESTE</x:v>
      </x:c>
      <x:c r="D2774" s="53" t="str">
        <x:v>Cativo</x:v>
      </x:c>
      <x:c r="E2774" s="49" t="n">
        <x:v>7206480.425</x:v>
      </x:c>
      <x:c r="F2774" s="52" t="n">
        <x:v>37052022</x:v>
      </x:c>
      <x:c r="G2774" s="54" t="n">
        <x:v>46220</x:v>
      </x:c>
      <x:c r="H2774" s="14" t="str">
        <x:f>IF(E2774&lt;0,"Componente negativo — manter e investigar","OK")</x:f>
        <x:v>OK</x:v>
      </x:c>
    </x:row>
    <x:row r="2775">
      <x:c r="A2775" s="51" t="n">
        <x:v>46082</x:v>
      </x:c>
      <x:c r="B2775" s="14" t="str">
        <x:v>Sudeste</x:v>
      </x:c>
      <x:c r="C2775" s="14" t="str">
        <x:v>SUDESTE / CENTRO - OESTE</x:v>
      </x:c>
      <x:c r="D2775" s="53" t="str">
        <x:v>Livre</x:v>
      </x:c>
      <x:c r="E2775" s="49" t="n">
        <x:v>2474.961</x:v>
      </x:c>
      <x:c r="F2775" s="52" t="n">
        <x:v>78</x:v>
      </x:c>
      <x:c r="G2775" s="54" t="n">
        <x:v>46220</x:v>
      </x:c>
      <x:c r="H2775" s="14" t="str">
        <x:f>IF(E2775&lt;0,"Componente negativo — manter e investigar","OK")</x:f>
        <x:v>OK</x:v>
      </x:c>
    </x:row>
    <x:row r="2776">
      <x:c r="A2776" s="51" t="n">
        <x:v>46082</x:v>
      </x:c>
      <x:c r="B2776" s="14" t="str">
        <x:v>Sul</x:v>
      </x:c>
      <x:c r="C2776" s="14" t="str">
        <x:v>SUL</x:v>
      </x:c>
      <x:c r="D2776" s="53" t="str">
        <x:v>Cativo</x:v>
      </x:c>
      <x:c r="E2776" s="49" t="n">
        <x:v>2980869.859</x:v>
      </x:c>
      <x:c r="F2776" s="52" t="n">
        <x:v>11990604</x:v>
      </x:c>
      <x:c r="G2776" s="54" t="n">
        <x:v>46220</x:v>
      </x:c>
      <x:c r="H2776" s="14" t="str">
        <x:f>IF(E2776&lt;0,"Componente negativo — manter e investigar","OK")</x:f>
        <x:v>OK</x:v>
      </x:c>
    </x:row>
    <x:row r="2777">
      <x:c r="A2777" s="51" t="n">
        <x:v>46082</x:v>
      </x:c>
      <x:c r="B2777" s="14" t="str">
        <x:v>Sul</x:v>
      </x:c>
      <x:c r="C2777" s="14" t="str">
        <x:v>SUL</x:v>
      </x:c>
      <x:c r="D2777" s="53" t="str">
        <x:v>Livre</x:v>
      </x:c>
      <x:c r="E2777" s="49" t="n">
        <x:v>324.06</x:v>
      </x:c>
      <x:c r="F2777" s="52" t="n">
        <x:v>9</x:v>
      </x:c>
      <x:c r="G2777" s="54" t="n">
        <x:v>46220</x:v>
      </x:c>
      <x:c r="H2777" s="14" t="str">
        <x:f>IF(E2777&lt;0,"Componente negativo — manter e investigar","OK")</x:f>
        <x:v>OK</x:v>
      </x:c>
    </x:row>
    <x:row r="2778">
      <x:c r="A2778" s="51" t="n">
        <x:v>46113</x:v>
      </x:c>
      <x:c r="B2778" s="14" t="str">
        <x:v>Centro-Oeste</x:v>
      </x:c>
      <x:c r="C2778" s="14" t="str">
        <x:v>SUDESTE / CENTRO - OESTE</x:v>
      </x:c>
      <x:c r="D2778" s="53" t="str">
        <x:v>Cativo</x:v>
      </x:c>
      <x:c r="E2778" s="49" t="n">
        <x:v>1531883.331</x:v>
      </x:c>
      <x:c r="F2778" s="52" t="n">
        <x:v>6707901</x:v>
      </x:c>
      <x:c r="G2778" s="54" t="n">
        <x:v>46220</x:v>
      </x:c>
      <x:c r="H2778" s="14" t="str">
        <x:f>IF(E2778&lt;0,"Componente negativo — manter e investigar","OK")</x:f>
        <x:v>OK</x:v>
      </x:c>
    </x:row>
    <x:row r="2779">
      <x:c r="A2779" s="51" t="n">
        <x:v>46113</x:v>
      </x:c>
      <x:c r="B2779" s="14" t="str">
        <x:v>Centro-Oeste</x:v>
      </x:c>
      <x:c r="C2779" s="14" t="str">
        <x:v>SUDESTE / CENTRO - OESTE</x:v>
      </x:c>
      <x:c r="D2779" s="53" t="str">
        <x:v>Livre</x:v>
      </x:c>
      <x:c r="E2779" s="49" t="n">
        <x:v>239</x:v>
      </x:c>
      <x:c r="F2779" s="52" t="n">
        <x:v>21</x:v>
      </x:c>
      <x:c r="G2779" s="54" t="n">
        <x:v>46220</x:v>
      </x:c>
      <x:c r="H2779" s="14" t="str">
        <x:f>IF(E2779&lt;0,"Componente negativo — manter e investigar","OK")</x:f>
        <x:v>OK</x:v>
      </x:c>
    </x:row>
    <x:row r="2780">
      <x:c r="A2780" s="51" t="n">
        <x:v>46113</x:v>
      </x:c>
      <x:c r="B2780" s="14" t="str">
        <x:v>Nordeste</x:v>
      </x:c>
      <x:c r="C2780" s="14" t="str">
        <x:v>NORDESTE</x:v>
      </x:c>
      <x:c r="D2780" s="53" t="str">
        <x:v>Cativo</x:v>
      </x:c>
      <x:c r="E2780" s="49" t="n">
        <x:v>2841612.8150000004</x:v>
      </x:c>
      <x:c r="F2780" s="52" t="n">
        <x:v>20645279</x:v>
      </x:c>
      <x:c r="G2780" s="54" t="n">
        <x:v>46220</x:v>
      </x:c>
      <x:c r="H2780" s="14" t="str">
        <x:f>IF(E2780&lt;0,"Componente negativo — manter e investigar","OK")</x:f>
        <x:v>OK</x:v>
      </x:c>
    </x:row>
    <x:row r="2781">
      <x:c r="A2781" s="51" t="n">
        <x:v>46113</x:v>
      </x:c>
      <x:c r="B2781" s="14" t="str">
        <x:v>Nordeste</x:v>
      </x:c>
      <x:c r="C2781" s="14" t="str">
        <x:v>NORDESTE</x:v>
      </x:c>
      <x:c r="D2781" s="53" t="str">
        <x:v>Livre</x:v>
      </x:c>
      <x:c r="E2781" s="49" t="n">
        <x:v>81.455</x:v>
      </x:c>
      <x:c r="F2781" s="52" t="n">
        <x:v>5</x:v>
      </x:c>
      <x:c r="G2781" s="54" t="n">
        <x:v>46220</x:v>
      </x:c>
      <x:c r="H2781" s="14" t="str">
        <x:f>IF(E2781&lt;0,"Componente negativo — manter e investigar","OK")</x:f>
        <x:v>OK</x:v>
      </x:c>
    </x:row>
    <x:row r="2782">
      <x:c r="A2782" s="51" t="n">
        <x:v>46113</x:v>
      </x:c>
      <x:c r="B2782" s="14" t="str">
        <x:v>Nordeste</x:v>
      </x:c>
      <x:c r="C2782" s="14" t="str">
        <x:v>NORTE INTERLIGADO</x:v>
      </x:c>
      <x:c r="D2782" s="53" t="str">
        <x:v>Cativo</x:v>
      </x:c>
      <x:c r="E2782" s="49" t="n">
        <x:v>450302.051</x:v>
      </x:c>
      <x:c r="F2782" s="52" t="n">
        <x:v>2658805</x:v>
      </x:c>
      <x:c r="G2782" s="54" t="n">
        <x:v>46220</x:v>
      </x:c>
      <x:c r="H2782" s="14" t="str">
        <x:f>IF(E2782&lt;0,"Componente negativo — manter e investigar","OK")</x:f>
        <x:v>OK</x:v>
      </x:c>
    </x:row>
    <x:row r="2783">
      <x:c r="A2783" s="51" t="n">
        <x:v>46113</x:v>
      </x:c>
      <x:c r="B2783" s="14" t="str">
        <x:v>Nordeste</x:v>
      </x:c>
      <x:c r="C2783" s="14" t="str">
        <x:v>NORTE INTERLIGADO</x:v>
      </x:c>
      <x:c r="D2783" s="53" t="str">
        <x:v>Livre</x:v>
      </x:c>
      <x:c r="E2783" s="49" t="n">
        <x:v>102.924</x:v>
      </x:c>
      <x:c r="F2783" s="52" t="n">
        <x:v>4</x:v>
      </x:c>
      <x:c r="G2783" s="54" t="n">
        <x:v>46220</x:v>
      </x:c>
      <x:c r="H2783" s="14" t="str">
        <x:f>IF(E2783&lt;0,"Componente negativo — manter e investigar","OK")</x:f>
        <x:v>OK</x:v>
      </x:c>
    </x:row>
    <x:row r="2784">
      <x:c r="A2784" s="51" t="n">
        <x:v>46113</x:v>
      </x:c>
      <x:c r="B2784" s="14" t="str">
        <x:v>Nordeste</x:v>
      </x:c>
      <x:c r="C2784" s="14" t="str">
        <x:v>SISTEMAS ISOLADOS</x:v>
      </x:c>
      <x:c r="D2784" s="53" t="str">
        <x:v>Cativo</x:v>
      </x:c>
      <x:c r="E2784" s="49" t="n">
        <x:v>1141.2</x:v>
      </x:c>
      <x:c r="F2784" s="52" t="n">
        <x:v>858</x:v>
      </x:c>
      <x:c r="G2784" s="54" t="n">
        <x:v>46220</x:v>
      </x:c>
      <x:c r="H2784" s="14" t="str">
        <x:f>IF(E2784&lt;0,"Componente negativo — manter e investigar","OK")</x:f>
        <x:v>OK</x:v>
      </x:c>
    </x:row>
    <x:row r="2785">
      <x:c r="A2785" s="51" t="n">
        <x:v>46113</x:v>
      </x:c>
      <x:c r="B2785" s="14" t="str">
        <x:v>Norte</x:v>
      </x:c>
      <x:c r="C2785" s="14" t="str">
        <x:v>NORTE INTERLIGADO</x:v>
      </x:c>
      <x:c r="D2785" s="53" t="str">
        <x:v>Cativo</x:v>
      </x:c>
      <x:c r="E2785" s="49" t="n">
        <x:v>924812.478</x:v>
      </x:c>
      <x:c r="F2785" s="52" t="n">
        <x:v>4478014</x:v>
      </x:c>
      <x:c r="G2785" s="54" t="n">
        <x:v>46220</x:v>
      </x:c>
      <x:c r="H2785" s="14" t="str">
        <x:f>IF(E2785&lt;0,"Componente negativo — manter e investigar","OK")</x:f>
        <x:v>OK</x:v>
      </x:c>
    </x:row>
    <x:row r="2786">
      <x:c r="A2786" s="51" t="n">
        <x:v>46113</x:v>
      </x:c>
      <x:c r="B2786" s="14" t="str">
        <x:v>Norte</x:v>
      </x:c>
      <x:c r="C2786" s="14" t="str">
        <x:v>NORTE INTERLIGADO</x:v>
      </x:c>
      <x:c r="D2786" s="53" t="str">
        <x:v>Livre</x:v>
      </x:c>
      <x:c r="E2786" s="49" t="n">
        <x:v>6</x:v>
      </x:c>
      <x:c r="F2786" s="52" t="n">
        <x:v>2</x:v>
      </x:c>
      <x:c r="G2786" s="54" t="n">
        <x:v>46220</x:v>
      </x:c>
      <x:c r="H2786" s="14" t="str">
        <x:f>IF(E2786&lt;0,"Componente negativo — manter e investigar","OK")</x:f>
        <x:v>OK</x:v>
      </x:c>
    </x:row>
    <x:row r="2787">
      <x:c r="A2787" s="51" t="n">
        <x:v>46113</x:v>
      </x:c>
      <x:c r="B2787" s="14" t="str">
        <x:v>Norte</x:v>
      </x:c>
      <x:c r="C2787" s="14" t="str">
        <x:v>SISTEMAS ISOLADOS</x:v>
      </x:c>
      <x:c r="D2787" s="53" t="str">
        <x:v>Cativo</x:v>
      </x:c>
      <x:c r="E2787" s="49" t="n">
        <x:v>74425.774</x:v>
      </x:c>
      <x:c r="F2787" s="52" t="n">
        <x:v>435979</x:v>
      </x:c>
      <x:c r="G2787" s="54" t="n">
        <x:v>46220</x:v>
      </x:c>
      <x:c r="H2787" s="14" t="str">
        <x:f>IF(E2787&lt;0,"Componente negativo — manter e investigar","OK")</x:f>
        <x:v>OK</x:v>
      </x:c>
    </x:row>
    <x:row r="2788">
      <x:c r="A2788" s="51" t="n">
        <x:v>46113</x:v>
      </x:c>
      <x:c r="B2788" s="14" t="str">
        <x:v>Norte</x:v>
      </x:c>
      <x:c r="C2788" s="14" t="str">
        <x:v>SUDESTE / CENTRO - OESTE</x:v>
      </x:c>
      <x:c r="D2788" s="53" t="str">
        <x:v>Cativo</x:v>
      </x:c>
      <x:c r="E2788" s="49" t="n">
        <x:v>222219.208</x:v>
      </x:c>
      <x:c r="F2788" s="52" t="n">
        <x:v>829523</x:v>
      </x:c>
      <x:c r="G2788" s="54" t="n">
        <x:v>46220</x:v>
      </x:c>
      <x:c r="H2788" s="14" t="str">
        <x:f>IF(E2788&lt;0,"Componente negativo — manter e investigar","OK")</x:f>
        <x:v>OK</x:v>
      </x:c>
    </x:row>
    <x:row r="2789">
      <x:c r="A2789" s="51" t="n">
        <x:v>46113</x:v>
      </x:c>
      <x:c r="B2789" s="14" t="str">
        <x:v>Sudeste</x:v>
      </x:c>
      <x:c r="C2789" s="14" t="str">
        <x:v>SUDESTE / CENTRO - OESTE</x:v>
      </x:c>
      <x:c r="D2789" s="53" t="str">
        <x:v>Cativo</x:v>
      </x:c>
      <x:c r="E2789" s="49" t="n">
        <x:v>7182770.670000001</x:v>
      </x:c>
      <x:c r="F2789" s="52" t="n">
        <x:v>37079473</x:v>
      </x:c>
      <x:c r="G2789" s="54" t="n">
        <x:v>46220</x:v>
      </x:c>
      <x:c r="H2789" s="14" t="str">
        <x:f>IF(E2789&lt;0,"Componente negativo — manter e investigar","OK")</x:f>
        <x:v>OK</x:v>
      </x:c>
    </x:row>
    <x:row r="2790">
      <x:c r="A2790" s="51" t="n">
        <x:v>46113</x:v>
      </x:c>
      <x:c r="B2790" s="14" t="str">
        <x:v>Sudeste</x:v>
      </x:c>
      <x:c r="C2790" s="14" t="str">
        <x:v>SUDESTE / CENTRO - OESTE</x:v>
      </x:c>
      <x:c r="D2790" s="53" t="str">
        <x:v>Livre</x:v>
      </x:c>
      <x:c r="E2790" s="49" t="n">
        <x:v>3001.558</x:v>
      </x:c>
      <x:c r="F2790" s="52" t="n">
        <x:v>82</x:v>
      </x:c>
      <x:c r="G2790" s="54" t="n">
        <x:v>46220</x:v>
      </x:c>
      <x:c r="H2790" s="14" t="str">
        <x:f>IF(E2790&lt;0,"Componente negativo — manter e investigar","OK")</x:f>
        <x:v>OK</x:v>
      </x:c>
    </x:row>
    <x:row r="2791">
      <x:c r="A2791" s="51" t="n">
        <x:v>46113</x:v>
      </x:c>
      <x:c r="B2791" s="14" t="str">
        <x:v>Sul</x:v>
      </x:c>
      <x:c r="C2791" s="14" t="str">
        <x:v>SUL</x:v>
      </x:c>
      <x:c r="D2791" s="53" t="str">
        <x:v>Cativo</x:v>
      </x:c>
      <x:c r="E2791" s="49" t="n">
        <x:v>2919805.91</x:v>
      </x:c>
      <x:c r="F2791" s="52" t="n">
        <x:v>12017777</x:v>
      </x:c>
      <x:c r="G2791" s="54" t="n">
        <x:v>46220</x:v>
      </x:c>
      <x:c r="H2791" s="14" t="str">
        <x:f>IF(E2791&lt;0,"Componente negativo — manter e investigar","OK")</x:f>
        <x:v>OK</x:v>
      </x:c>
    </x:row>
    <x:row r="2792">
      <x:c r="A2792" s="51" t="n">
        <x:v>46113</x:v>
      </x:c>
      <x:c r="B2792" s="14" t="str">
        <x:v>Sul</x:v>
      </x:c>
      <x:c r="C2792" s="14" t="str">
        <x:v>SUL</x:v>
      </x:c>
      <x:c r="D2792" s="53" t="str">
        <x:v>Livre</x:v>
      </x:c>
      <x:c r="E2792" s="49" t="n">
        <x:v>368.124</x:v>
      </x:c>
      <x:c r="F2792" s="52" t="n">
        <x:v>11</x:v>
      </x:c>
      <x:c r="G2792" s="54" t="n">
        <x:v>46220</x:v>
      </x:c>
      <x:c r="H2792" s="14" t="str">
        <x:f>IF(E2792&lt;0,"Componente negativo — manter e investigar","OK")</x:f>
        <x:v>OK</x:v>
      </x:c>
    </x:row>
    <x:row r="2793">
      <x:c r="A2793" s="51" t="n">
        <x:v>46143</x:v>
      </x:c>
      <x:c r="B2793" s="14" t="str">
        <x:v>Centro-Oeste</x:v>
      </x:c>
      <x:c r="C2793" s="14" t="str">
        <x:v>SUDESTE / CENTRO - OESTE</x:v>
      </x:c>
      <x:c r="D2793" s="53" t="str">
        <x:v>Cativo</x:v>
      </x:c>
      <x:c r="E2793" s="49" t="n">
        <x:v>1501867.2550000001</x:v>
      </x:c>
      <x:c r="F2793" s="52" t="n">
        <x:v>6717676</x:v>
      </x:c>
      <x:c r="G2793" s="54" t="n">
        <x:v>46220</x:v>
      </x:c>
      <x:c r="H2793" s="14" t="str">
        <x:f>IF(E2793&lt;0,"Componente negativo — manter e investigar","OK")</x:f>
        <x:v>OK</x:v>
      </x:c>
    </x:row>
    <x:row r="2794">
      <x:c r="A2794" s="51" t="n">
        <x:v>46143</x:v>
      </x:c>
      <x:c r="B2794" s="14" t="str">
        <x:v>Centro-Oeste</x:v>
      </x:c>
      <x:c r="C2794" s="14" t="str">
        <x:v>SUDESTE / CENTRO - OESTE</x:v>
      </x:c>
      <x:c r="D2794" s="53" t="str">
        <x:v>Livre</x:v>
      </x:c>
      <x:c r="E2794" s="49" t="n">
        <x:v>230</x:v>
      </x:c>
      <x:c r="F2794" s="52" t="n">
        <x:v>21</x:v>
      </x:c>
      <x:c r="G2794" s="54" t="n">
        <x:v>46220</x:v>
      </x:c>
      <x:c r="H2794" s="14" t="str">
        <x:f>IF(E2794&lt;0,"Componente negativo — manter e investigar","OK")</x:f>
        <x:v>OK</x:v>
      </x:c>
    </x:row>
    <x:row r="2795">
      <x:c r="A2795" s="51" t="n">
        <x:v>46143</x:v>
      </x:c>
      <x:c r="B2795" s="14" t="str">
        <x:v>Nordeste</x:v>
      </x:c>
      <x:c r="C2795" s="14" t="str">
        <x:v>NORDESTE</x:v>
      </x:c>
      <x:c r="D2795" s="53" t="str">
        <x:v>Cativo</x:v>
      </x:c>
      <x:c r="E2795" s="49" t="n">
        <x:v>2652743.856</x:v>
      </x:c>
      <x:c r="F2795" s="52" t="n">
        <x:v>20773140</x:v>
      </x:c>
      <x:c r="G2795" s="54" t="n">
        <x:v>46220</x:v>
      </x:c>
      <x:c r="H2795" s="14" t="str">
        <x:f>IF(E2795&lt;0,"Componente negativo — manter e investigar","OK")</x:f>
        <x:v>OK</x:v>
      </x:c>
    </x:row>
    <x:row r="2796">
      <x:c r="A2796" s="51" t="n">
        <x:v>46143</x:v>
      </x:c>
      <x:c r="B2796" s="14" t="str">
        <x:v>Nordeste</x:v>
      </x:c>
      <x:c r="C2796" s="14" t="str">
        <x:v>NORDESTE</x:v>
      </x:c>
      <x:c r="D2796" s="53" t="str">
        <x:v>Livre</x:v>
      </x:c>
      <x:c r="E2796" s="49" t="n">
        <x:v>81.574</x:v>
      </x:c>
      <x:c r="F2796" s="52" t="n">
        <x:v>5</x:v>
      </x:c>
      <x:c r="G2796" s="54" t="n">
        <x:v>46220</x:v>
      </x:c>
      <x:c r="H2796" s="14" t="str">
        <x:f>IF(E2796&lt;0,"Componente negativo — manter e investigar","OK")</x:f>
        <x:v>OK</x:v>
      </x:c>
    </x:row>
    <x:row r="2797">
      <x:c r="A2797" s="51" t="n">
        <x:v>46143</x:v>
      </x:c>
      <x:c r="B2797" s="14" t="str">
        <x:v>Nordeste</x:v>
      </x:c>
      <x:c r="C2797" s="14" t="str">
        <x:v>NORTE INTERLIGADO</x:v>
      </x:c>
      <x:c r="D2797" s="53" t="str">
        <x:v>Cativo</x:v>
      </x:c>
      <x:c r="E2797" s="49" t="n">
        <x:v>442804.141</x:v>
      </x:c>
      <x:c r="F2797" s="52" t="n">
        <x:v>2654641</x:v>
      </x:c>
      <x:c r="G2797" s="54" t="n">
        <x:v>46220</x:v>
      </x:c>
      <x:c r="H2797" s="14" t="str">
        <x:f>IF(E2797&lt;0,"Componente negativo — manter e investigar","OK")</x:f>
        <x:v>OK</x:v>
      </x:c>
    </x:row>
    <x:row r="2798">
      <x:c r="A2798" s="51" t="n">
        <x:v>46143</x:v>
      </x:c>
      <x:c r="B2798" s="14" t="str">
        <x:v>Nordeste</x:v>
      </x:c>
      <x:c r="C2798" s="14" t="str">
        <x:v>NORTE INTERLIGADO</x:v>
      </x:c>
      <x:c r="D2798" s="53" t="str">
        <x:v>Livre</x:v>
      </x:c>
      <x:c r="E2798" s="49" t="n">
        <x:v>116.546</x:v>
      </x:c>
      <x:c r="F2798" s="52" t="n">
        <x:v>4</x:v>
      </x:c>
      <x:c r="G2798" s="54" t="n">
        <x:v>46220</x:v>
      </x:c>
      <x:c r="H2798" s="14" t="str">
        <x:f>IF(E2798&lt;0,"Componente negativo — manter e investigar","OK")</x:f>
        <x:v>OK</x:v>
      </x:c>
    </x:row>
    <x:row r="2799">
      <x:c r="A2799" s="51" t="n">
        <x:v>46143</x:v>
      </x:c>
      <x:c r="B2799" s="14" t="str">
        <x:v>Nordeste</x:v>
      </x:c>
      <x:c r="C2799" s="14" t="str">
        <x:v>SISTEMAS ISOLADOS</x:v>
      </x:c>
      <x:c r="D2799" s="53" t="str">
        <x:v>Cativo</x:v>
      </x:c>
      <x:c r="E2799" s="49" t="n">
        <x:v>1057.26</x:v>
      </x:c>
      <x:c r="F2799" s="52" t="n">
        <x:v>865</x:v>
      </x:c>
      <x:c r="G2799" s="54" t="n">
        <x:v>46220</x:v>
      </x:c>
      <x:c r="H2799" s="14" t="str">
        <x:f>IF(E2799&lt;0,"Componente negativo — manter e investigar","OK")</x:f>
        <x:v>OK</x:v>
      </x:c>
    </x:row>
    <x:row r="2800">
      <x:c r="A2800" s="51" t="n">
        <x:v>46143</x:v>
      </x:c>
      <x:c r="B2800" s="14" t="str">
        <x:v>Norte</x:v>
      </x:c>
      <x:c r="C2800" s="14" t="str">
        <x:v>NORTE INTERLIGADO</x:v>
      </x:c>
      <x:c r="D2800" s="53" t="str">
        <x:v>Cativo</x:v>
      </x:c>
      <x:c r="E2800" s="49" t="n">
        <x:v>912983.2690000001</x:v>
      </x:c>
      <x:c r="F2800" s="52" t="n">
        <x:v>4374874</x:v>
      </x:c>
      <x:c r="G2800" s="54" t="n">
        <x:v>46220</x:v>
      </x:c>
      <x:c r="H2800" s="14" t="str">
        <x:f>IF(E2800&lt;0,"Componente negativo — manter e investigar","OK")</x:f>
        <x:v>OK</x:v>
      </x:c>
    </x:row>
    <x:row r="2801">
      <x:c r="A2801" s="51" t="n">
        <x:v>46143</x:v>
      </x:c>
      <x:c r="B2801" s="14" t="str">
        <x:v>Norte</x:v>
      </x:c>
      <x:c r="C2801" s="14" t="str">
        <x:v>NORTE INTERLIGADO</x:v>
      </x:c>
      <x:c r="D2801" s="53" t="str">
        <x:v>Livre</x:v>
      </x:c>
      <x:c r="E2801" s="49" t="n">
        <x:v>7</x:v>
      </x:c>
      <x:c r="F2801" s="52" t="n">
        <x:v>2</x:v>
      </x:c>
      <x:c r="G2801" s="54" t="n">
        <x:v>46220</x:v>
      </x:c>
      <x:c r="H2801" s="14" t="str">
        <x:f>IF(E2801&lt;0,"Componente negativo — manter e investigar","OK")</x:f>
        <x:v>OK</x:v>
      </x:c>
    </x:row>
    <x:row r="2802">
      <x:c r="A2802" s="51" t="n">
        <x:v>46143</x:v>
      </x:c>
      <x:c r="B2802" s="14" t="str">
        <x:v>Norte</x:v>
      </x:c>
      <x:c r="C2802" s="14" t="str">
        <x:v>SISTEMAS ISOLADOS</x:v>
      </x:c>
      <x:c r="D2802" s="53" t="str">
        <x:v>Cativo</x:v>
      </x:c>
      <x:c r="E2802" s="49" t="n">
        <x:v>70174.506</x:v>
      </x:c>
      <x:c r="F2802" s="52" t="n">
        <x:v>384968</x:v>
      </x:c>
      <x:c r="G2802" s="54" t="n">
        <x:v>46220</x:v>
      </x:c>
      <x:c r="H2802" s="14" t="str">
        <x:f>IF(E2802&lt;0,"Componente negativo — manter e investigar","OK")</x:f>
        <x:v>OK</x:v>
      </x:c>
    </x:row>
    <x:row r="2803">
      <x:c r="A2803" s="51" t="n">
        <x:v>46143</x:v>
      </x:c>
      <x:c r="B2803" s="14" t="str">
        <x:v>Norte</x:v>
      </x:c>
      <x:c r="C2803" s="14" t="str">
        <x:v>SUDESTE / CENTRO - OESTE</x:v>
      </x:c>
      <x:c r="D2803" s="53" t="str">
        <x:v>Cativo</x:v>
      </x:c>
      <x:c r="E2803" s="49" t="n">
        <x:v>218910.664</x:v>
      </x:c>
      <x:c r="F2803" s="52" t="n">
        <x:v>832097</x:v>
      </x:c>
      <x:c r="G2803" s="54" t="n">
        <x:v>46220</x:v>
      </x:c>
      <x:c r="H2803" s="14" t="str">
        <x:f>IF(E2803&lt;0,"Componente negativo — manter e investigar","OK")</x:f>
        <x:v>OK</x:v>
      </x:c>
    </x:row>
    <x:row r="2804">
      <x:c r="A2804" s="51" t="n">
        <x:v>46143</x:v>
      </x:c>
      <x:c r="B2804" s="14" t="str">
        <x:v>Sudeste</x:v>
      </x:c>
      <x:c r="C2804" s="14" t="str">
        <x:v>SUDESTE / CENTRO - OESTE</x:v>
      </x:c>
      <x:c r="D2804" s="53" t="str">
        <x:v>Cativo</x:v>
      </x:c>
      <x:c r="E2804" s="49" t="n">
        <x:v>6899484.410000002</x:v>
      </x:c>
      <x:c r="F2804" s="52" t="n">
        <x:v>37100913</x:v>
      </x:c>
      <x:c r="G2804" s="54" t="n">
        <x:v>46220</x:v>
      </x:c>
      <x:c r="H2804" s="14" t="str">
        <x:f>IF(E2804&lt;0,"Componente negativo — manter e investigar","OK")</x:f>
        <x:v>OK</x:v>
      </x:c>
    </x:row>
    <x:row r="2805">
      <x:c r="A2805" s="51" t="n">
        <x:v>46143</x:v>
      </x:c>
      <x:c r="B2805" s="14" t="str">
        <x:v>Sudeste</x:v>
      </x:c>
      <x:c r="C2805" s="14" t="str">
        <x:v>SUDESTE / CENTRO - OESTE</x:v>
      </x:c>
      <x:c r="D2805" s="53" t="str">
        <x:v>Livre</x:v>
      </x:c>
      <x:c r="E2805" s="49" t="n">
        <x:v>2815.887</x:v>
      </x:c>
      <x:c r="F2805" s="52" t="n">
        <x:v>98</x:v>
      </x:c>
      <x:c r="G2805" s="54" t="n">
        <x:v>46220</x:v>
      </x:c>
      <x:c r="H2805" s="14" t="str">
        <x:f>IF(E2805&lt;0,"Componente negativo — manter e investigar","OK")</x:f>
        <x:v>OK</x:v>
      </x:c>
    </x:row>
    <x:row r="2806">
      <x:c r="A2806" s="51" t="n">
        <x:v>46143</x:v>
      </x:c>
      <x:c r="B2806" s="14" t="str">
        <x:v>Sul</x:v>
      </x:c>
      <x:c r="C2806" s="14" t="str">
        <x:v>SUL</x:v>
      </x:c>
      <x:c r="D2806" s="53" t="str">
        <x:v>Cativo</x:v>
      </x:c>
      <x:c r="E2806" s="49" t="n">
        <x:v>2519699.6140000005</x:v>
      </x:c>
      <x:c r="F2806" s="52" t="n">
        <x:v>12024947</x:v>
      </x:c>
      <x:c r="G2806" s="54" t="n">
        <x:v>46220</x:v>
      </x:c>
      <x:c r="H2806" s="14" t="str">
        <x:f>IF(E2806&lt;0,"Componente negativo — manter e investigar","OK")</x:f>
        <x:v>OK</x:v>
      </x:c>
    </x:row>
    <x:row r="2807">
      <x:c r="A2807" s="51" t="n">
        <x:v>46143</x:v>
      </x:c>
      <x:c r="B2807" s="14" t="str">
        <x:v>Sul</x:v>
      </x:c>
      <x:c r="C2807" s="14" t="str">
        <x:v>SUL</x:v>
      </x:c>
      <x:c r="D2807" s="53" t="str">
        <x:v>Livre</x:v>
      </x:c>
      <x:c r="E2807" s="49" t="n">
        <x:v>357.635</x:v>
      </x:c>
      <x:c r="F2807" s="52" t="n">
        <x:v>12</x:v>
      </x:c>
      <x:c r="G2807" s="54" t="n">
        <x:v>46220</x:v>
      </x:c>
      <x:c r="H2807" s="14" t="str">
        <x:f>IF(E2807&lt;0,"Componente negativo — manter e investigar","OK")</x:f>
        <x:v>OK</x:v>
      </x:c>
    </x:row>
    <x:row r="2808">
      <x:c r="A2808" s="51" t="n">
        <x:v>46174</x:v>
      </x:c>
      <x:c r="B2808" s="14" t="str">
        <x:v>Centro-Oeste</x:v>
      </x:c>
      <x:c r="C2808" s="14" t="str">
        <x:v>SUDESTE / CENTRO - OESTE</x:v>
      </x:c>
      <x:c r="D2808" s="53" t="str">
        <x:v>Cativo</x:v>
      </x:c>
      <x:c r="E2808" s="49" t="n">
        <x:v>1346176.5389999999</x:v>
      </x:c>
      <x:c r="F2808" s="52" t="n">
        <x:v>6816018</x:v>
      </x:c>
      <x:c r="G2808" s="54" t="n">
        <x:v>46220</x:v>
      </x:c>
      <x:c r="H2808" s="14" t="str">
        <x:f>IF(E2808&lt;0,"Componente negativo — manter e investigar","OK")</x:f>
        <x:v>OK</x:v>
      </x:c>
    </x:row>
    <x:row r="2809">
      <x:c r="A2809" s="51" t="n">
        <x:v>46174</x:v>
      </x:c>
      <x:c r="B2809" s="14" t="str">
        <x:v>Centro-Oeste</x:v>
      </x:c>
      <x:c r="C2809" s="14" t="str">
        <x:v>SUDESTE / CENTRO - OESTE</x:v>
      </x:c>
      <x:c r="D2809" s="53" t="str">
        <x:v>Livre</x:v>
      </x:c>
      <x:c r="E2809" s="49" t="n">
        <x:v>230</x:v>
      </x:c>
      <x:c r="F2809" s="52" t="n">
        <x:v>19</x:v>
      </x:c>
      <x:c r="G2809" s="54" t="n">
        <x:v>46220</x:v>
      </x:c>
      <x:c r="H2809" s="14" t="str">
        <x:f>IF(E2809&lt;0,"Componente negativo — manter e investigar","OK")</x:f>
        <x:v>OK</x:v>
      </x:c>
    </x:row>
    <x:row r="2810">
      <x:c r="A2810" s="51" t="n">
        <x:v>46174</x:v>
      </x:c>
      <x:c r="B2810" s="14" t="str">
        <x:v>Nordeste</x:v>
      </x:c>
      <x:c r="C2810" s="14" t="str">
        <x:v>NORDESTE</x:v>
      </x:c>
      <x:c r="D2810" s="53" t="str">
        <x:v>Cativo</x:v>
      </x:c>
      <x:c r="E2810" s="49" t="n">
        <x:v>2576279.7600000002</x:v>
      </x:c>
      <x:c r="F2810" s="52" t="n">
        <x:v>20837325</x:v>
      </x:c>
      <x:c r="G2810" s="54" t="n">
        <x:v>46220</x:v>
      </x:c>
      <x:c r="H2810" s="14" t="str">
        <x:f>IF(E2810&lt;0,"Componente negativo — manter e investigar","OK")</x:f>
        <x:v>OK</x:v>
      </x:c>
    </x:row>
    <x:row r="2811">
      <x:c r="A2811" s="51" t="n">
        <x:v>46174</x:v>
      </x:c>
      <x:c r="B2811" s="14" t="str">
        <x:v>Nordeste</x:v>
      </x:c>
      <x:c r="C2811" s="14" t="str">
        <x:v>NORDESTE</x:v>
      </x:c>
      <x:c r="D2811" s="53" t="str">
        <x:v>Livre</x:v>
      </x:c>
      <x:c r="E2811" s="49" t="n">
        <x:v>94.802</x:v>
      </x:c>
      <x:c r="F2811" s="52" t="n">
        <x:v>5</x:v>
      </x:c>
      <x:c r="G2811" s="54" t="n">
        <x:v>46220</x:v>
      </x:c>
      <x:c r="H2811" s="14" t="str">
        <x:f>IF(E2811&lt;0,"Componente negativo — manter e investigar","OK")</x:f>
        <x:v>OK</x:v>
      </x:c>
    </x:row>
    <x:row r="2812">
      <x:c r="A2812" s="51" t="n">
        <x:v>46174</x:v>
      </x:c>
      <x:c r="B2812" s="14" t="str">
        <x:v>Nordeste</x:v>
      </x:c>
      <x:c r="C2812" s="14" t="str">
        <x:v>NORTE INTERLIGADO</x:v>
      </x:c>
      <x:c r="D2812" s="53" t="str">
        <x:v>Cativo</x:v>
      </x:c>
      <x:c r="E2812" s="49" t="n">
        <x:v>467952.945</x:v>
      </x:c>
      <x:c r="F2812" s="52" t="n">
        <x:v>2658758</x:v>
      </x:c>
      <x:c r="G2812" s="54" t="n">
        <x:v>46220</x:v>
      </x:c>
      <x:c r="H2812" s="14" t="str">
        <x:f>IF(E2812&lt;0,"Componente negativo — manter e investigar","OK")</x:f>
        <x:v>OK</x:v>
      </x:c>
    </x:row>
    <x:row r="2813">
      <x:c r="A2813" s="51" t="n">
        <x:v>46174</x:v>
      </x:c>
      <x:c r="B2813" s="14" t="str">
        <x:v>Nordeste</x:v>
      </x:c>
      <x:c r="C2813" s="14" t="str">
        <x:v>NORTE INTERLIGADO</x:v>
      </x:c>
      <x:c r="D2813" s="53" t="str">
        <x:v>Livre</x:v>
      </x:c>
      <x:c r="E2813" s="49" t="n">
        <x:v>179.88</x:v>
      </x:c>
      <x:c r="F2813" s="52" t="n">
        <x:v>7</x:v>
      </x:c>
      <x:c r="G2813" s="54" t="n">
        <x:v>46220</x:v>
      </x:c>
      <x:c r="H2813" s="14" t="str">
        <x:f>IF(E2813&lt;0,"Componente negativo — manter e investigar","OK")</x:f>
        <x:v>OK</x:v>
      </x:c>
    </x:row>
    <x:row r="2814">
      <x:c r="A2814" s="51" t="n">
        <x:v>46174</x:v>
      </x:c>
      <x:c r="B2814" s="14" t="str">
        <x:v>Nordeste</x:v>
      </x:c>
      <x:c r="C2814" s="14" t="str">
        <x:v>SISTEMAS ISOLADOS</x:v>
      </x:c>
      <x:c r="D2814" s="53" t="str">
        <x:v>Cativo</x:v>
      </x:c>
      <x:c r="E2814" s="49" t="n">
        <x:v>1007.828</x:v>
      </x:c>
      <x:c r="F2814" s="52" t="n">
        <x:v>849</x:v>
      </x:c>
      <x:c r="G2814" s="54" t="n">
        <x:v>46220</x:v>
      </x:c>
      <x:c r="H2814" s="14" t="str">
        <x:f>IF(E2814&lt;0,"Componente negativo — manter e investigar","OK")</x:f>
        <x:v>OK</x:v>
      </x:c>
    </x:row>
    <x:row r="2815">
      <x:c r="A2815" s="51" t="n">
        <x:v>46174</x:v>
      </x:c>
      <x:c r="B2815" s="14" t="str">
        <x:v>Norte</x:v>
      </x:c>
      <x:c r="C2815" s="14" t="str">
        <x:v>NORTE INTERLIGADO</x:v>
      </x:c>
      <x:c r="D2815" s="53" t="str">
        <x:v>Cativo</x:v>
      </x:c>
      <x:c r="E2815" s="49" t="n">
        <x:v>960909.9</x:v>
      </x:c>
      <x:c r="F2815" s="52" t="n">
        <x:v>4387839</x:v>
      </x:c>
      <x:c r="G2815" s="54" t="n">
        <x:v>46220</x:v>
      </x:c>
      <x:c r="H2815" s="14" t="str">
        <x:f>IF(E2815&lt;0,"Componente negativo — manter e investigar","OK")</x:f>
        <x:v>OK</x:v>
      </x:c>
    </x:row>
    <x:row r="2816">
      <x:c r="A2816" s="51" t="n">
        <x:v>46174</x:v>
      </x:c>
      <x:c r="B2816" s="14" t="str">
        <x:v>Norte</x:v>
      </x:c>
      <x:c r="C2816" s="14" t="str">
        <x:v>NORTE INTERLIGADO</x:v>
      </x:c>
      <x:c r="D2816" s="53" t="str">
        <x:v>Livre</x:v>
      </x:c>
      <x:c r="E2816" s="49" t="n">
        <x:v>8</x:v>
      </x:c>
      <x:c r="F2816" s="52" t="n">
        <x:v>2</x:v>
      </x:c>
      <x:c r="G2816" s="54" t="n">
        <x:v>46220</x:v>
      </x:c>
      <x:c r="H2816" s="14" t="str">
        <x:f>IF(E2816&lt;0,"Componente negativo — manter e investigar","OK")</x:f>
        <x:v>OK</x:v>
      </x:c>
    </x:row>
    <x:row r="2817">
      <x:c r="A2817" s="51" t="n">
        <x:v>46174</x:v>
      </x:c>
      <x:c r="B2817" s="14" t="str">
        <x:v>Norte</x:v>
      </x:c>
      <x:c r="C2817" s="14" t="str">
        <x:v>SISTEMAS ISOLADOS</x:v>
      </x:c>
      <x:c r="D2817" s="53" t="str">
        <x:v>Cativo</x:v>
      </x:c>
      <x:c r="E2817" s="49" t="n">
        <x:v>68185.312</x:v>
      </x:c>
      <x:c r="F2817" s="52" t="n">
        <x:v>386016</x:v>
      </x:c>
      <x:c r="G2817" s="54" t="n">
        <x:v>46220</x:v>
      </x:c>
      <x:c r="H2817" s="14" t="str">
        <x:f>IF(E2817&lt;0,"Componente negativo — manter e investigar","OK")</x:f>
        <x:v>OK</x:v>
      </x:c>
    </x:row>
    <x:row r="2818">
      <x:c r="A2818" s="51" t="n">
        <x:v>46174</x:v>
      </x:c>
      <x:c r="B2818" s="14" t="str">
        <x:v>Norte</x:v>
      </x:c>
      <x:c r="C2818" s="14" t="str">
        <x:v>SUDESTE / CENTRO - OESTE</x:v>
      </x:c>
      <x:c r="D2818" s="53" t="str">
        <x:v>Cativo</x:v>
      </x:c>
      <x:c r="E2818" s="49" t="n">
        <x:v>210479.512</x:v>
      </x:c>
      <x:c r="F2818" s="52" t="n">
        <x:v>835466</x:v>
      </x:c>
      <x:c r="G2818" s="54" t="n">
        <x:v>46220</x:v>
      </x:c>
      <x:c r="H2818" s="14" t="str">
        <x:f>IF(E2818&lt;0,"Componente negativo — manter e investigar","OK")</x:f>
        <x:v>OK</x:v>
      </x:c>
    </x:row>
    <x:row r="2819">
      <x:c r="A2819" s="51" t="n">
        <x:v>46174</x:v>
      </x:c>
      <x:c r="B2819" s="14" t="str">
        <x:v>Sudeste</x:v>
      </x:c>
      <x:c r="C2819" s="14" t="str">
        <x:v>SUDESTE / CENTRO - OESTE</x:v>
      </x:c>
      <x:c r="D2819" s="53" t="str">
        <x:v>Cativo</x:v>
      </x:c>
      <x:c r="E2819" s="49" t="n">
        <x:v>6284009.754999999</x:v>
      </x:c>
      <x:c r="F2819" s="52" t="n">
        <x:v>37124545</x:v>
      </x:c>
      <x:c r="G2819" s="54" t="n">
        <x:v>46220</x:v>
      </x:c>
      <x:c r="H2819" s="14" t="str">
        <x:f>IF(E2819&lt;0,"Componente negativo — manter e investigar","OK")</x:f>
        <x:v>OK</x:v>
      </x:c>
    </x:row>
    <x:row r="2820">
      <x:c r="A2820" s="51" t="n">
        <x:v>46174</x:v>
      </x:c>
      <x:c r="B2820" s="14" t="str">
        <x:v>Sudeste</x:v>
      </x:c>
      <x:c r="C2820" s="14" t="str">
        <x:v>SUDESTE / CENTRO - OESTE</x:v>
      </x:c>
      <x:c r="D2820" s="53" t="str">
        <x:v>Livre</x:v>
      </x:c>
      <x:c r="E2820" s="49" t="n">
        <x:v>2711.944</x:v>
      </x:c>
      <x:c r="F2820" s="52" t="n">
        <x:v>101</x:v>
      </x:c>
      <x:c r="G2820" s="54" t="n">
        <x:v>46220</x:v>
      </x:c>
      <x:c r="H2820" s="14" t="str">
        <x:f>IF(E2820&lt;0,"Componente negativo — manter e investigar","OK")</x:f>
        <x:v>OK</x:v>
      </x:c>
    </x:row>
    <x:row r="2821">
      <x:c r="A2821" s="51" t="n">
        <x:v>46174</x:v>
      </x:c>
      <x:c r="B2821" s="14" t="str">
        <x:v>Sul</x:v>
      </x:c>
      <x:c r="C2821" s="14" t="str">
        <x:v>SUL</x:v>
      </x:c>
      <x:c r="D2821" s="53" t="str">
        <x:v>Cativo</x:v>
      </x:c>
      <x:c r="E2821" s="49" t="n">
        <x:v>2467293.458</x:v>
      </x:c>
      <x:c r="F2821" s="52" t="n">
        <x:v>12033272</x:v>
      </x:c>
      <x:c r="G2821" s="54" t="n">
        <x:v>46220</x:v>
      </x:c>
      <x:c r="H2821" s="14" t="str">
        <x:f>IF(E2821&lt;0,"Componente negativo — manter e investigar","OK")</x:f>
        <x:v>OK</x:v>
      </x:c>
    </x:row>
    <x:row r="2822">
      <x:c r="A2822" s="51" t="n">
        <x:v>46174</x:v>
      </x:c>
      <x:c r="B2822" s="14" t="str">
        <x:v>Sul</x:v>
      </x:c>
      <x:c r="C2822" s="14" t="str">
        <x:v>SUL</x:v>
      </x:c>
      <x:c r="D2822" s="53" t="str">
        <x:v>Livre</x:v>
      </x:c>
      <x:c r="E2822" s="49" t="n">
        <x:v>354.612</x:v>
      </x:c>
      <x:c r="F2822" s="52" t="n">
        <x:v>13</x:v>
      </x:c>
      <x:c r="G2822" s="54" t="n">
        <x:v>46220</x:v>
      </x:c>
      <x:c r="H2822" s="14" t="str">
        <x:f>IF(E2822&lt;0,"Componente negativo — manter e investigar","OK")</x:f>
        <x:v>OK</x:v>
      </x:c>
    </x:row>
  </x:sheetData>
  <x:conditionalFormatting sqref="H2:H2822">
    <x:cfRule type="containsText" dxfId="2" priority="1" operator="containsText" text="negativo"/>
  </x:conditionalFormatting>
  <x:pageMargins left="0.7" right="0.7" top="0.75" bottom="0.75" header="0.3" footer="0.3"/>
  <x:tableParts count="1">
    <x:tablePart xmlns:r="http://schemas.openxmlformats.org/officeDocument/2006/relationships" r:id="R73cdfac6516448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Controle de qualidade e consistência da base</x:v>
      </x:c>
      <x:c r="B1" s="4" t="str">
        <x:v>Controle de qualidade e consistência da base</x:v>
      </x:c>
      <x:c r="C1" s="4" t="str">
        <x:v>Controle de qualidade e consistência da base</x:v>
      </x:c>
      <x:c r="D1" s="4" t="str">
        <x:v>Controle de qualidade e consistência da base</x:v>
      </x:c>
      <x:c r="E1" s="4" t="str">
        <x:v>Controle de qualidade e consistência da base</x:v>
      </x:c>
      <x:c r="F1" s="4" t="str">
        <x:v>Controle de qualidade e consistência da base</x:v>
      </x:c>
      <x:c r="G1" s="4" t="str">
        <x:v>Controle de qualidade e consistência da base</x:v>
      </x:c>
    </x:row>
    <x:row r="3" ht="28" customHeight="1">
      <x:c r="A3" s="45" t="str">
        <x:v>Indicador</x:v>
      </x:c>
      <x:c r="B3" s="46" t="str">
        <x:v>Resultado</x:v>
      </x:c>
      <x:c r="C3" s="46" t="str">
        <x:v>Critério</x:v>
      </x:c>
      <x:c r="D3" s="47" t="str">
        <x:v>Status</x:v>
      </x:c>
    </x:row>
    <x:row r="4">
      <x:c r="A4" s="12" t="str">
        <x:v>Meses disponíveis</x:v>
      </x:c>
      <x:c r="B4" s="56" t="n">
        <x:f>COUNTA('Residencial Brasil'!A2:A271)</x:f>
        <x:v>270</x:v>
      </x:c>
      <x:c r="C4" s="56" t="n">
        <x:v>270</x:v>
      </x:c>
      <x:c r="D4" s="53" t="str">
        <x:f>IF(B4=C4,"OK","REVISAR")</x:f>
        <x:v>OK</x:v>
      </x:c>
    </x:row>
    <x:row r="5">
      <x:c r="A5" s="12" t="str">
        <x:v>Meses ausentes no intervalo</x:v>
      </x:c>
      <x:c r="B5" s="56" t="n">
        <x:f>12*(YEAR(MAX('Residencial Brasil'!A2:A271))-YEAR(MIN('Residencial Brasil'!A2:A271)))+MONTH(MAX('Residencial Brasil'!A2:A271))-MONTH(MIN('Residencial Brasil'!A2:A271))+1-COUNTA('Residencial Brasil'!A2:A271)</x:f>
        <x:v>0</x:v>
      </x:c>
      <x:c r="C5" s="56" t="n">
        <x:v>0</x:v>
      </x:c>
      <x:c r="D5" s="53" t="str">
        <x:f>IF(B5=C5,"OK","REVISAR")</x:f>
        <x:v>OK</x:v>
      </x:c>
    </x:row>
    <x:row r="6">
      <x:c r="A6" s="12" t="str">
        <x:v>Mínimo de regiões por mês</x:v>
      </x:c>
      <x:c r="B6" s="56" t="n">
        <x:f>MIN('Residencial Brasil'!F2:F271)</x:f>
        <x:v>5</x:v>
      </x:c>
      <x:c r="C6" s="56" t="n">
        <x:v>5</x:v>
      </x:c>
      <x:c r="D6" s="53" t="str">
        <x:f>IF(B6=C6,"OK","REVISAR")</x:f>
        <x:v>OK</x:v>
      </x:c>
    </x:row>
    <x:row r="7">
      <x:c r="A7" s="12" t="str">
        <x:v>Máximo de regiões por mês</x:v>
      </x:c>
      <x:c r="B7" s="56" t="n">
        <x:f>MAX('Residencial Brasil'!F2:F271)</x:f>
        <x:v>5</x:v>
      </x:c>
      <x:c r="C7" s="56" t="n">
        <x:v>5</x:v>
      </x:c>
      <x:c r="D7" s="53" t="str">
        <x:f>IF(B7=C7,"OK","REVISAR")</x:f>
        <x:v>OK</x:v>
      </x:c>
    </x:row>
    <x:row r="8">
      <x:c r="A8" s="12" t="str">
        <x:v>Consumos mensais ausentes</x:v>
      </x:c>
      <x:c r="B8" s="56" t="n">
        <x:f>COUNTBLANK('Residencial Brasil'!B2:B271)</x:f>
        <x:v>0</x:v>
      </x:c>
      <x:c r="C8" s="56" t="n">
        <x:v>0</x:v>
      </x:c>
      <x:c r="D8" s="53" t="str">
        <x:f>IF(B8=C8,"OK","REVISAR")</x:f>
        <x:v>OK</x:v>
      </x:c>
    </x:row>
    <x:row r="9">
      <x:c r="A9" s="12" t="str">
        <x:v>Chaves duplicadas na fonte filtrada</x:v>
      </x:c>
      <x:c r="B9" s="56" t="n">
        <x:v>0</x:v>
      </x:c>
      <x:c r="C9" s="56" t="n">
        <x:v>0</x:v>
      </x:c>
      <x:c r="D9" s="53" t="str">
        <x:f>IF(B9=C9,"OK","REVISAR")</x:f>
        <x:v>OK</x:v>
      </x:c>
    </x:row>
    <x:row r="10">
      <x:c r="A10" s="12" t="str">
        <x:v>Componentes negativos preservados</x:v>
      </x:c>
      <x:c r="B10" s="56" t="n">
        <x:f>SUM('Residencial Brasil'!H2:H271)</x:f>
        <x:v>2</x:v>
      </x:c>
      <x:c r="C10" s="56" t="n">
        <x:v>2</x:v>
      </x:c>
      <x:c r="D10" s="53" t="str">
        <x:f>IF(B10=C10,"OK","REVISAR")</x:f>
        <x:v>OK</x:v>
      </x:c>
    </x:row>
    <x:row r="11">
      <x:c r="A11" s="12" t="str">
        <x:v>Totais nacionais não positivos</x:v>
      </x:c>
      <x:c r="B11" s="56" t="n">
        <x:f>COUNTIF('Residencial Brasil'!B2:B271,"&lt;=0")</x:f>
        <x:v>0</x:v>
      </x:c>
      <x:c r="C11" s="56" t="n">
        <x:v>0</x:v>
      </x:c>
      <x:c r="D11" s="53" t="str">
        <x:f>IF(B11=C11,"OK","REVISAR")</x:f>
        <x:v>OK</x:v>
      </x:c>
    </x:row>
    <x:row r="12">
      <x:c r="A12" s="12" t="str">
        <x:v>Último mês disponível</x:v>
      </x:c>
      <x:c r="B12" s="51" t="n">
        <x:f>MAX('Residencial Brasil'!A2:A271)</x:f>
        <x:v>46174</x:v>
      </x:c>
      <x:c r="C12" s="51" t="n">
        <x:v>46174</x:v>
      </x:c>
      <x:c r="D12" s="53" t="str">
        <x:f>IF(B12=C12,"OK","REVISAR")</x:f>
        <x:v>OK</x:v>
      </x:c>
    </x:row>
    <x:row r="13">
      <x:c r="A13" s="12" t="str">
        <x:v>Consumo do último mês (MWh)</x:v>
      </x:c>
      <x:c r="B13" s="56" t="n">
        <x:f>INDEX('Residencial Brasil'!B2:B271,COUNTA('Residencial Brasil'!A2:A271))</x:f>
        <x:v>14385874.247</x:v>
      </x:c>
      <x:c r="C13" s="56" t="n">
        <x:v>14385874.247</x:v>
      </x:c>
      <x:c r="D13" s="53" t="str">
        <x:f>IF(B13=C13,"OK","REVISAR")</x:f>
        <x:v>OK</x:v>
      </x:c>
    </x:row>
    <x:row r="14">
      <x:c r="A14" s="12" t="str">
        <x:v>Consumidores no último mês</x:v>
      </x:c>
      <x:c r="B14" s="52" t="n">
        <x:f>INDEX('Residencial Brasil'!D2:D271,COUNTA('Residencial Brasil'!A2:A271))</x:f>
        <x:v>85080235</x:v>
      </x:c>
      <x:c r="C14" s="52" t="n">
        <x:v>85080235</x:v>
      </x:c>
      <x:c r="D14" s="53" t="str">
        <x:f>IF(B14=C14,"OK","REVISAR")</x:f>
        <x:v>OK</x:v>
      </x:c>
    </x:row>
    <x:row r="15">
      <x:c r="A15" s="12" t="str">
        <x:v>Versão da fonte</x:v>
      </x:c>
      <x:c r="B15" s="54" t="n">
        <x:v>46220</x:v>
      </x:c>
      <x:c r="C15" s="54" t="n">
        <x:v>46220</x:v>
      </x:c>
      <x:c r="D15" s="53" t="str">
        <x:f>IF(B15=C15,"OK","REVISAR")</x:f>
        <x:v>OK</x:v>
      </x:c>
    </x:row>
    <x:row r="17">
      <x:c r="A17" s="10" t="str">
        <x:v>Componentes negativos identificados — preservados conforme a fonte oficial</x:v>
      </x:c>
      <x:c r="B17" s="10"/>
      <x:c r="C17" s="10"/>
      <x:c r="D17" s="10"/>
      <x:c r="E17" s="10"/>
      <x:c r="F17" s="10"/>
      <x:c r="G17" s="10"/>
    </x:row>
    <x:row r="18" ht="28" customHeight="1">
      <x:c r="A18" s="45" t="str">
        <x:v>Data</x:v>
      </x:c>
      <x:c r="B18" s="46" t="str">
        <x:v>Regiao</x:v>
      </x:c>
      <x:c r="C18" s="46" t="str">
        <x:v>Sistema</x:v>
      </x:c>
      <x:c r="D18" s="46" t="str">
        <x:v>TipoConsumidor</x:v>
      </x:c>
      <x:c r="E18" s="46" t="str">
        <x:v>Consumo_MWh</x:v>
      </x:c>
      <x:c r="F18" s="46" t="str">
        <x:v>Consumidores</x:v>
      </x:c>
      <x:c r="G18" s="47" t="str">
        <x:v>DataVersao</x:v>
      </x:c>
    </x:row>
    <x:row r="19">
      <x:c r="A19" s="59" t="n">
        <x:v>45352</x:v>
      </x:c>
      <x:c r="B19" s="58" t="str">
        <x:v>Sudeste</x:v>
      </x:c>
      <x:c r="C19" s="57" t="str">
        <x:v>SUDESTE / CENTRO - OESTE</x:v>
      </x:c>
      <x:c r="D19" s="58" t="str">
        <x:v>Livre</x:v>
      </x:c>
      <x:c r="E19" s="60" t="n">
        <x:v>-685.35</x:v>
      </x:c>
      <x:c r="F19" s="61" t="n">
        <x:v>5</x:v>
      </x:c>
      <x:c r="G19" s="62" t="n">
        <x:v>46220</x:v>
      </x:c>
    </x:row>
    <x:row r="20">
      <x:c r="A20" s="59" t="n">
        <x:v>45352</x:v>
      </x:c>
      <x:c r="B20" s="58" t="str">
        <x:v>Sul</x:v>
      </x:c>
      <x:c r="C20" s="57" t="str">
        <x:v>SUL</x:v>
      </x:c>
      <x:c r="D20" s="58" t="str">
        <x:v>Livre</x:v>
      </x:c>
      <x:c r="E20" s="60" t="n">
        <x:v>-128.156</x:v>
      </x:c>
      <x:c r="F20" s="61" t="n">
        <x:v>0</x:v>
      </x:c>
      <x:c r="G20" s="62" t="n">
        <x:v>46220</x:v>
      </x:c>
    </x:row>
    <x:row r="22" ht="34" customHeight="1">
      <x:c r="A22" s="64" t="str">
        <x:v>Interpretação: são ajustes componentes da própria EPE. O total mensal nacional permanece positivo; portanto, as linhas foram mantidas para preservar a fidelidade à fonte.</x:v>
      </x:c>
      <x:c r="B22" s="64"/>
      <x:c r="C22" s="64"/>
      <x:c r="D22" s="64"/>
      <x:c r="E22" s="64"/>
      <x:c r="F22" s="64"/>
      <x:c r="G22" s="64"/>
    </x:row>
  </x:sheetData>
  <x:mergeCells>
    <x:mergeCell ref="A1:G1"/>
    <x:mergeCell ref="A17:G17"/>
    <x:mergeCell ref="A22:G22"/>
  </x:mergeCells>
  <x:conditionalFormatting sqref="D4:D15">
    <x:cfRule type="containsText" dxfId="3" priority="1" operator="containsText" text="OK"/>
    <x:cfRule type="containsText" dxfId="4" priority="2" operator="containsText" text="REVISA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65" hidden="0" customWidth="1"/>
    <x:col min="4" max="4" width="23" hidden="0" customWidth="1"/>
  </x:cols>
  <x:sheetData>
    <x:row r="1" ht="34" customHeight="1">
      <x:c r="A1" s="4" t="str">
        <x:v>Dicionário de dados</x:v>
      </x:c>
      <x:c r="B1" s="4" t="str">
        <x:v>Dicionário de dados</x:v>
      </x:c>
      <x:c r="C1" s="4" t="str">
        <x:v>Dicionário de dados</x:v>
      </x:c>
      <x:c r="D1" s="4" t="str">
        <x:v>Dicionário de dados</x:v>
      </x:c>
    </x:row>
    <x:row r="3" ht="28" customHeight="1">
      <x:c r="A3" s="45" t="str">
        <x:v>Aba</x:v>
      </x:c>
      <x:c r="B3" s="46" t="str">
        <x:v>Campo</x:v>
      </x:c>
      <x:c r="C3" s="46" t="str">
        <x:v>Descrição</x:v>
      </x:c>
      <x:c r="D3" s="47" t="str">
        <x:v>Unidade / formato</x:v>
      </x:c>
    </x:row>
    <x:row r="4" ht="38" customHeight="1">
      <x:c r="A4" s="19" t="str">
        <x:v>Residencial Brasil</x:v>
      </x:c>
      <x:c r="B4" s="20" t="str">
        <x:v>Data</x:v>
      </x:c>
      <x:c r="C4" s="20" t="str">
        <x:v>Mês de referência da observação</x:v>
      </x:c>
      <x:c r="D4" s="20" t="str">
        <x:v>Data mensal</x:v>
      </x:c>
    </x:row>
    <x:row r="5" ht="38" customHeight="1">
      <x:c r="A5" s="19" t="str">
        <x:v>Residencial Brasil</x:v>
      </x:c>
      <x:c r="B5" s="20" t="str">
        <x:v>Consumo_MWh</x:v>
      </x:c>
      <x:c r="C5" s="20" t="str">
        <x:v>Consumo residencial nacional, somado entre todos os componentes</x:v>
      </x:c>
      <x:c r="D5" s="20" t="str">
        <x:v>MWh</x:v>
      </x:c>
    </x:row>
    <x:row r="6" ht="38" customHeight="1">
      <x:c r="A6" s="19" t="str">
        <x:v>Residencial Brasil</x:v>
      </x:c>
      <x:c r="B6" s="20" t="str">
        <x:v>Consumo_GWh</x:v>
      </x:c>
      <x:c r="C6" s="20" t="str">
        <x:v>Conversão auditável de MWh para GWh (= Consumo_MWh / 1.000)</x:v>
      </x:c>
      <x:c r="D6" s="20" t="str">
        <x:v>GWh</x:v>
      </x:c>
    </x:row>
    <x:row r="7" ht="38" customHeight="1">
      <x:c r="A7" s="19" t="str">
        <x:v>Residencial Brasil</x:v>
      </x:c>
      <x:c r="B7" s="20" t="str">
        <x:v>Consumidores</x:v>
      </x:c>
      <x:c r="C7" s="20" t="str">
        <x:v>Número total de unidades consumidoras informado nos componentes da fonte</x:v>
      </x:c>
      <x:c r="D7" s="20" t="str">
        <x:v>Contagem</x:v>
      </x:c>
    </x:row>
    <x:row r="8" ht="38" customHeight="1">
      <x:c r="A8" s="19" t="str">
        <x:v>Residencial Brasil</x:v>
      </x:c>
      <x:c r="B8" s="20" t="str">
        <x:v>Linhas_Fonte</x:v>
      </x:c>
      <x:c r="C8" s="20" t="str">
        <x:v>Quantidade de registros componentes agregados no mês</x:v>
      </x:c>
      <x:c r="D8" s="20" t="str">
        <x:v>Contagem</x:v>
      </x:c>
    </x:row>
    <x:row r="9" ht="38" customHeight="1">
      <x:c r="A9" s="19" t="str">
        <x:v>Residencial Brasil</x:v>
      </x:c>
      <x:c r="B9" s="20" t="str">
        <x:v>Regioes</x:v>
      </x:c>
      <x:c r="C9" s="20" t="str">
        <x:v>Número de regiões distintas presentes no mês</x:v>
      </x:c>
      <x:c r="D9" s="20" t="str">
        <x:v>Contagem; esperado = 5</x:v>
      </x:c>
    </x:row>
    <x:row r="10" ht="38" customHeight="1">
      <x:c r="A10" s="19" t="str">
        <x:v>Residencial Brasil</x:v>
      </x:c>
      <x:c r="B10" s="20" t="str">
        <x:v>Tipos_Consumidor</x:v>
      </x:c>
      <x:c r="C10" s="20" t="str">
        <x:v>Número de tipos de consumidor presentes: Cativo e/ou Livre</x:v>
      </x:c>
      <x:c r="D10" s="20" t="str">
        <x:v>Contagem</x:v>
      </x:c>
    </x:row>
    <x:row r="11" ht="38" customHeight="1">
      <x:c r="A11" s="19" t="str">
        <x:v>Residencial Brasil</x:v>
      </x:c>
      <x:c r="B11" s="20" t="str">
        <x:v>Componentes_Negativos</x:v>
      </x:c>
      <x:c r="C11" s="20" t="str">
        <x:v>Quantidade de registros componentes com consumo negativo no mês</x:v>
      </x:c>
      <x:c r="D11" s="20" t="str">
        <x:v>Contagem</x:v>
      </x:c>
    </x:row>
    <x:row r="12" ht="38" customHeight="1">
      <x:c r="A12" s="19" t="str">
        <x:v>Residencial Brasil</x:v>
      </x:c>
      <x:c r="B12" s="20" t="str">
        <x:v>Status_Qualidade</x:v>
      </x:c>
      <x:c r="C12" s="20" t="str">
        <x:v>Sinaliza cobertura regional incompleta ou componente negativo</x:v>
      </x:c>
      <x:c r="D12" s="20" t="str">
        <x:v>OK / REVISAR</x:v>
      </x:c>
    </x:row>
    <x:row r="13" ht="38" customHeight="1">
      <x:c r="A13" s="19" t="str">
        <x:v>Detalhe Residencial</x:v>
      </x:c>
      <x:c r="B13" s="20" t="str">
        <x:v>Regiao</x:v>
      </x:c>
      <x:c r="C13" s="20" t="str">
        <x:v>Região geográfica informada pela EPE</x:v>
      </x:c>
      <x:c r="D13" s="20" t="str">
        <x:v>Texto</x:v>
      </x:c>
    </x:row>
    <x:row r="14" ht="38" customHeight="1">
      <x:c r="A14" s="19" t="str">
        <x:v>Detalhe Residencial</x:v>
      </x:c>
      <x:c r="B14" s="20" t="str">
        <x:v>Sistema</x:v>
      </x:c>
      <x:c r="C14" s="20" t="str">
        <x:v>Sistema elétrico associado ao registro</x:v>
      </x:c>
      <x:c r="D14" s="20" t="str">
        <x:v>Texto</x:v>
      </x:c>
    </x:row>
    <x:row r="15" ht="38" customHeight="1">
      <x:c r="A15" s="19" t="str">
        <x:v>Detalhe Residencial</x:v>
      </x:c>
      <x:c r="B15" s="20" t="str">
        <x:v>TipoConsumidor</x:v>
      </x:c>
      <x:c r="C15" s="20" t="str">
        <x:v>Mercado do consumidor no registro</x:v>
      </x:c>
      <x:c r="D15" s="20" t="str">
        <x:v>Cativo / Livre</x:v>
      </x:c>
    </x:row>
    <x:row r="16" ht="38" customHeight="1">
      <x:c r="A16" s="19" t="str">
        <x:v>Detalhe Residencial</x:v>
      </x:c>
      <x:c r="B16" s="20" t="str">
        <x:v>DataVersao</x:v>
      </x:c>
      <x:c r="C16" s="20" t="str">
        <x:v>Data da versão da base oficial</x:v>
      </x:c>
      <x:c r="D16" s="20" t="str">
        <x:v>Data</x:v>
      </x:c>
    </x:row>
    <x:row r="17" ht="38" customHeight="1">
      <x:c r="A17" s="19" t="str">
        <x:v>Detalhe Residencial</x:v>
      </x:c>
      <x:c r="B17" s="20" t="str">
        <x:v>Flag_Qualidade</x:v>
      </x:c>
      <x:c r="C17" s="20" t="str">
        <x:v>Identifica componentes negativos sem excluir o registro</x:v>
      </x:c>
      <x:c r="D17" s="20" t="str">
        <x:v>OK / observação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72d53c925b64a9e"/>
  </x:tableParts>
</x:worksheet>
</file>